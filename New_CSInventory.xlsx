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98\Desktop\Privat\"/>
    </mc:Choice>
  </mc:AlternateContent>
  <xr:revisionPtr revIDLastSave="0" documentId="13_ncr:1_{1CC2C6A8-FAE0-464A-A423-1A066780AC5D}" xr6:coauthVersionLast="45" xr6:coauthVersionMax="45" xr10:uidLastSave="{00000000-0000-0000-0000-000000000000}"/>
  <bookViews>
    <workbookView xWindow="-120" yWindow="-120" windowWidth="29040" windowHeight="15840" activeTab="5" xr2:uid="{D62BC251-7265-4C68-9DC0-227F88B0E707}"/>
  </bookViews>
  <sheets>
    <sheet name="Graphs" sheetId="14" r:id="rId1"/>
    <sheet name="Total" sheetId="13" r:id="rId2"/>
    <sheet name="Cases" sheetId="1" r:id="rId3"/>
    <sheet name="Weapon-Investments" sheetId="15" r:id="rId4"/>
    <sheet name="Inventory" sheetId="2" r:id="rId5"/>
    <sheet name="Knives" sheetId="3" r:id="rId6"/>
    <sheet name="AWP" sheetId="4" r:id="rId7"/>
    <sheet name="AK-47" sheetId="5" r:id="rId8"/>
    <sheet name="M4A4" sheetId="6" r:id="rId9"/>
    <sheet name="M4A1-S" sheetId="7" r:id="rId10"/>
    <sheet name="SMG" sheetId="8" r:id="rId11"/>
    <sheet name="Pistol" sheetId="9" r:id="rId12"/>
    <sheet name="Heavy" sheetId="10" r:id="rId13"/>
    <sheet name="Other Rifles" sheetId="1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13" l="1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C19" i="13"/>
  <c r="D19" i="13"/>
  <c r="E19" i="13"/>
  <c r="F19" i="13"/>
  <c r="G19" i="13"/>
  <c r="H19" i="13"/>
  <c r="I19" i="13"/>
  <c r="J19" i="13"/>
  <c r="J36" i="13" s="1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Z36" i="13" s="1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P36" i="13" s="1"/>
  <c r="AQ19" i="13"/>
  <c r="AR19" i="13"/>
  <c r="AS19" i="13"/>
  <c r="AT19" i="13"/>
  <c r="AU19" i="13"/>
  <c r="AV19" i="13"/>
  <c r="AW19" i="13"/>
  <c r="AX19" i="13"/>
  <c r="AY19" i="13"/>
  <c r="AZ19" i="13"/>
  <c r="BA19" i="13"/>
  <c r="BB19" i="13"/>
  <c r="BC19" i="13"/>
  <c r="BD19" i="13"/>
  <c r="BE19" i="13"/>
  <c r="BF19" i="13"/>
  <c r="BF36" i="13" s="1"/>
  <c r="BG19" i="13"/>
  <c r="BH19" i="13"/>
  <c r="BI19" i="13"/>
  <c r="BJ19" i="13"/>
  <c r="BK19" i="13"/>
  <c r="BL19" i="13"/>
  <c r="BM19" i="13"/>
  <c r="BN19" i="13"/>
  <c r="BO19" i="13"/>
  <c r="BP19" i="13"/>
  <c r="BQ19" i="13"/>
  <c r="BR19" i="13"/>
  <c r="BS19" i="13"/>
  <c r="BT19" i="13"/>
  <c r="BU19" i="13"/>
  <c r="BV19" i="13"/>
  <c r="BV36" i="13" s="1"/>
  <c r="BW19" i="13"/>
  <c r="BX19" i="13"/>
  <c r="BY19" i="13"/>
  <c r="BZ19" i="13"/>
  <c r="CA19" i="13"/>
  <c r="CB19" i="13"/>
  <c r="CC19" i="13"/>
  <c r="CD19" i="13"/>
  <c r="CE19" i="13"/>
  <c r="CF19" i="13"/>
  <c r="CG19" i="13"/>
  <c r="CH19" i="13"/>
  <c r="CI19" i="13"/>
  <c r="CJ19" i="13"/>
  <c r="CK19" i="13"/>
  <c r="CL19" i="13"/>
  <c r="CL36" i="13" s="1"/>
  <c r="CM19" i="13"/>
  <c r="CN19" i="13"/>
  <c r="CO19" i="13"/>
  <c r="CP19" i="13"/>
  <c r="CQ19" i="13"/>
  <c r="CR19" i="13"/>
  <c r="CS19" i="13"/>
  <c r="CT19" i="13"/>
  <c r="CU19" i="13"/>
  <c r="CV19" i="13"/>
  <c r="CW19" i="13"/>
  <c r="CX19" i="13"/>
  <c r="CY19" i="13"/>
  <c r="CZ19" i="13"/>
  <c r="DA19" i="13"/>
  <c r="DB19" i="13"/>
  <c r="DB36" i="13" s="1"/>
  <c r="DC19" i="13"/>
  <c r="DD19" i="13"/>
  <c r="DE19" i="13"/>
  <c r="DF19" i="13"/>
  <c r="DG19" i="13"/>
  <c r="DH19" i="13"/>
  <c r="DI19" i="13"/>
  <c r="DJ19" i="13"/>
  <c r="DK19" i="13"/>
  <c r="DL19" i="13"/>
  <c r="DM19" i="13"/>
  <c r="DN19" i="13"/>
  <c r="DO19" i="13"/>
  <c r="DP19" i="13"/>
  <c r="DQ19" i="13"/>
  <c r="DR19" i="13"/>
  <c r="DR36" i="13" s="1"/>
  <c r="DS19" i="13"/>
  <c r="DT19" i="13"/>
  <c r="DU19" i="13"/>
  <c r="DV19" i="13"/>
  <c r="DW19" i="13"/>
  <c r="DX19" i="13"/>
  <c r="DY19" i="13"/>
  <c r="DZ19" i="13"/>
  <c r="EA19" i="13"/>
  <c r="EB19" i="13"/>
  <c r="EC19" i="13"/>
  <c r="ED19" i="13"/>
  <c r="EE19" i="13"/>
  <c r="EF19" i="13"/>
  <c r="EG19" i="13"/>
  <c r="EH19" i="13"/>
  <c r="EH36" i="13" s="1"/>
  <c r="EI19" i="13"/>
  <c r="EJ19" i="13"/>
  <c r="EK19" i="13"/>
  <c r="EL19" i="13"/>
  <c r="EM19" i="13"/>
  <c r="EN19" i="13"/>
  <c r="EO19" i="13"/>
  <c r="EP19" i="13"/>
  <c r="EQ19" i="13"/>
  <c r="ER19" i="13"/>
  <c r="ES19" i="13"/>
  <c r="ET19" i="13"/>
  <c r="EU19" i="13"/>
  <c r="EV19" i="13"/>
  <c r="EW19" i="13"/>
  <c r="EX19" i="13"/>
  <c r="EX36" i="13" s="1"/>
  <c r="EY19" i="13"/>
  <c r="EZ19" i="13"/>
  <c r="FA19" i="13"/>
  <c r="FB19" i="13"/>
  <c r="FC19" i="13"/>
  <c r="FD19" i="13"/>
  <c r="FE19" i="13"/>
  <c r="FF19" i="13"/>
  <c r="FG19" i="13"/>
  <c r="FH19" i="13"/>
  <c r="FI19" i="13"/>
  <c r="FJ19" i="13"/>
  <c r="FK19" i="13"/>
  <c r="FL19" i="13"/>
  <c r="FM19" i="13"/>
  <c r="FN19" i="13"/>
  <c r="FN36" i="13" s="1"/>
  <c r="FO19" i="13"/>
  <c r="FP19" i="13"/>
  <c r="FQ19" i="13"/>
  <c r="FR19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B29" i="13"/>
  <c r="B28" i="13"/>
  <c r="B27" i="13"/>
  <c r="B26" i="13"/>
  <c r="B25" i="13"/>
  <c r="B24" i="13"/>
  <c r="B23" i="13"/>
  <c r="B22" i="13"/>
  <c r="B21" i="13"/>
  <c r="B11" i="13"/>
  <c r="B10" i="13"/>
  <c r="B9" i="13"/>
  <c r="B8" i="13"/>
  <c r="B7" i="13"/>
  <c r="B6" i="13"/>
  <c r="B5" i="13"/>
  <c r="B4" i="13"/>
  <c r="B3" i="13"/>
  <c r="C36" i="13"/>
  <c r="D36" i="13"/>
  <c r="E36" i="13"/>
  <c r="F36" i="13"/>
  <c r="G36" i="13"/>
  <c r="H36" i="13"/>
  <c r="I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Q36" i="13"/>
  <c r="AR36" i="13"/>
  <c r="AS36" i="13"/>
  <c r="AT36" i="13"/>
  <c r="AU36" i="13"/>
  <c r="AV36" i="13"/>
  <c r="AW36" i="13"/>
  <c r="AX36" i="13"/>
  <c r="AY36" i="13"/>
  <c r="AZ36" i="13"/>
  <c r="BA36" i="13"/>
  <c r="BB36" i="13"/>
  <c r="BC36" i="13"/>
  <c r="BD36" i="13"/>
  <c r="BE36" i="13"/>
  <c r="BG36" i="13"/>
  <c r="BH36" i="13"/>
  <c r="BI36" i="13"/>
  <c r="BJ36" i="13"/>
  <c r="BK36" i="13"/>
  <c r="BL36" i="13"/>
  <c r="BM36" i="13"/>
  <c r="BN36" i="13"/>
  <c r="BO36" i="13"/>
  <c r="BP36" i="13"/>
  <c r="BQ36" i="13"/>
  <c r="BR36" i="13"/>
  <c r="BS36" i="13"/>
  <c r="BT36" i="13"/>
  <c r="BU36" i="13"/>
  <c r="BW36" i="13"/>
  <c r="BX36" i="13"/>
  <c r="BY36" i="13"/>
  <c r="BZ36" i="13"/>
  <c r="CA36" i="13"/>
  <c r="CB36" i="13"/>
  <c r="CC36" i="13"/>
  <c r="CD36" i="13"/>
  <c r="CE36" i="13"/>
  <c r="CF36" i="13"/>
  <c r="CG36" i="13"/>
  <c r="CH36" i="13"/>
  <c r="CI36" i="13"/>
  <c r="CJ36" i="13"/>
  <c r="CK36" i="13"/>
  <c r="CM36" i="13"/>
  <c r="CN36" i="13"/>
  <c r="CO36" i="13"/>
  <c r="CP36" i="13"/>
  <c r="CQ36" i="13"/>
  <c r="CR36" i="13"/>
  <c r="CS36" i="13"/>
  <c r="CT36" i="13"/>
  <c r="CU36" i="13"/>
  <c r="CV36" i="13"/>
  <c r="CW36" i="13"/>
  <c r="CX36" i="13"/>
  <c r="CY36" i="13"/>
  <c r="CZ36" i="13"/>
  <c r="DA36" i="13"/>
  <c r="DC36" i="13"/>
  <c r="DD36" i="13"/>
  <c r="DE36" i="13"/>
  <c r="DF36" i="13"/>
  <c r="DG36" i="13"/>
  <c r="DH36" i="13"/>
  <c r="DI36" i="13"/>
  <c r="DJ36" i="13"/>
  <c r="DK36" i="13"/>
  <c r="DL36" i="13"/>
  <c r="DM36" i="13"/>
  <c r="DN36" i="13"/>
  <c r="DO36" i="13"/>
  <c r="DP36" i="13"/>
  <c r="DQ36" i="13"/>
  <c r="DS36" i="13"/>
  <c r="DT36" i="13"/>
  <c r="DU36" i="13"/>
  <c r="DV36" i="13"/>
  <c r="DW36" i="13"/>
  <c r="DX36" i="13"/>
  <c r="DY36" i="13"/>
  <c r="DZ36" i="13"/>
  <c r="EA36" i="13"/>
  <c r="EB36" i="13"/>
  <c r="EC36" i="13"/>
  <c r="ED36" i="13"/>
  <c r="EE36" i="13"/>
  <c r="EF36" i="13"/>
  <c r="EG36" i="13"/>
  <c r="EI36" i="13"/>
  <c r="EJ36" i="13"/>
  <c r="EK36" i="13"/>
  <c r="EL36" i="13"/>
  <c r="EM36" i="13"/>
  <c r="EN36" i="13"/>
  <c r="EO36" i="13"/>
  <c r="EP36" i="13"/>
  <c r="EQ36" i="13"/>
  <c r="ER36" i="13"/>
  <c r="ES36" i="13"/>
  <c r="ET36" i="13"/>
  <c r="EU36" i="13"/>
  <c r="EV36" i="13"/>
  <c r="EW36" i="13"/>
  <c r="EY36" i="13"/>
  <c r="EZ36" i="13"/>
  <c r="FA36" i="13"/>
  <c r="FB36" i="13"/>
  <c r="FC36" i="13"/>
  <c r="FD36" i="13"/>
  <c r="FE36" i="13"/>
  <c r="FF36" i="13"/>
  <c r="FG36" i="13"/>
  <c r="FH36" i="13"/>
  <c r="FI36" i="13"/>
  <c r="FJ36" i="13"/>
  <c r="FK36" i="13"/>
  <c r="FL36" i="13"/>
  <c r="FM36" i="13"/>
  <c r="FO36" i="13"/>
  <c r="FP36" i="13"/>
  <c r="FQ36" i="13"/>
  <c r="FR36" i="13"/>
  <c r="B36" i="13"/>
  <c r="B19" i="13"/>
  <c r="E55" i="1"/>
  <c r="F55" i="1"/>
  <c r="G55" i="1"/>
  <c r="H55" i="1"/>
  <c r="I55" i="1"/>
  <c r="J55" i="1"/>
  <c r="K55" i="1"/>
  <c r="L55" i="1"/>
  <c r="M55" i="1"/>
  <c r="N55" i="1"/>
  <c r="N61" i="1" s="1"/>
  <c r="N69" i="1" s="1"/>
  <c r="O55" i="1"/>
  <c r="P55" i="1"/>
  <c r="P61" i="1" s="1"/>
  <c r="P69" i="1" s="1"/>
  <c r="Q55" i="1"/>
  <c r="R55" i="1"/>
  <c r="S55" i="1"/>
  <c r="S61" i="1" s="1"/>
  <c r="S69" i="1" s="1"/>
  <c r="T55" i="1"/>
  <c r="T61" i="1" s="1"/>
  <c r="T69" i="1" s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E56" i="1"/>
  <c r="F56" i="1"/>
  <c r="G56" i="1"/>
  <c r="G62" i="1" s="1"/>
  <c r="G70" i="1" s="1"/>
  <c r="H56" i="1"/>
  <c r="H62" i="1" s="1"/>
  <c r="H70" i="1" s="1"/>
  <c r="I56" i="1"/>
  <c r="J56" i="1"/>
  <c r="K56" i="1"/>
  <c r="L56" i="1"/>
  <c r="M56" i="1"/>
  <c r="N56" i="1"/>
  <c r="O56" i="1"/>
  <c r="P56" i="1"/>
  <c r="Q56" i="1"/>
  <c r="R56" i="1"/>
  <c r="S56" i="1"/>
  <c r="T56" i="1"/>
  <c r="T62" i="1" s="1"/>
  <c r="T70" i="1" s="1"/>
  <c r="U56" i="1"/>
  <c r="V56" i="1"/>
  <c r="W56" i="1"/>
  <c r="W62" i="1" s="1"/>
  <c r="W70" i="1" s="1"/>
  <c r="X56" i="1"/>
  <c r="X62" i="1" s="1"/>
  <c r="X70" i="1" s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EW56" i="1"/>
  <c r="EX56" i="1"/>
  <c r="EY56" i="1"/>
  <c r="EZ56" i="1"/>
  <c r="FA56" i="1"/>
  <c r="FB56" i="1"/>
  <c r="FC56" i="1"/>
  <c r="FD56" i="1"/>
  <c r="FE56" i="1"/>
  <c r="FF56" i="1"/>
  <c r="FG56" i="1"/>
  <c r="FH56" i="1"/>
  <c r="FI56" i="1"/>
  <c r="FJ56" i="1"/>
  <c r="FK56" i="1"/>
  <c r="FL56" i="1"/>
  <c r="FM56" i="1"/>
  <c r="FN56" i="1"/>
  <c r="FO56" i="1"/>
  <c r="FP56" i="1"/>
  <c r="FQ56" i="1"/>
  <c r="FR56" i="1"/>
  <c r="FS56" i="1"/>
  <c r="FT56" i="1"/>
  <c r="E57" i="1"/>
  <c r="F57" i="1"/>
  <c r="F63" i="1" s="1"/>
  <c r="F71" i="1" s="1"/>
  <c r="G57" i="1"/>
  <c r="H57" i="1"/>
  <c r="H63" i="1" s="1"/>
  <c r="H71" i="1" s="1"/>
  <c r="I57" i="1"/>
  <c r="J57" i="1"/>
  <c r="K57" i="1"/>
  <c r="K63" i="1" s="1"/>
  <c r="K71" i="1" s="1"/>
  <c r="L57" i="1"/>
  <c r="L63" i="1" s="1"/>
  <c r="L71" i="1" s="1"/>
  <c r="M57" i="1"/>
  <c r="N57" i="1"/>
  <c r="O57" i="1"/>
  <c r="P57" i="1"/>
  <c r="Q57" i="1"/>
  <c r="R57" i="1"/>
  <c r="S57" i="1"/>
  <c r="T57" i="1"/>
  <c r="U57" i="1"/>
  <c r="V57" i="1"/>
  <c r="V63" i="1" s="1"/>
  <c r="V71" i="1" s="1"/>
  <c r="W57" i="1"/>
  <c r="X57" i="1"/>
  <c r="X63" i="1" s="1"/>
  <c r="X71" i="1" s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FS57" i="1"/>
  <c r="FT57" i="1"/>
  <c r="E58" i="1"/>
  <c r="F58" i="1"/>
  <c r="G58" i="1"/>
  <c r="H58" i="1"/>
  <c r="I58" i="1"/>
  <c r="J58" i="1"/>
  <c r="J64" i="1" s="1"/>
  <c r="J72" i="1" s="1"/>
  <c r="K58" i="1"/>
  <c r="L58" i="1"/>
  <c r="L64" i="1" s="1"/>
  <c r="L72" i="1" s="1"/>
  <c r="M58" i="1"/>
  <c r="N58" i="1"/>
  <c r="O58" i="1"/>
  <c r="O64" i="1" s="1"/>
  <c r="O72" i="1" s="1"/>
  <c r="P58" i="1"/>
  <c r="P64" i="1" s="1"/>
  <c r="P72" i="1" s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E59" i="1"/>
  <c r="F59" i="1"/>
  <c r="G59" i="1"/>
  <c r="H59" i="1"/>
  <c r="I59" i="1"/>
  <c r="J59" i="1"/>
  <c r="K59" i="1"/>
  <c r="L59" i="1"/>
  <c r="M59" i="1"/>
  <c r="N59" i="1"/>
  <c r="N65" i="1" s="1"/>
  <c r="N73" i="1" s="1"/>
  <c r="O59" i="1"/>
  <c r="P59" i="1"/>
  <c r="P65" i="1" s="1"/>
  <c r="P73" i="1" s="1"/>
  <c r="Q59" i="1"/>
  <c r="R59" i="1"/>
  <c r="S59" i="1"/>
  <c r="S65" i="1" s="1"/>
  <c r="S73" i="1" s="1"/>
  <c r="T59" i="1"/>
  <c r="T65" i="1" s="1"/>
  <c r="T73" i="1" s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EZ59" i="1"/>
  <c r="FA59" i="1"/>
  <c r="FB59" i="1"/>
  <c r="FC59" i="1"/>
  <c r="FD59" i="1"/>
  <c r="FE59" i="1"/>
  <c r="FF59" i="1"/>
  <c r="FG59" i="1"/>
  <c r="FH59" i="1"/>
  <c r="FI59" i="1"/>
  <c r="FJ59" i="1"/>
  <c r="FK59" i="1"/>
  <c r="FL59" i="1"/>
  <c r="FM59" i="1"/>
  <c r="FN59" i="1"/>
  <c r="FO59" i="1"/>
  <c r="FP59" i="1"/>
  <c r="FQ59" i="1"/>
  <c r="FR59" i="1"/>
  <c r="FS59" i="1"/>
  <c r="FT59" i="1"/>
  <c r="D56" i="1"/>
  <c r="D57" i="1"/>
  <c r="D63" i="1" s="1"/>
  <c r="D71" i="1" s="1"/>
  <c r="D58" i="1"/>
  <c r="D59" i="1"/>
  <c r="D55" i="1"/>
  <c r="Y61" i="1"/>
  <c r="Y69" i="1" s="1"/>
  <c r="M62" i="1"/>
  <c r="M70" i="1" s="1"/>
  <c r="U62" i="1"/>
  <c r="U70" i="1" s="1"/>
  <c r="I63" i="1"/>
  <c r="I71" i="1" s="1"/>
  <c r="P63" i="1"/>
  <c r="P71" i="1" s="1"/>
  <c r="Y63" i="1"/>
  <c r="Y71" i="1" s="1"/>
  <c r="Q64" i="1"/>
  <c r="Q72" i="1" s="1"/>
  <c r="U64" i="1"/>
  <c r="U72" i="1" s="1"/>
  <c r="E65" i="1"/>
  <c r="E73" i="1" s="1"/>
  <c r="I65" i="1"/>
  <c r="I73" i="1" s="1"/>
  <c r="Q65" i="1"/>
  <c r="Q73" i="1" s="1"/>
  <c r="U65" i="1"/>
  <c r="U73" i="1" s="1"/>
  <c r="X65" i="1"/>
  <c r="X73" i="1" s="1"/>
  <c r="Y65" i="1"/>
  <c r="Y73" i="1" s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FS54" i="1"/>
  <c r="FT54" i="1"/>
  <c r="F61" i="1"/>
  <c r="F69" i="1" s="1"/>
  <c r="H61" i="1"/>
  <c r="H69" i="1" s="1"/>
  <c r="V61" i="1"/>
  <c r="V69" i="1" s="1"/>
  <c r="X61" i="1"/>
  <c r="X69" i="1" s="1"/>
  <c r="J62" i="1"/>
  <c r="J70" i="1" s="1"/>
  <c r="L62" i="1"/>
  <c r="L70" i="1" s="1"/>
  <c r="N63" i="1"/>
  <c r="N71" i="1" s="1"/>
  <c r="R64" i="1"/>
  <c r="R72" i="1" s="1"/>
  <c r="T64" i="1"/>
  <c r="T72" i="1" s="1"/>
  <c r="F65" i="1"/>
  <c r="H65" i="1"/>
  <c r="H73" i="1" s="1"/>
  <c r="V65" i="1"/>
  <c r="E61" i="1"/>
  <c r="G61" i="1"/>
  <c r="I61" i="1"/>
  <c r="J61" i="1"/>
  <c r="J69" i="1" s="1"/>
  <c r="K61" i="1"/>
  <c r="L61" i="1"/>
  <c r="L69" i="1" s="1"/>
  <c r="M61" i="1"/>
  <c r="M69" i="1" s="1"/>
  <c r="O61" i="1"/>
  <c r="Q61" i="1"/>
  <c r="Q69" i="1" s="1"/>
  <c r="R61" i="1"/>
  <c r="R69" i="1" s="1"/>
  <c r="U61" i="1"/>
  <c r="W61" i="1"/>
  <c r="E62" i="1"/>
  <c r="E70" i="1" s="1"/>
  <c r="F62" i="1"/>
  <c r="F70" i="1" s="1"/>
  <c r="I62" i="1"/>
  <c r="I70" i="1" s="1"/>
  <c r="K62" i="1"/>
  <c r="K70" i="1" s="1"/>
  <c r="N62" i="1"/>
  <c r="N70" i="1" s="1"/>
  <c r="O62" i="1"/>
  <c r="O70" i="1" s="1"/>
  <c r="P62" i="1"/>
  <c r="P70" i="1" s="1"/>
  <c r="Q62" i="1"/>
  <c r="Q70" i="1" s="1"/>
  <c r="R62" i="1"/>
  <c r="R70" i="1" s="1"/>
  <c r="S62" i="1"/>
  <c r="S70" i="1" s="1"/>
  <c r="V62" i="1"/>
  <c r="V70" i="1" s="1"/>
  <c r="Y62" i="1"/>
  <c r="E63" i="1"/>
  <c r="E71" i="1" s="1"/>
  <c r="G63" i="1"/>
  <c r="G71" i="1" s="1"/>
  <c r="J63" i="1"/>
  <c r="M63" i="1"/>
  <c r="M71" i="1" s="1"/>
  <c r="O63" i="1"/>
  <c r="O71" i="1" s="1"/>
  <c r="Q63" i="1"/>
  <c r="Q71" i="1" s="1"/>
  <c r="R63" i="1"/>
  <c r="R71" i="1" s="1"/>
  <c r="S63" i="1"/>
  <c r="T63" i="1"/>
  <c r="T71" i="1" s="1"/>
  <c r="U63" i="1"/>
  <c r="U71" i="1" s="1"/>
  <c r="W63" i="1"/>
  <c r="E64" i="1"/>
  <c r="E72" i="1" s="1"/>
  <c r="F64" i="1"/>
  <c r="F72" i="1" s="1"/>
  <c r="G64" i="1"/>
  <c r="H64" i="1"/>
  <c r="H72" i="1" s="1"/>
  <c r="I64" i="1"/>
  <c r="K64" i="1"/>
  <c r="M64" i="1"/>
  <c r="N64" i="1"/>
  <c r="N72" i="1" s="1"/>
  <c r="S64" i="1"/>
  <c r="V64" i="1"/>
  <c r="V72" i="1" s="1"/>
  <c r="W64" i="1"/>
  <c r="W72" i="1" s="1"/>
  <c r="X64" i="1"/>
  <c r="X72" i="1" s="1"/>
  <c r="Y64" i="1"/>
  <c r="G65" i="1"/>
  <c r="G73" i="1" s="1"/>
  <c r="J65" i="1"/>
  <c r="K65" i="1"/>
  <c r="L65" i="1"/>
  <c r="L73" i="1" s="1"/>
  <c r="M65" i="1"/>
  <c r="O65" i="1"/>
  <c r="O73" i="1" s="1"/>
  <c r="R65" i="1"/>
  <c r="W65" i="1"/>
  <c r="E69" i="1"/>
  <c r="G69" i="1"/>
  <c r="I69" i="1"/>
  <c r="K69" i="1"/>
  <c r="O69" i="1"/>
  <c r="U69" i="1"/>
  <c r="W69" i="1"/>
  <c r="Y70" i="1"/>
  <c r="J71" i="1"/>
  <c r="S71" i="1"/>
  <c r="W71" i="1"/>
  <c r="G72" i="1"/>
  <c r="I72" i="1"/>
  <c r="K72" i="1"/>
  <c r="M72" i="1"/>
  <c r="S72" i="1"/>
  <c r="Y72" i="1"/>
  <c r="F73" i="1"/>
  <c r="J73" i="1"/>
  <c r="K73" i="1"/>
  <c r="M73" i="1"/>
  <c r="R73" i="1"/>
  <c r="V73" i="1"/>
  <c r="W73" i="1"/>
  <c r="D72" i="1"/>
  <c r="D62" i="1"/>
  <c r="D70" i="1" s="1"/>
  <c r="D64" i="1"/>
  <c r="D65" i="1"/>
  <c r="D73" i="1" s="1"/>
  <c r="D61" i="1"/>
  <c r="D69" i="1" s="1"/>
  <c r="D54" i="1"/>
  <c r="E47" i="1" l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D47" i="1"/>
  <c r="I25" i="1"/>
  <c r="J25" i="1"/>
  <c r="M25" i="1"/>
  <c r="Q25" i="1"/>
  <c r="R25" i="1"/>
  <c r="Y25" i="1"/>
  <c r="H26" i="1"/>
  <c r="I26" i="1"/>
  <c r="K26" i="1"/>
  <c r="L26" i="1"/>
  <c r="P26" i="1"/>
  <c r="X26" i="1"/>
  <c r="Y26" i="1"/>
  <c r="F27" i="1"/>
  <c r="J27" i="1"/>
  <c r="L27" i="1"/>
  <c r="M27" i="1"/>
  <c r="N27" i="1"/>
  <c r="P27" i="1"/>
  <c r="V27" i="1"/>
  <c r="P28" i="1"/>
  <c r="Q28" i="1"/>
  <c r="R28" i="1"/>
  <c r="T28" i="1"/>
  <c r="E29" i="1"/>
  <c r="F29" i="1"/>
  <c r="H29" i="1"/>
  <c r="U29" i="1"/>
  <c r="V29" i="1"/>
  <c r="X29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E33" i="1"/>
  <c r="E39" i="1" s="1"/>
  <c r="I33" i="1"/>
  <c r="J33" i="1"/>
  <c r="Q33" i="1"/>
  <c r="Q39" i="1" s="1"/>
  <c r="R33" i="1"/>
  <c r="R39" i="1" s="1"/>
  <c r="U33" i="1"/>
  <c r="U39" i="1" s="1"/>
  <c r="Y33" i="1"/>
  <c r="E34" i="1"/>
  <c r="M34" i="1"/>
  <c r="M40" i="1" s="1"/>
  <c r="P34" i="1"/>
  <c r="P40" i="1" s="1"/>
  <c r="Q34" i="1"/>
  <c r="Q40" i="1" s="1"/>
  <c r="U34" i="1"/>
  <c r="U40" i="1" s="1"/>
  <c r="F35" i="1"/>
  <c r="F41" i="1" s="1"/>
  <c r="L35" i="1"/>
  <c r="P35" i="1"/>
  <c r="P41" i="1" s="1"/>
  <c r="R35" i="1"/>
  <c r="R41" i="1" s="1"/>
  <c r="S35" i="1"/>
  <c r="S41" i="1" s="1"/>
  <c r="T35" i="1"/>
  <c r="T41" i="1" s="1"/>
  <c r="V35" i="1"/>
  <c r="V41" i="1" s="1"/>
  <c r="E36" i="1"/>
  <c r="E42" i="1" s="1"/>
  <c r="G36" i="1"/>
  <c r="G42" i="1" s="1"/>
  <c r="H36" i="1"/>
  <c r="H42" i="1" s="1"/>
  <c r="I36" i="1"/>
  <c r="I42" i="1" s="1"/>
  <c r="Q36" i="1"/>
  <c r="Q42" i="1" s="1"/>
  <c r="U36" i="1"/>
  <c r="U42" i="1" s="1"/>
  <c r="W36" i="1"/>
  <c r="W42" i="1" s="1"/>
  <c r="X36" i="1"/>
  <c r="X42" i="1" s="1"/>
  <c r="Y36" i="1"/>
  <c r="Y42" i="1" s="1"/>
  <c r="F37" i="1"/>
  <c r="F43" i="1" s="1"/>
  <c r="G37" i="1"/>
  <c r="G43" i="1" s="1"/>
  <c r="H37" i="1"/>
  <c r="L37" i="1"/>
  <c r="L43" i="1" s="1"/>
  <c r="N37" i="1"/>
  <c r="N43" i="1" s="1"/>
  <c r="P37" i="1"/>
  <c r="P43" i="1" s="1"/>
  <c r="V37" i="1"/>
  <c r="V43" i="1" s="1"/>
  <c r="W37" i="1"/>
  <c r="W43" i="1" s="1"/>
  <c r="X37" i="1"/>
  <c r="I39" i="1"/>
  <c r="J39" i="1"/>
  <c r="Y39" i="1"/>
  <c r="E40" i="1"/>
  <c r="L41" i="1"/>
  <c r="H43" i="1"/>
  <c r="X43" i="1"/>
  <c r="D25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E19" i="1"/>
  <c r="E25" i="1" s="1"/>
  <c r="F19" i="1"/>
  <c r="F33" i="1" s="1"/>
  <c r="F39" i="1" s="1"/>
  <c r="G19" i="1"/>
  <c r="G33" i="1" s="1"/>
  <c r="G39" i="1" s="1"/>
  <c r="H19" i="1"/>
  <c r="H33" i="1" s="1"/>
  <c r="H39" i="1" s="1"/>
  <c r="I19" i="1"/>
  <c r="J19" i="1"/>
  <c r="K19" i="1"/>
  <c r="K33" i="1" s="1"/>
  <c r="K39" i="1" s="1"/>
  <c r="L19" i="1"/>
  <c r="L33" i="1" s="1"/>
  <c r="L39" i="1" s="1"/>
  <c r="M19" i="1"/>
  <c r="M33" i="1" s="1"/>
  <c r="M39" i="1" s="1"/>
  <c r="N19" i="1"/>
  <c r="N25" i="1" s="1"/>
  <c r="O19" i="1"/>
  <c r="O25" i="1" s="1"/>
  <c r="P19" i="1"/>
  <c r="P25" i="1" s="1"/>
  <c r="Q19" i="1"/>
  <c r="R19" i="1"/>
  <c r="S19" i="1"/>
  <c r="S25" i="1" s="1"/>
  <c r="T19" i="1"/>
  <c r="T25" i="1" s="1"/>
  <c r="U19" i="1"/>
  <c r="U25" i="1" s="1"/>
  <c r="V19" i="1"/>
  <c r="V33" i="1" s="1"/>
  <c r="V39" i="1" s="1"/>
  <c r="W19" i="1"/>
  <c r="W33" i="1" s="1"/>
  <c r="W39" i="1" s="1"/>
  <c r="X19" i="1"/>
  <c r="X33" i="1" s="1"/>
  <c r="X39" i="1" s="1"/>
  <c r="Y19" i="1"/>
  <c r="E20" i="1"/>
  <c r="E26" i="1" s="1"/>
  <c r="F20" i="1"/>
  <c r="F34" i="1" s="1"/>
  <c r="F40" i="1" s="1"/>
  <c r="G20" i="1"/>
  <c r="G34" i="1" s="1"/>
  <c r="G40" i="1" s="1"/>
  <c r="H20" i="1"/>
  <c r="H34" i="1" s="1"/>
  <c r="H40" i="1" s="1"/>
  <c r="I20" i="1"/>
  <c r="I34" i="1" s="1"/>
  <c r="I40" i="1" s="1"/>
  <c r="J20" i="1"/>
  <c r="J34" i="1" s="1"/>
  <c r="J40" i="1" s="1"/>
  <c r="K20" i="1"/>
  <c r="K34" i="1" s="1"/>
  <c r="K40" i="1" s="1"/>
  <c r="L20" i="1"/>
  <c r="L34" i="1" s="1"/>
  <c r="L40" i="1" s="1"/>
  <c r="M20" i="1"/>
  <c r="M26" i="1" s="1"/>
  <c r="N20" i="1"/>
  <c r="N26" i="1" s="1"/>
  <c r="O20" i="1"/>
  <c r="O26" i="1" s="1"/>
  <c r="P20" i="1"/>
  <c r="Q20" i="1"/>
  <c r="Q26" i="1" s="1"/>
  <c r="R20" i="1"/>
  <c r="R34" i="1" s="1"/>
  <c r="R40" i="1" s="1"/>
  <c r="S20" i="1"/>
  <c r="S34" i="1" s="1"/>
  <c r="S40" i="1" s="1"/>
  <c r="T20" i="1"/>
  <c r="T34" i="1" s="1"/>
  <c r="T40" i="1" s="1"/>
  <c r="U20" i="1"/>
  <c r="U26" i="1" s="1"/>
  <c r="V20" i="1"/>
  <c r="V34" i="1" s="1"/>
  <c r="V40" i="1" s="1"/>
  <c r="W20" i="1"/>
  <c r="W34" i="1" s="1"/>
  <c r="W40" i="1" s="1"/>
  <c r="X20" i="1"/>
  <c r="X34" i="1" s="1"/>
  <c r="X40" i="1" s="1"/>
  <c r="Y20" i="1"/>
  <c r="Y34" i="1" s="1"/>
  <c r="Y40" i="1" s="1"/>
  <c r="E21" i="1"/>
  <c r="E35" i="1" s="1"/>
  <c r="E41" i="1" s="1"/>
  <c r="F21" i="1"/>
  <c r="G21" i="1"/>
  <c r="G35" i="1" s="1"/>
  <c r="G41" i="1" s="1"/>
  <c r="H21" i="1"/>
  <c r="H35" i="1" s="1"/>
  <c r="H41" i="1" s="1"/>
  <c r="I21" i="1"/>
  <c r="I35" i="1" s="1"/>
  <c r="I41" i="1" s="1"/>
  <c r="J21" i="1"/>
  <c r="J35" i="1" s="1"/>
  <c r="J41" i="1" s="1"/>
  <c r="K21" i="1"/>
  <c r="K35" i="1" s="1"/>
  <c r="K41" i="1" s="1"/>
  <c r="L21" i="1"/>
  <c r="M21" i="1"/>
  <c r="M35" i="1" s="1"/>
  <c r="M41" i="1" s="1"/>
  <c r="N21" i="1"/>
  <c r="N35" i="1" s="1"/>
  <c r="N41" i="1" s="1"/>
  <c r="O21" i="1"/>
  <c r="O27" i="1" s="1"/>
  <c r="P21" i="1"/>
  <c r="Q21" i="1"/>
  <c r="Q27" i="1" s="1"/>
  <c r="R21" i="1"/>
  <c r="R27" i="1" s="1"/>
  <c r="S21" i="1"/>
  <c r="S27" i="1" s="1"/>
  <c r="T21" i="1"/>
  <c r="T27" i="1" s="1"/>
  <c r="U21" i="1"/>
  <c r="U35" i="1" s="1"/>
  <c r="U41" i="1" s="1"/>
  <c r="V21" i="1"/>
  <c r="W21" i="1"/>
  <c r="W35" i="1" s="1"/>
  <c r="W41" i="1" s="1"/>
  <c r="X21" i="1"/>
  <c r="X35" i="1" s="1"/>
  <c r="X41" i="1" s="1"/>
  <c r="Y21" i="1"/>
  <c r="Y35" i="1" s="1"/>
  <c r="Y41" i="1" s="1"/>
  <c r="E22" i="1"/>
  <c r="E28" i="1" s="1"/>
  <c r="F22" i="1"/>
  <c r="F28" i="1" s="1"/>
  <c r="G22" i="1"/>
  <c r="G28" i="1" s="1"/>
  <c r="H22" i="1"/>
  <c r="H28" i="1" s="1"/>
  <c r="I22" i="1"/>
  <c r="I28" i="1" s="1"/>
  <c r="J22" i="1"/>
  <c r="J36" i="1" s="1"/>
  <c r="J42" i="1" s="1"/>
  <c r="K22" i="1"/>
  <c r="K36" i="1" s="1"/>
  <c r="K42" i="1" s="1"/>
  <c r="L22" i="1"/>
  <c r="L36" i="1" s="1"/>
  <c r="L42" i="1" s="1"/>
  <c r="M22" i="1"/>
  <c r="M36" i="1" s="1"/>
  <c r="M42" i="1" s="1"/>
  <c r="N22" i="1"/>
  <c r="N36" i="1" s="1"/>
  <c r="N42" i="1" s="1"/>
  <c r="O22" i="1"/>
  <c r="O36" i="1" s="1"/>
  <c r="O42" i="1" s="1"/>
  <c r="P22" i="1"/>
  <c r="P36" i="1" s="1"/>
  <c r="P42" i="1" s="1"/>
  <c r="Q22" i="1"/>
  <c r="R22" i="1"/>
  <c r="R36" i="1" s="1"/>
  <c r="R42" i="1" s="1"/>
  <c r="S22" i="1"/>
  <c r="S28" i="1" s="1"/>
  <c r="T22" i="1"/>
  <c r="T36" i="1" s="1"/>
  <c r="T42" i="1" s="1"/>
  <c r="U22" i="1"/>
  <c r="U28" i="1" s="1"/>
  <c r="V22" i="1"/>
  <c r="V28" i="1" s="1"/>
  <c r="W22" i="1"/>
  <c r="W28" i="1" s="1"/>
  <c r="X22" i="1"/>
  <c r="X28" i="1" s="1"/>
  <c r="Y22" i="1"/>
  <c r="Y28" i="1" s="1"/>
  <c r="E23" i="1"/>
  <c r="E37" i="1" s="1"/>
  <c r="E43" i="1" s="1"/>
  <c r="F23" i="1"/>
  <c r="G23" i="1"/>
  <c r="G29" i="1" s="1"/>
  <c r="H23" i="1"/>
  <c r="I23" i="1"/>
  <c r="I29" i="1" s="1"/>
  <c r="J23" i="1"/>
  <c r="J29" i="1" s="1"/>
  <c r="K23" i="1"/>
  <c r="K29" i="1" s="1"/>
  <c r="L23" i="1"/>
  <c r="L29" i="1" s="1"/>
  <c r="M23" i="1"/>
  <c r="M29" i="1" s="1"/>
  <c r="N23" i="1"/>
  <c r="N29" i="1" s="1"/>
  <c r="O23" i="1"/>
  <c r="O37" i="1" s="1"/>
  <c r="O43" i="1" s="1"/>
  <c r="P23" i="1"/>
  <c r="P29" i="1" s="1"/>
  <c r="Q23" i="1"/>
  <c r="Q37" i="1" s="1"/>
  <c r="Q43" i="1" s="1"/>
  <c r="R23" i="1"/>
  <c r="R37" i="1" s="1"/>
  <c r="R43" i="1" s="1"/>
  <c r="S23" i="1"/>
  <c r="S37" i="1" s="1"/>
  <c r="S43" i="1" s="1"/>
  <c r="T23" i="1"/>
  <c r="T37" i="1" s="1"/>
  <c r="T43" i="1" s="1"/>
  <c r="U23" i="1"/>
  <c r="U37" i="1" s="1"/>
  <c r="U43" i="1" s="1"/>
  <c r="V23" i="1"/>
  <c r="W23" i="1"/>
  <c r="W29" i="1" s="1"/>
  <c r="X23" i="1"/>
  <c r="Y23" i="1"/>
  <c r="Y29" i="1" s="1"/>
  <c r="D32" i="1"/>
  <c r="D34" i="1"/>
  <c r="D40" i="1" s="1"/>
  <c r="D35" i="1"/>
  <c r="D41" i="1" s="1"/>
  <c r="D23" i="1"/>
  <c r="D37" i="1" s="1"/>
  <c r="D43" i="1" s="1"/>
  <c r="D22" i="1"/>
  <c r="D36" i="1" s="1"/>
  <c r="D42" i="1" s="1"/>
  <c r="D21" i="1"/>
  <c r="D27" i="1" s="1"/>
  <c r="D20" i="1"/>
  <c r="D26" i="1" s="1"/>
  <c r="D19" i="1"/>
  <c r="D33" i="1" s="1"/>
  <c r="D39" i="1" s="1"/>
  <c r="Q35" i="1" l="1"/>
  <c r="Q41" i="1" s="1"/>
  <c r="K27" i="1"/>
  <c r="O35" i="1"/>
  <c r="O41" i="1" s="1"/>
  <c r="Y27" i="1"/>
  <c r="I27" i="1"/>
  <c r="I48" i="1" s="1"/>
  <c r="X27" i="1"/>
  <c r="H27" i="1"/>
  <c r="W27" i="1"/>
  <c r="G27" i="1"/>
  <c r="U27" i="1"/>
  <c r="E27" i="1"/>
  <c r="V36" i="1"/>
  <c r="V42" i="1" s="1"/>
  <c r="F36" i="1"/>
  <c r="F42" i="1" s="1"/>
  <c r="O28" i="1"/>
  <c r="S36" i="1"/>
  <c r="S42" i="1" s="1"/>
  <c r="N28" i="1"/>
  <c r="N48" i="1" s="1"/>
  <c r="M28" i="1"/>
  <c r="L28" i="1"/>
  <c r="K28" i="1"/>
  <c r="J28" i="1"/>
  <c r="D28" i="1"/>
  <c r="O34" i="1"/>
  <c r="O40" i="1" s="1"/>
  <c r="J26" i="1"/>
  <c r="N34" i="1"/>
  <c r="N40" i="1" s="1"/>
  <c r="W26" i="1"/>
  <c r="G26" i="1"/>
  <c r="V26" i="1"/>
  <c r="F26" i="1"/>
  <c r="T26" i="1"/>
  <c r="S26" i="1"/>
  <c r="R26" i="1"/>
  <c r="P48" i="1"/>
  <c r="M37" i="1"/>
  <c r="M43" i="1" s="1"/>
  <c r="M48" i="1"/>
  <c r="K37" i="1"/>
  <c r="K43" i="1" s="1"/>
  <c r="K49" i="1" s="1"/>
  <c r="J48" i="1"/>
  <c r="M49" i="1"/>
  <c r="J37" i="1"/>
  <c r="J43" i="1" s="1"/>
  <c r="J49" i="1" s="1"/>
  <c r="T29" i="1"/>
  <c r="L49" i="1"/>
  <c r="Y37" i="1"/>
  <c r="Y43" i="1" s="1"/>
  <c r="Y49" i="1" s="1"/>
  <c r="I37" i="1"/>
  <c r="I43" i="1" s="1"/>
  <c r="I49" i="1" s="1"/>
  <c r="S29" i="1"/>
  <c r="U49" i="1"/>
  <c r="R29" i="1"/>
  <c r="R48" i="1" s="1"/>
  <c r="D49" i="1"/>
  <c r="R49" i="1"/>
  <c r="Q29" i="1"/>
  <c r="Q48" i="1" s="1"/>
  <c r="Q49" i="1"/>
  <c r="X49" i="1"/>
  <c r="H49" i="1"/>
  <c r="O29" i="1"/>
  <c r="O48" i="1" s="1"/>
  <c r="W49" i="1"/>
  <c r="G49" i="1"/>
  <c r="D29" i="1"/>
  <c r="D48" i="1" s="1"/>
  <c r="V49" i="1"/>
  <c r="F49" i="1"/>
  <c r="E49" i="1"/>
  <c r="U48" i="1"/>
  <c r="E48" i="1"/>
  <c r="S48" i="1"/>
  <c r="Y48" i="1"/>
  <c r="T33" i="1"/>
  <c r="T39" i="1" s="1"/>
  <c r="T49" i="1" s="1"/>
  <c r="L25" i="1"/>
  <c r="L48" i="1" s="1"/>
  <c r="S33" i="1"/>
  <c r="S39" i="1" s="1"/>
  <c r="K25" i="1"/>
  <c r="K48" i="1" s="1"/>
  <c r="P33" i="1"/>
  <c r="P39" i="1" s="1"/>
  <c r="P49" i="1" s="1"/>
  <c r="X25" i="1"/>
  <c r="X48" i="1" s="1"/>
  <c r="H25" i="1"/>
  <c r="H48" i="1" s="1"/>
  <c r="O33" i="1"/>
  <c r="O39" i="1" s="1"/>
  <c r="O49" i="1" s="1"/>
  <c r="W25" i="1"/>
  <c r="W48" i="1" s="1"/>
  <c r="G25" i="1"/>
  <c r="G48" i="1" s="1"/>
  <c r="N33" i="1"/>
  <c r="N39" i="1" s="1"/>
  <c r="N49" i="1" s="1"/>
  <c r="V25" i="1"/>
  <c r="F25" i="1"/>
  <c r="F48" i="1" s="1"/>
  <c r="S49" i="1" l="1"/>
  <c r="V48" i="1"/>
  <c r="T48" i="1"/>
  <c r="D18" i="1" l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D4" i="1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EL13" i="4"/>
  <c r="EM13" i="4"/>
  <c r="EN13" i="4"/>
  <c r="EO13" i="4"/>
  <c r="EP13" i="4"/>
  <c r="EQ13" i="4"/>
  <c r="ER13" i="4"/>
  <c r="ES13" i="4"/>
  <c r="ET13" i="4"/>
  <c r="EU13" i="4"/>
  <c r="EV13" i="4"/>
  <c r="EW13" i="4"/>
  <c r="EX13" i="4"/>
  <c r="EY13" i="4"/>
  <c r="EZ13" i="4"/>
  <c r="FA13" i="4"/>
  <c r="FB13" i="4"/>
  <c r="FC13" i="4"/>
  <c r="FD13" i="4"/>
  <c r="FE13" i="4"/>
  <c r="FF13" i="4"/>
  <c r="FG13" i="4"/>
  <c r="FH13" i="4"/>
  <c r="FI13" i="4"/>
  <c r="FJ13" i="4"/>
  <c r="FK13" i="4"/>
  <c r="FL13" i="4"/>
  <c r="FM13" i="4"/>
  <c r="FN13" i="4"/>
  <c r="FO13" i="4"/>
  <c r="FP13" i="4"/>
  <c r="FQ13" i="4"/>
  <c r="FR13" i="4"/>
  <c r="FS13" i="4"/>
  <c r="FT13" i="4"/>
  <c r="FU13" i="4"/>
  <c r="FP1" i="13"/>
  <c r="FQ1" i="13"/>
  <c r="FR1" i="13"/>
  <c r="C1" i="13"/>
  <c r="D1" i="13"/>
  <c r="E1" i="13"/>
  <c r="F1" i="13"/>
  <c r="G1" i="13"/>
  <c r="H1" i="13"/>
  <c r="I1" i="13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Z1" i="13"/>
  <c r="AA1" i="13"/>
  <c r="AB1" i="13"/>
  <c r="AC1" i="13"/>
  <c r="AD1" i="13"/>
  <c r="AE1" i="13"/>
  <c r="AF1" i="13"/>
  <c r="AG1" i="13"/>
  <c r="AH1" i="13"/>
  <c r="AI1" i="13"/>
  <c r="AJ1" i="13"/>
  <c r="AK1" i="13"/>
  <c r="AL1" i="13"/>
  <c r="AM1" i="13"/>
  <c r="AN1" i="13"/>
  <c r="AO1" i="13"/>
  <c r="AP1" i="13"/>
  <c r="AQ1" i="13"/>
  <c r="AR1" i="13"/>
  <c r="AS1" i="13"/>
  <c r="AT1" i="13"/>
  <c r="AU1" i="13"/>
  <c r="AV1" i="13"/>
  <c r="AW1" i="13"/>
  <c r="AX1" i="13"/>
  <c r="AY1" i="13"/>
  <c r="AZ1" i="13"/>
  <c r="BA1" i="13"/>
  <c r="BB1" i="13"/>
  <c r="BC1" i="13"/>
  <c r="BD1" i="13"/>
  <c r="BE1" i="13"/>
  <c r="BF1" i="13"/>
  <c r="BG1" i="13"/>
  <c r="BH1" i="13"/>
  <c r="BI1" i="13"/>
  <c r="BJ1" i="13"/>
  <c r="BK1" i="13"/>
  <c r="BL1" i="13"/>
  <c r="BM1" i="13"/>
  <c r="BN1" i="13"/>
  <c r="BO1" i="13"/>
  <c r="BP1" i="13"/>
  <c r="BQ1" i="13"/>
  <c r="BR1" i="13"/>
  <c r="BS1" i="13"/>
  <c r="BT1" i="13"/>
  <c r="BU1" i="13"/>
  <c r="BV1" i="13"/>
  <c r="BW1" i="13"/>
  <c r="BX1" i="13"/>
  <c r="BY1" i="13"/>
  <c r="BZ1" i="13"/>
  <c r="CA1" i="13"/>
  <c r="CB1" i="13"/>
  <c r="CC1" i="13"/>
  <c r="CD1" i="13"/>
  <c r="CE1" i="13"/>
  <c r="CF1" i="13"/>
  <c r="CG1" i="13"/>
  <c r="CH1" i="13"/>
  <c r="CI1" i="13"/>
  <c r="CJ1" i="13"/>
  <c r="CK1" i="13"/>
  <c r="CL1" i="13"/>
  <c r="CM1" i="13"/>
  <c r="CN1" i="13"/>
  <c r="CO1" i="13"/>
  <c r="CP1" i="13"/>
  <c r="CQ1" i="13"/>
  <c r="CR1" i="13"/>
  <c r="CS1" i="13"/>
  <c r="CT1" i="13"/>
  <c r="CU1" i="13"/>
  <c r="CV1" i="13"/>
  <c r="CW1" i="13"/>
  <c r="CX1" i="13"/>
  <c r="CY1" i="13"/>
  <c r="CZ1" i="13"/>
  <c r="DA1" i="13"/>
  <c r="DB1" i="13"/>
  <c r="DC1" i="13"/>
  <c r="DD1" i="13"/>
  <c r="DE1" i="13"/>
  <c r="DF1" i="13"/>
  <c r="DG1" i="13"/>
  <c r="DH1" i="13"/>
  <c r="DI1" i="13"/>
  <c r="DJ1" i="13"/>
  <c r="DK1" i="13"/>
  <c r="DL1" i="13"/>
  <c r="DM1" i="13"/>
  <c r="DN1" i="13"/>
  <c r="DO1" i="13"/>
  <c r="DP1" i="13"/>
  <c r="DQ1" i="13"/>
  <c r="DR1" i="13"/>
  <c r="DS1" i="13"/>
  <c r="DT1" i="13"/>
  <c r="DU1" i="13"/>
  <c r="DV1" i="13"/>
  <c r="DW1" i="13"/>
  <c r="DX1" i="13"/>
  <c r="DY1" i="13"/>
  <c r="DZ1" i="13"/>
  <c r="EA1" i="13"/>
  <c r="EB1" i="13"/>
  <c r="EC1" i="13"/>
  <c r="ED1" i="13"/>
  <c r="EE1" i="13"/>
  <c r="EF1" i="13"/>
  <c r="EG1" i="13"/>
  <c r="EH1" i="13"/>
  <c r="EI1" i="13"/>
  <c r="EJ1" i="13"/>
  <c r="EK1" i="13"/>
  <c r="EL1" i="13"/>
  <c r="EM1" i="13"/>
  <c r="EN1" i="13"/>
  <c r="EO1" i="13"/>
  <c r="EP1" i="13"/>
  <c r="EQ1" i="13"/>
  <c r="ER1" i="13"/>
  <c r="ES1" i="13"/>
  <c r="ET1" i="13"/>
  <c r="EU1" i="13"/>
  <c r="EV1" i="13"/>
  <c r="EW1" i="13"/>
  <c r="EX1" i="13"/>
  <c r="EY1" i="13"/>
  <c r="EZ1" i="13"/>
  <c r="FA1" i="13"/>
  <c r="FB1" i="13"/>
  <c r="FC1" i="13"/>
  <c r="FD1" i="13"/>
  <c r="FE1" i="13"/>
  <c r="FF1" i="13"/>
  <c r="FG1" i="13"/>
  <c r="FH1" i="13"/>
  <c r="FI1" i="13"/>
  <c r="FJ1" i="13"/>
  <c r="FK1" i="13"/>
  <c r="FL1" i="13"/>
  <c r="FM1" i="13"/>
  <c r="FN1" i="13"/>
  <c r="FO1" i="13"/>
  <c r="B1" i="13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W23" i="11"/>
  <c r="AX23" i="11"/>
  <c r="AY23" i="11"/>
  <c r="AZ23" i="11"/>
  <c r="BA23" i="11"/>
  <c r="BB23" i="11"/>
  <c r="BC23" i="11"/>
  <c r="BD23" i="11"/>
  <c r="BE23" i="11"/>
  <c r="BF23" i="11"/>
  <c r="BG23" i="11"/>
  <c r="BH23" i="11"/>
  <c r="BI23" i="11"/>
  <c r="BJ23" i="11"/>
  <c r="BK23" i="11"/>
  <c r="BL23" i="11"/>
  <c r="BM23" i="11"/>
  <c r="BN23" i="11"/>
  <c r="BO23" i="11"/>
  <c r="BP23" i="11"/>
  <c r="BQ23" i="11"/>
  <c r="BR23" i="11"/>
  <c r="BS23" i="11"/>
  <c r="BT23" i="11"/>
  <c r="BU23" i="11"/>
  <c r="BV23" i="11"/>
  <c r="BW23" i="11"/>
  <c r="BX23" i="11"/>
  <c r="BY23" i="11"/>
  <c r="BZ23" i="11"/>
  <c r="CA23" i="11"/>
  <c r="CB23" i="11"/>
  <c r="CC23" i="11"/>
  <c r="CD23" i="11"/>
  <c r="CE23" i="11"/>
  <c r="CF23" i="11"/>
  <c r="CG23" i="11"/>
  <c r="CH23" i="11"/>
  <c r="CI23" i="11"/>
  <c r="CJ23" i="11"/>
  <c r="CK23" i="11"/>
  <c r="CL23" i="11"/>
  <c r="CM23" i="11"/>
  <c r="CN23" i="11"/>
  <c r="CO23" i="11"/>
  <c r="CP23" i="11"/>
  <c r="CQ23" i="11"/>
  <c r="CR23" i="11"/>
  <c r="CS23" i="11"/>
  <c r="CT23" i="11"/>
  <c r="CU23" i="11"/>
  <c r="CV23" i="11"/>
  <c r="CW23" i="11"/>
  <c r="CX23" i="11"/>
  <c r="CY23" i="11"/>
  <c r="CZ23" i="11"/>
  <c r="DA23" i="11"/>
  <c r="DB23" i="11"/>
  <c r="DC23" i="11"/>
  <c r="DD23" i="11"/>
  <c r="DE23" i="11"/>
  <c r="DF23" i="11"/>
  <c r="DG23" i="11"/>
  <c r="DH23" i="11"/>
  <c r="DI23" i="11"/>
  <c r="DJ23" i="11"/>
  <c r="DK23" i="11"/>
  <c r="DL23" i="11"/>
  <c r="DM23" i="11"/>
  <c r="DN23" i="11"/>
  <c r="DO23" i="11"/>
  <c r="DP23" i="11"/>
  <c r="DQ23" i="11"/>
  <c r="DR23" i="11"/>
  <c r="DS23" i="11"/>
  <c r="DT23" i="11"/>
  <c r="DU23" i="11"/>
  <c r="DV23" i="11"/>
  <c r="DW23" i="11"/>
  <c r="DX23" i="11"/>
  <c r="DY23" i="11"/>
  <c r="DZ23" i="11"/>
  <c r="EA23" i="11"/>
  <c r="EB23" i="11"/>
  <c r="EC23" i="11"/>
  <c r="ED23" i="11"/>
  <c r="EE23" i="11"/>
  <c r="EF23" i="11"/>
  <c r="EG23" i="11"/>
  <c r="EH23" i="11"/>
  <c r="EI23" i="11"/>
  <c r="EJ23" i="11"/>
  <c r="EK23" i="11"/>
  <c r="EL23" i="11"/>
  <c r="EM23" i="11"/>
  <c r="EN23" i="11"/>
  <c r="EO23" i="11"/>
  <c r="EP23" i="11"/>
  <c r="EQ23" i="11"/>
  <c r="ER23" i="11"/>
  <c r="ES23" i="11"/>
  <c r="ET23" i="11"/>
  <c r="EU23" i="11"/>
  <c r="EV23" i="11"/>
  <c r="EW23" i="11"/>
  <c r="EX23" i="11"/>
  <c r="EY23" i="11"/>
  <c r="EZ23" i="11"/>
  <c r="FA23" i="11"/>
  <c r="FB23" i="11"/>
  <c r="FC23" i="11"/>
  <c r="FD23" i="11"/>
  <c r="FE23" i="11"/>
  <c r="FF23" i="11"/>
  <c r="FG23" i="11"/>
  <c r="FH23" i="11"/>
  <c r="FI23" i="11"/>
  <c r="FJ23" i="11"/>
  <c r="FK23" i="11"/>
  <c r="FL23" i="11"/>
  <c r="FM23" i="11"/>
  <c r="FN23" i="11"/>
  <c r="FO23" i="11"/>
  <c r="FP23" i="11"/>
  <c r="FQ23" i="11"/>
  <c r="FR23" i="11"/>
  <c r="FS23" i="11"/>
  <c r="FT23" i="11"/>
  <c r="FU23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BA30" i="11"/>
  <c r="BB30" i="11"/>
  <c r="BC30" i="11"/>
  <c r="BD30" i="11"/>
  <c r="BE30" i="11"/>
  <c r="BF30" i="11"/>
  <c r="BG30" i="11"/>
  <c r="BH30" i="11"/>
  <c r="BI30" i="11"/>
  <c r="BJ30" i="11"/>
  <c r="BK30" i="11"/>
  <c r="BL30" i="11"/>
  <c r="BM30" i="11"/>
  <c r="BN30" i="11"/>
  <c r="BO30" i="11"/>
  <c r="BP30" i="11"/>
  <c r="BQ30" i="11"/>
  <c r="BR30" i="11"/>
  <c r="BS30" i="11"/>
  <c r="BT30" i="11"/>
  <c r="BU30" i="11"/>
  <c r="BV30" i="11"/>
  <c r="BW30" i="11"/>
  <c r="BX30" i="11"/>
  <c r="BY30" i="11"/>
  <c r="BZ30" i="11"/>
  <c r="CA30" i="11"/>
  <c r="CB30" i="11"/>
  <c r="CC30" i="11"/>
  <c r="CD30" i="11"/>
  <c r="CE30" i="11"/>
  <c r="CF30" i="11"/>
  <c r="CG30" i="11"/>
  <c r="CH30" i="11"/>
  <c r="CI30" i="11"/>
  <c r="CJ30" i="11"/>
  <c r="CK30" i="11"/>
  <c r="CL30" i="11"/>
  <c r="CM30" i="11"/>
  <c r="CN30" i="11"/>
  <c r="CO30" i="11"/>
  <c r="CP30" i="11"/>
  <c r="CQ30" i="11"/>
  <c r="CR30" i="11"/>
  <c r="CS30" i="11"/>
  <c r="CT30" i="11"/>
  <c r="CU30" i="11"/>
  <c r="CV30" i="11"/>
  <c r="CW30" i="11"/>
  <c r="CX30" i="11"/>
  <c r="CY30" i="11"/>
  <c r="CZ30" i="11"/>
  <c r="DA30" i="11"/>
  <c r="DB30" i="11"/>
  <c r="DC30" i="11"/>
  <c r="DD30" i="11"/>
  <c r="DE30" i="11"/>
  <c r="DF30" i="11"/>
  <c r="DG30" i="11"/>
  <c r="DH30" i="11"/>
  <c r="DI30" i="11"/>
  <c r="DJ30" i="11"/>
  <c r="DK30" i="11"/>
  <c r="DL30" i="11"/>
  <c r="DM30" i="11"/>
  <c r="DN30" i="11"/>
  <c r="DO30" i="11"/>
  <c r="DP30" i="11"/>
  <c r="DQ30" i="11"/>
  <c r="DR30" i="11"/>
  <c r="DS30" i="11"/>
  <c r="DT30" i="11"/>
  <c r="DU30" i="11"/>
  <c r="DV30" i="11"/>
  <c r="DW30" i="11"/>
  <c r="DX30" i="11"/>
  <c r="DY30" i="11"/>
  <c r="DZ30" i="11"/>
  <c r="EA30" i="11"/>
  <c r="EB30" i="11"/>
  <c r="EC30" i="11"/>
  <c r="ED30" i="11"/>
  <c r="EE30" i="11"/>
  <c r="EF30" i="11"/>
  <c r="EG30" i="11"/>
  <c r="EH30" i="11"/>
  <c r="EI30" i="11"/>
  <c r="EJ30" i="11"/>
  <c r="EK30" i="11"/>
  <c r="EL30" i="11"/>
  <c r="EM30" i="11"/>
  <c r="EN30" i="11"/>
  <c r="EO30" i="11"/>
  <c r="EP30" i="11"/>
  <c r="EQ30" i="11"/>
  <c r="ER30" i="11"/>
  <c r="ES30" i="11"/>
  <c r="ET30" i="11"/>
  <c r="EU30" i="11"/>
  <c r="EV30" i="11"/>
  <c r="EW30" i="11"/>
  <c r="EX30" i="11"/>
  <c r="EY30" i="11"/>
  <c r="EZ30" i="11"/>
  <c r="FA30" i="11"/>
  <c r="FB30" i="11"/>
  <c r="FC30" i="11"/>
  <c r="FD30" i="11"/>
  <c r="FE30" i="11"/>
  <c r="FF30" i="11"/>
  <c r="FG30" i="11"/>
  <c r="FH30" i="11"/>
  <c r="FI30" i="11"/>
  <c r="FJ30" i="11"/>
  <c r="FK30" i="11"/>
  <c r="FL30" i="11"/>
  <c r="FM30" i="11"/>
  <c r="FN30" i="11"/>
  <c r="FO30" i="11"/>
  <c r="FP30" i="11"/>
  <c r="FQ30" i="11"/>
  <c r="FR30" i="11"/>
  <c r="FS30" i="11"/>
  <c r="FT30" i="11"/>
  <c r="FU30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X31" i="11"/>
  <c r="AY31" i="11"/>
  <c r="AZ31" i="11"/>
  <c r="BA31" i="11"/>
  <c r="BB31" i="11"/>
  <c r="BC31" i="11"/>
  <c r="BD31" i="11"/>
  <c r="BE31" i="11"/>
  <c r="BF31" i="11"/>
  <c r="BG31" i="11"/>
  <c r="BH31" i="11"/>
  <c r="BI31" i="11"/>
  <c r="BJ31" i="11"/>
  <c r="BK31" i="11"/>
  <c r="BL31" i="11"/>
  <c r="BM31" i="11"/>
  <c r="BN31" i="11"/>
  <c r="BO31" i="11"/>
  <c r="BP31" i="11"/>
  <c r="BQ31" i="11"/>
  <c r="BR31" i="11"/>
  <c r="BS31" i="11"/>
  <c r="BT31" i="11"/>
  <c r="BU31" i="11"/>
  <c r="BV31" i="11"/>
  <c r="BW31" i="11"/>
  <c r="BX31" i="11"/>
  <c r="BY31" i="11"/>
  <c r="BZ31" i="11"/>
  <c r="CA31" i="11"/>
  <c r="CB31" i="11"/>
  <c r="CC31" i="11"/>
  <c r="CD31" i="11"/>
  <c r="CE31" i="11"/>
  <c r="CF31" i="11"/>
  <c r="CG31" i="11"/>
  <c r="CH31" i="11"/>
  <c r="CI31" i="11"/>
  <c r="CJ31" i="11"/>
  <c r="CK31" i="11"/>
  <c r="CL31" i="11"/>
  <c r="CM31" i="11"/>
  <c r="CN31" i="11"/>
  <c r="CO31" i="11"/>
  <c r="CP31" i="11"/>
  <c r="CQ31" i="11"/>
  <c r="CR31" i="11"/>
  <c r="CS31" i="11"/>
  <c r="CT31" i="11"/>
  <c r="CU31" i="11"/>
  <c r="CV31" i="11"/>
  <c r="CW31" i="11"/>
  <c r="CX31" i="11"/>
  <c r="CY31" i="11"/>
  <c r="CZ31" i="11"/>
  <c r="DA31" i="11"/>
  <c r="DB31" i="11"/>
  <c r="DC31" i="11"/>
  <c r="DD31" i="11"/>
  <c r="DE31" i="11"/>
  <c r="DF31" i="11"/>
  <c r="DG31" i="11"/>
  <c r="DH31" i="11"/>
  <c r="DI31" i="11"/>
  <c r="DJ31" i="11"/>
  <c r="DK31" i="11"/>
  <c r="DL31" i="11"/>
  <c r="DM31" i="11"/>
  <c r="DN31" i="11"/>
  <c r="DO31" i="11"/>
  <c r="DP31" i="11"/>
  <c r="DQ31" i="11"/>
  <c r="DR31" i="11"/>
  <c r="DS31" i="11"/>
  <c r="DT31" i="11"/>
  <c r="DU31" i="11"/>
  <c r="DV31" i="11"/>
  <c r="DW31" i="11"/>
  <c r="DX31" i="11"/>
  <c r="DY31" i="11"/>
  <c r="DZ31" i="11"/>
  <c r="EA31" i="11"/>
  <c r="EB31" i="11"/>
  <c r="EC31" i="11"/>
  <c r="ED31" i="11"/>
  <c r="EE31" i="11"/>
  <c r="EF31" i="11"/>
  <c r="EG31" i="11"/>
  <c r="EH31" i="11"/>
  <c r="EI31" i="11"/>
  <c r="EJ31" i="11"/>
  <c r="EK31" i="11"/>
  <c r="EL31" i="11"/>
  <c r="EM31" i="11"/>
  <c r="EN31" i="11"/>
  <c r="EO31" i="11"/>
  <c r="EP31" i="11"/>
  <c r="EQ31" i="11"/>
  <c r="ER31" i="11"/>
  <c r="ES31" i="11"/>
  <c r="ET31" i="11"/>
  <c r="EU31" i="11"/>
  <c r="EV31" i="11"/>
  <c r="EW31" i="11"/>
  <c r="EX31" i="11"/>
  <c r="EY31" i="11"/>
  <c r="EZ31" i="11"/>
  <c r="FA31" i="11"/>
  <c r="FB31" i="11"/>
  <c r="FC31" i="11"/>
  <c r="FD31" i="11"/>
  <c r="FE31" i="11"/>
  <c r="FF31" i="11"/>
  <c r="FG31" i="11"/>
  <c r="FH31" i="11"/>
  <c r="FI31" i="11"/>
  <c r="FJ31" i="11"/>
  <c r="FK31" i="11"/>
  <c r="FL31" i="11"/>
  <c r="FM31" i="11"/>
  <c r="FN31" i="11"/>
  <c r="FO31" i="11"/>
  <c r="FP31" i="11"/>
  <c r="FQ31" i="11"/>
  <c r="FR31" i="11"/>
  <c r="FS31" i="11"/>
  <c r="FT31" i="11"/>
  <c r="FU31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BQ32" i="11"/>
  <c r="BR32" i="11"/>
  <c r="BS32" i="11"/>
  <c r="BT32" i="11"/>
  <c r="BU32" i="11"/>
  <c r="BV32" i="11"/>
  <c r="BW32" i="11"/>
  <c r="BX32" i="11"/>
  <c r="BY32" i="11"/>
  <c r="BZ32" i="11"/>
  <c r="CA32" i="11"/>
  <c r="CB32" i="11"/>
  <c r="CC32" i="11"/>
  <c r="CD32" i="11"/>
  <c r="CE32" i="11"/>
  <c r="CF32" i="11"/>
  <c r="CG32" i="11"/>
  <c r="CH32" i="11"/>
  <c r="CI32" i="11"/>
  <c r="CJ32" i="11"/>
  <c r="CK32" i="11"/>
  <c r="CL32" i="11"/>
  <c r="CM32" i="11"/>
  <c r="CN32" i="11"/>
  <c r="CO32" i="11"/>
  <c r="CP32" i="11"/>
  <c r="CQ32" i="11"/>
  <c r="CR32" i="11"/>
  <c r="CS32" i="11"/>
  <c r="CT32" i="11"/>
  <c r="CU32" i="11"/>
  <c r="CV32" i="11"/>
  <c r="CW32" i="11"/>
  <c r="CX32" i="11"/>
  <c r="CY32" i="11"/>
  <c r="CZ32" i="11"/>
  <c r="DA32" i="11"/>
  <c r="DB32" i="11"/>
  <c r="DC32" i="11"/>
  <c r="DD32" i="11"/>
  <c r="DE32" i="11"/>
  <c r="DF32" i="11"/>
  <c r="DG32" i="11"/>
  <c r="DH32" i="11"/>
  <c r="DI32" i="11"/>
  <c r="DJ32" i="11"/>
  <c r="DK32" i="11"/>
  <c r="DL32" i="11"/>
  <c r="DM32" i="11"/>
  <c r="DN32" i="11"/>
  <c r="DO32" i="11"/>
  <c r="DP32" i="11"/>
  <c r="DQ32" i="11"/>
  <c r="DR32" i="11"/>
  <c r="DS32" i="11"/>
  <c r="DT32" i="11"/>
  <c r="DU32" i="11"/>
  <c r="DV32" i="11"/>
  <c r="DW32" i="11"/>
  <c r="DX32" i="11"/>
  <c r="DY32" i="11"/>
  <c r="DZ32" i="11"/>
  <c r="EA32" i="11"/>
  <c r="EB32" i="11"/>
  <c r="EC32" i="11"/>
  <c r="ED32" i="11"/>
  <c r="EE32" i="11"/>
  <c r="EF32" i="11"/>
  <c r="EG32" i="11"/>
  <c r="EH32" i="11"/>
  <c r="EI32" i="11"/>
  <c r="EJ32" i="11"/>
  <c r="EK32" i="11"/>
  <c r="EL32" i="11"/>
  <c r="EM32" i="11"/>
  <c r="EN32" i="11"/>
  <c r="EO32" i="11"/>
  <c r="EP32" i="11"/>
  <c r="EQ32" i="11"/>
  <c r="ER32" i="11"/>
  <c r="ES32" i="11"/>
  <c r="ET32" i="11"/>
  <c r="EU32" i="11"/>
  <c r="EV32" i="11"/>
  <c r="EW32" i="11"/>
  <c r="EX32" i="11"/>
  <c r="EY32" i="11"/>
  <c r="EZ32" i="11"/>
  <c r="FA32" i="11"/>
  <c r="FB32" i="11"/>
  <c r="FC32" i="11"/>
  <c r="FD32" i="11"/>
  <c r="FE32" i="11"/>
  <c r="FF32" i="11"/>
  <c r="FG32" i="11"/>
  <c r="FH32" i="11"/>
  <c r="FI32" i="11"/>
  <c r="FJ32" i="11"/>
  <c r="FK32" i="11"/>
  <c r="FL32" i="11"/>
  <c r="FM32" i="11"/>
  <c r="FN32" i="11"/>
  <c r="FO32" i="11"/>
  <c r="FP32" i="11"/>
  <c r="FQ32" i="11"/>
  <c r="FR32" i="11"/>
  <c r="FS32" i="11"/>
  <c r="FT32" i="11"/>
  <c r="FU32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BQ33" i="11"/>
  <c r="BR33" i="11"/>
  <c r="BS33" i="11"/>
  <c r="BT33" i="11"/>
  <c r="BU33" i="11"/>
  <c r="BV33" i="11"/>
  <c r="BW33" i="11"/>
  <c r="BX33" i="11"/>
  <c r="BY33" i="11"/>
  <c r="BZ33" i="11"/>
  <c r="CA33" i="11"/>
  <c r="CB33" i="11"/>
  <c r="CC33" i="11"/>
  <c r="CD33" i="11"/>
  <c r="CE33" i="11"/>
  <c r="CF33" i="11"/>
  <c r="CG33" i="11"/>
  <c r="CH33" i="11"/>
  <c r="CI33" i="11"/>
  <c r="CJ33" i="11"/>
  <c r="CK33" i="11"/>
  <c r="CL33" i="11"/>
  <c r="CM33" i="11"/>
  <c r="CN33" i="11"/>
  <c r="CO33" i="11"/>
  <c r="CP33" i="11"/>
  <c r="CQ33" i="11"/>
  <c r="CR33" i="11"/>
  <c r="CS33" i="11"/>
  <c r="CT33" i="11"/>
  <c r="CU33" i="11"/>
  <c r="CV33" i="11"/>
  <c r="CW33" i="11"/>
  <c r="CX33" i="11"/>
  <c r="CY33" i="11"/>
  <c r="CZ33" i="11"/>
  <c r="DA33" i="11"/>
  <c r="DB33" i="11"/>
  <c r="DC33" i="11"/>
  <c r="DD33" i="11"/>
  <c r="DE33" i="11"/>
  <c r="DF33" i="11"/>
  <c r="DG33" i="11"/>
  <c r="DH33" i="11"/>
  <c r="DI33" i="11"/>
  <c r="DJ33" i="11"/>
  <c r="DK33" i="11"/>
  <c r="DL33" i="11"/>
  <c r="DM33" i="11"/>
  <c r="DN33" i="11"/>
  <c r="DO33" i="11"/>
  <c r="DP33" i="11"/>
  <c r="DQ33" i="11"/>
  <c r="DR33" i="11"/>
  <c r="DS33" i="11"/>
  <c r="DT33" i="11"/>
  <c r="DU33" i="11"/>
  <c r="DV33" i="11"/>
  <c r="DW33" i="11"/>
  <c r="DX33" i="11"/>
  <c r="DY33" i="11"/>
  <c r="DZ33" i="11"/>
  <c r="EA33" i="11"/>
  <c r="EB33" i="11"/>
  <c r="EC33" i="11"/>
  <c r="ED33" i="11"/>
  <c r="EE33" i="11"/>
  <c r="EF33" i="11"/>
  <c r="EG33" i="11"/>
  <c r="EH33" i="11"/>
  <c r="EI33" i="11"/>
  <c r="EJ33" i="11"/>
  <c r="EK33" i="11"/>
  <c r="EL33" i="11"/>
  <c r="EM33" i="11"/>
  <c r="EN33" i="11"/>
  <c r="EO33" i="11"/>
  <c r="EP33" i="11"/>
  <c r="EQ33" i="11"/>
  <c r="ER33" i="11"/>
  <c r="ES33" i="11"/>
  <c r="ET33" i="11"/>
  <c r="EU33" i="11"/>
  <c r="EV33" i="11"/>
  <c r="EW33" i="11"/>
  <c r="EX33" i="11"/>
  <c r="EY33" i="11"/>
  <c r="EZ33" i="11"/>
  <c r="FA33" i="11"/>
  <c r="FB33" i="11"/>
  <c r="FC33" i="11"/>
  <c r="FD33" i="11"/>
  <c r="FE33" i="11"/>
  <c r="FF33" i="11"/>
  <c r="FG33" i="11"/>
  <c r="FH33" i="11"/>
  <c r="FI33" i="11"/>
  <c r="FJ33" i="11"/>
  <c r="FK33" i="11"/>
  <c r="FL33" i="11"/>
  <c r="FM33" i="11"/>
  <c r="FN33" i="11"/>
  <c r="FO33" i="11"/>
  <c r="FP33" i="11"/>
  <c r="FQ33" i="11"/>
  <c r="FR33" i="11"/>
  <c r="FS33" i="11"/>
  <c r="FT33" i="11"/>
  <c r="FU33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J34" i="11"/>
  <c r="AK34" i="11"/>
  <c r="AL34" i="11"/>
  <c r="AM34" i="11"/>
  <c r="AN34" i="11"/>
  <c r="AO34" i="11"/>
  <c r="AP34" i="11"/>
  <c r="AQ34" i="11"/>
  <c r="AR34" i="11"/>
  <c r="AS34" i="11"/>
  <c r="AT34" i="11"/>
  <c r="AU34" i="11"/>
  <c r="AV34" i="11"/>
  <c r="AW34" i="11"/>
  <c r="AX34" i="11"/>
  <c r="AY34" i="11"/>
  <c r="AZ34" i="11"/>
  <c r="BA34" i="11"/>
  <c r="BB34" i="11"/>
  <c r="BC34" i="11"/>
  <c r="BD34" i="11"/>
  <c r="BE34" i="11"/>
  <c r="BF34" i="11"/>
  <c r="BG34" i="11"/>
  <c r="BH34" i="11"/>
  <c r="BI34" i="11"/>
  <c r="BJ34" i="11"/>
  <c r="BK34" i="11"/>
  <c r="BL34" i="11"/>
  <c r="BM34" i="11"/>
  <c r="BN34" i="11"/>
  <c r="BO34" i="11"/>
  <c r="BP34" i="11"/>
  <c r="BQ34" i="11"/>
  <c r="BR34" i="11"/>
  <c r="BS34" i="11"/>
  <c r="BT34" i="11"/>
  <c r="BU34" i="11"/>
  <c r="BV34" i="11"/>
  <c r="BW34" i="11"/>
  <c r="BX34" i="11"/>
  <c r="BY34" i="11"/>
  <c r="BZ34" i="11"/>
  <c r="CA34" i="11"/>
  <c r="CB34" i="11"/>
  <c r="CC34" i="11"/>
  <c r="CD34" i="11"/>
  <c r="CE34" i="11"/>
  <c r="CF34" i="11"/>
  <c r="CG34" i="11"/>
  <c r="CH34" i="11"/>
  <c r="CI34" i="11"/>
  <c r="CJ34" i="11"/>
  <c r="CK34" i="11"/>
  <c r="CL34" i="11"/>
  <c r="CM34" i="11"/>
  <c r="CN34" i="11"/>
  <c r="CO34" i="11"/>
  <c r="CP34" i="11"/>
  <c r="CQ34" i="11"/>
  <c r="CR34" i="11"/>
  <c r="CS34" i="11"/>
  <c r="CT34" i="11"/>
  <c r="CU34" i="11"/>
  <c r="CV34" i="11"/>
  <c r="CW34" i="11"/>
  <c r="CX34" i="11"/>
  <c r="CY34" i="11"/>
  <c r="CZ34" i="11"/>
  <c r="DA34" i="11"/>
  <c r="DB34" i="11"/>
  <c r="DC34" i="11"/>
  <c r="DD34" i="11"/>
  <c r="DE34" i="11"/>
  <c r="DF34" i="11"/>
  <c r="DG34" i="11"/>
  <c r="DH34" i="11"/>
  <c r="DI34" i="11"/>
  <c r="DJ34" i="11"/>
  <c r="DK34" i="11"/>
  <c r="DL34" i="11"/>
  <c r="DM34" i="11"/>
  <c r="DN34" i="11"/>
  <c r="DO34" i="11"/>
  <c r="DP34" i="11"/>
  <c r="DQ34" i="11"/>
  <c r="DR34" i="11"/>
  <c r="DS34" i="11"/>
  <c r="DT34" i="11"/>
  <c r="DU34" i="11"/>
  <c r="DV34" i="11"/>
  <c r="DW34" i="11"/>
  <c r="DX34" i="11"/>
  <c r="DY34" i="11"/>
  <c r="DZ34" i="11"/>
  <c r="EA34" i="11"/>
  <c r="EB34" i="11"/>
  <c r="EC34" i="11"/>
  <c r="ED34" i="11"/>
  <c r="EE34" i="11"/>
  <c r="EF34" i="11"/>
  <c r="EG34" i="11"/>
  <c r="EH34" i="11"/>
  <c r="EI34" i="11"/>
  <c r="EJ34" i="11"/>
  <c r="EK34" i="11"/>
  <c r="EL34" i="11"/>
  <c r="EM34" i="11"/>
  <c r="EN34" i="11"/>
  <c r="EO34" i="11"/>
  <c r="EP34" i="11"/>
  <c r="EQ34" i="11"/>
  <c r="ER34" i="11"/>
  <c r="ES34" i="11"/>
  <c r="ET34" i="11"/>
  <c r="EU34" i="11"/>
  <c r="EV34" i="11"/>
  <c r="EW34" i="11"/>
  <c r="EX34" i="11"/>
  <c r="EY34" i="11"/>
  <c r="EZ34" i="11"/>
  <c r="FA34" i="11"/>
  <c r="FB34" i="11"/>
  <c r="FC34" i="11"/>
  <c r="FD34" i="11"/>
  <c r="FE34" i="11"/>
  <c r="FF34" i="11"/>
  <c r="FG34" i="11"/>
  <c r="FH34" i="11"/>
  <c r="FI34" i="11"/>
  <c r="FJ34" i="11"/>
  <c r="FK34" i="11"/>
  <c r="FL34" i="11"/>
  <c r="FM34" i="11"/>
  <c r="FN34" i="11"/>
  <c r="FO34" i="11"/>
  <c r="FP34" i="11"/>
  <c r="FQ34" i="11"/>
  <c r="FR34" i="11"/>
  <c r="FS34" i="11"/>
  <c r="FT34" i="11"/>
  <c r="FU34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J35" i="11"/>
  <c r="AK35" i="11"/>
  <c r="AL35" i="11"/>
  <c r="AM35" i="11"/>
  <c r="AN35" i="11"/>
  <c r="AO35" i="11"/>
  <c r="AP35" i="11"/>
  <c r="AQ35" i="11"/>
  <c r="AR35" i="11"/>
  <c r="AS35" i="11"/>
  <c r="AT35" i="11"/>
  <c r="AU35" i="11"/>
  <c r="AV35" i="11"/>
  <c r="AW35" i="11"/>
  <c r="AX35" i="11"/>
  <c r="AY35" i="11"/>
  <c r="AZ35" i="11"/>
  <c r="BA35" i="11"/>
  <c r="BB35" i="11"/>
  <c r="BC35" i="11"/>
  <c r="BD35" i="11"/>
  <c r="BE35" i="11"/>
  <c r="BF35" i="11"/>
  <c r="BG35" i="11"/>
  <c r="BH35" i="11"/>
  <c r="BI35" i="11"/>
  <c r="BJ35" i="11"/>
  <c r="BK35" i="11"/>
  <c r="BL35" i="11"/>
  <c r="BM35" i="11"/>
  <c r="BN35" i="11"/>
  <c r="BO35" i="11"/>
  <c r="BP35" i="11"/>
  <c r="BQ35" i="11"/>
  <c r="BR35" i="11"/>
  <c r="BS35" i="11"/>
  <c r="BT35" i="11"/>
  <c r="BU35" i="11"/>
  <c r="BV35" i="11"/>
  <c r="BW35" i="11"/>
  <c r="BX35" i="11"/>
  <c r="BY35" i="11"/>
  <c r="BZ35" i="11"/>
  <c r="CA35" i="11"/>
  <c r="CB35" i="11"/>
  <c r="CC35" i="11"/>
  <c r="CD35" i="11"/>
  <c r="CE35" i="11"/>
  <c r="CF35" i="11"/>
  <c r="CG35" i="11"/>
  <c r="CH35" i="11"/>
  <c r="CI35" i="11"/>
  <c r="CJ35" i="11"/>
  <c r="CK35" i="11"/>
  <c r="CL35" i="11"/>
  <c r="CM35" i="11"/>
  <c r="CN35" i="11"/>
  <c r="CO35" i="11"/>
  <c r="CP35" i="11"/>
  <c r="CQ35" i="11"/>
  <c r="CR35" i="11"/>
  <c r="CS35" i="11"/>
  <c r="CT35" i="11"/>
  <c r="CU35" i="11"/>
  <c r="CV35" i="11"/>
  <c r="CW35" i="11"/>
  <c r="CX35" i="11"/>
  <c r="CY35" i="11"/>
  <c r="CZ35" i="11"/>
  <c r="DA35" i="11"/>
  <c r="DB35" i="11"/>
  <c r="DC35" i="11"/>
  <c r="DD35" i="11"/>
  <c r="DE35" i="11"/>
  <c r="DF35" i="11"/>
  <c r="DG35" i="11"/>
  <c r="DH35" i="11"/>
  <c r="DI35" i="11"/>
  <c r="DJ35" i="11"/>
  <c r="DK35" i="11"/>
  <c r="DL35" i="11"/>
  <c r="DM35" i="11"/>
  <c r="DN35" i="11"/>
  <c r="DO35" i="11"/>
  <c r="DP35" i="11"/>
  <c r="DQ35" i="11"/>
  <c r="DR35" i="11"/>
  <c r="DS35" i="11"/>
  <c r="DT35" i="11"/>
  <c r="DU35" i="11"/>
  <c r="DV35" i="11"/>
  <c r="DW35" i="11"/>
  <c r="DX35" i="11"/>
  <c r="DY35" i="11"/>
  <c r="DZ35" i="11"/>
  <c r="EA35" i="11"/>
  <c r="EB35" i="11"/>
  <c r="EC35" i="11"/>
  <c r="ED35" i="11"/>
  <c r="EE35" i="11"/>
  <c r="EF35" i="11"/>
  <c r="EG35" i="11"/>
  <c r="EH35" i="11"/>
  <c r="EI35" i="11"/>
  <c r="EJ35" i="11"/>
  <c r="EK35" i="11"/>
  <c r="EL35" i="11"/>
  <c r="EM35" i="11"/>
  <c r="EN35" i="11"/>
  <c r="EO35" i="11"/>
  <c r="EP35" i="11"/>
  <c r="EQ35" i="11"/>
  <c r="ER35" i="11"/>
  <c r="ES35" i="11"/>
  <c r="ET35" i="11"/>
  <c r="EU35" i="11"/>
  <c r="EV35" i="11"/>
  <c r="EW35" i="11"/>
  <c r="EX35" i="11"/>
  <c r="EY35" i="11"/>
  <c r="EZ35" i="11"/>
  <c r="FA35" i="11"/>
  <c r="FB35" i="11"/>
  <c r="FC35" i="11"/>
  <c r="FD35" i="11"/>
  <c r="FE35" i="11"/>
  <c r="FF35" i="11"/>
  <c r="FG35" i="11"/>
  <c r="FH35" i="11"/>
  <c r="FI35" i="11"/>
  <c r="FJ35" i="11"/>
  <c r="FK35" i="11"/>
  <c r="FL35" i="11"/>
  <c r="FM35" i="11"/>
  <c r="FN35" i="11"/>
  <c r="FO35" i="11"/>
  <c r="FP35" i="11"/>
  <c r="FQ35" i="11"/>
  <c r="FR35" i="11"/>
  <c r="FS35" i="11"/>
  <c r="FT35" i="11"/>
  <c r="FU35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J36" i="11"/>
  <c r="AK36" i="11"/>
  <c r="AL36" i="11"/>
  <c r="AM36" i="11"/>
  <c r="AN36" i="11"/>
  <c r="AO36" i="11"/>
  <c r="AP36" i="11"/>
  <c r="AQ36" i="11"/>
  <c r="AR36" i="11"/>
  <c r="AS36" i="11"/>
  <c r="AT36" i="11"/>
  <c r="AU36" i="11"/>
  <c r="AV36" i="11"/>
  <c r="AW36" i="11"/>
  <c r="AX36" i="11"/>
  <c r="AY36" i="11"/>
  <c r="AZ36" i="11"/>
  <c r="BA36" i="11"/>
  <c r="BB36" i="11"/>
  <c r="BC36" i="11"/>
  <c r="BD36" i="11"/>
  <c r="BE36" i="11"/>
  <c r="BF36" i="11"/>
  <c r="BG36" i="11"/>
  <c r="BH36" i="11"/>
  <c r="BI36" i="11"/>
  <c r="BJ36" i="11"/>
  <c r="BK36" i="11"/>
  <c r="BL36" i="11"/>
  <c r="BM36" i="11"/>
  <c r="BN36" i="11"/>
  <c r="BO36" i="11"/>
  <c r="BP36" i="11"/>
  <c r="BQ36" i="11"/>
  <c r="BR36" i="11"/>
  <c r="BS36" i="11"/>
  <c r="BT36" i="11"/>
  <c r="BU36" i="11"/>
  <c r="BV36" i="11"/>
  <c r="BW36" i="11"/>
  <c r="BX36" i="11"/>
  <c r="BY36" i="11"/>
  <c r="BZ36" i="11"/>
  <c r="CA36" i="11"/>
  <c r="CB36" i="11"/>
  <c r="CC36" i="11"/>
  <c r="CD36" i="11"/>
  <c r="CE36" i="11"/>
  <c r="CF36" i="11"/>
  <c r="CG36" i="11"/>
  <c r="CH36" i="11"/>
  <c r="CI36" i="11"/>
  <c r="CJ36" i="11"/>
  <c r="CK36" i="11"/>
  <c r="CL36" i="11"/>
  <c r="CM36" i="11"/>
  <c r="CN36" i="11"/>
  <c r="CO36" i="11"/>
  <c r="CP36" i="11"/>
  <c r="CQ36" i="11"/>
  <c r="CR36" i="11"/>
  <c r="CS36" i="11"/>
  <c r="CT36" i="11"/>
  <c r="CU36" i="11"/>
  <c r="CV36" i="11"/>
  <c r="CW36" i="11"/>
  <c r="CX36" i="11"/>
  <c r="CY36" i="11"/>
  <c r="CZ36" i="11"/>
  <c r="DA36" i="11"/>
  <c r="DB36" i="11"/>
  <c r="DC36" i="11"/>
  <c r="DD36" i="11"/>
  <c r="DE36" i="11"/>
  <c r="DF36" i="11"/>
  <c r="DG36" i="11"/>
  <c r="DH36" i="11"/>
  <c r="DI36" i="11"/>
  <c r="DJ36" i="11"/>
  <c r="DK36" i="11"/>
  <c r="DL36" i="11"/>
  <c r="DM36" i="11"/>
  <c r="DN36" i="11"/>
  <c r="DO36" i="11"/>
  <c r="DP36" i="11"/>
  <c r="DQ36" i="11"/>
  <c r="DR36" i="11"/>
  <c r="DS36" i="11"/>
  <c r="DT36" i="11"/>
  <c r="DU36" i="11"/>
  <c r="DV36" i="11"/>
  <c r="DW36" i="11"/>
  <c r="DX36" i="11"/>
  <c r="DY36" i="11"/>
  <c r="DZ36" i="11"/>
  <c r="EA36" i="11"/>
  <c r="EB36" i="11"/>
  <c r="EC36" i="11"/>
  <c r="ED36" i="11"/>
  <c r="EE36" i="11"/>
  <c r="EF36" i="11"/>
  <c r="EG36" i="11"/>
  <c r="EH36" i="11"/>
  <c r="EI36" i="11"/>
  <c r="EJ36" i="11"/>
  <c r="EK36" i="11"/>
  <c r="EL36" i="11"/>
  <c r="EM36" i="11"/>
  <c r="EN36" i="11"/>
  <c r="EO36" i="11"/>
  <c r="EP36" i="11"/>
  <c r="EQ36" i="11"/>
  <c r="ER36" i="11"/>
  <c r="ES36" i="11"/>
  <c r="ET36" i="11"/>
  <c r="EU36" i="11"/>
  <c r="EV36" i="11"/>
  <c r="EW36" i="11"/>
  <c r="EX36" i="11"/>
  <c r="EY36" i="11"/>
  <c r="EZ36" i="11"/>
  <c r="FA36" i="11"/>
  <c r="FB36" i="11"/>
  <c r="FC36" i="11"/>
  <c r="FD36" i="11"/>
  <c r="FE36" i="11"/>
  <c r="FF36" i="11"/>
  <c r="FG36" i="11"/>
  <c r="FH36" i="11"/>
  <c r="FI36" i="11"/>
  <c r="FJ36" i="11"/>
  <c r="FK36" i="11"/>
  <c r="FL36" i="11"/>
  <c r="FM36" i="11"/>
  <c r="FN36" i="11"/>
  <c r="FO36" i="11"/>
  <c r="FP36" i="11"/>
  <c r="FQ36" i="11"/>
  <c r="FR36" i="11"/>
  <c r="FS36" i="11"/>
  <c r="FT36" i="11"/>
  <c r="FU36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J37" i="11"/>
  <c r="AK37" i="11"/>
  <c r="AL37" i="11"/>
  <c r="AM37" i="11"/>
  <c r="AN37" i="11"/>
  <c r="AO37" i="11"/>
  <c r="AP37" i="11"/>
  <c r="AQ37" i="11"/>
  <c r="AR37" i="11"/>
  <c r="AS37" i="11"/>
  <c r="AT37" i="11"/>
  <c r="AU37" i="11"/>
  <c r="AV37" i="11"/>
  <c r="AW37" i="11"/>
  <c r="AX37" i="11"/>
  <c r="AY37" i="11"/>
  <c r="AZ37" i="11"/>
  <c r="BA37" i="11"/>
  <c r="BB37" i="11"/>
  <c r="BC37" i="11"/>
  <c r="BD37" i="11"/>
  <c r="BE37" i="11"/>
  <c r="BF37" i="11"/>
  <c r="BG37" i="11"/>
  <c r="BH37" i="11"/>
  <c r="BI37" i="11"/>
  <c r="BJ37" i="11"/>
  <c r="BK37" i="11"/>
  <c r="BL37" i="11"/>
  <c r="BM37" i="11"/>
  <c r="BN37" i="11"/>
  <c r="BO37" i="11"/>
  <c r="BP37" i="11"/>
  <c r="BQ37" i="11"/>
  <c r="BR37" i="11"/>
  <c r="BS37" i="11"/>
  <c r="BT37" i="11"/>
  <c r="BU37" i="11"/>
  <c r="BV37" i="11"/>
  <c r="BW37" i="11"/>
  <c r="BX37" i="11"/>
  <c r="BY37" i="11"/>
  <c r="BZ37" i="11"/>
  <c r="CA37" i="11"/>
  <c r="CB37" i="11"/>
  <c r="CC37" i="11"/>
  <c r="CD37" i="11"/>
  <c r="CE37" i="11"/>
  <c r="CF37" i="11"/>
  <c r="CG37" i="11"/>
  <c r="CH37" i="11"/>
  <c r="CI37" i="11"/>
  <c r="CJ37" i="11"/>
  <c r="CK37" i="11"/>
  <c r="CL37" i="11"/>
  <c r="CM37" i="11"/>
  <c r="CN37" i="11"/>
  <c r="CO37" i="11"/>
  <c r="CP37" i="11"/>
  <c r="CQ37" i="11"/>
  <c r="CR37" i="11"/>
  <c r="CS37" i="11"/>
  <c r="CT37" i="11"/>
  <c r="CU37" i="11"/>
  <c r="CV37" i="11"/>
  <c r="CW37" i="11"/>
  <c r="CX37" i="11"/>
  <c r="CY37" i="11"/>
  <c r="CZ37" i="11"/>
  <c r="DA37" i="11"/>
  <c r="DB37" i="11"/>
  <c r="DC37" i="11"/>
  <c r="DD37" i="11"/>
  <c r="DE37" i="11"/>
  <c r="DF37" i="11"/>
  <c r="DG37" i="11"/>
  <c r="DH37" i="11"/>
  <c r="DI37" i="11"/>
  <c r="DJ37" i="11"/>
  <c r="DK37" i="11"/>
  <c r="DL37" i="11"/>
  <c r="DM37" i="11"/>
  <c r="DN37" i="11"/>
  <c r="DO37" i="11"/>
  <c r="DP37" i="11"/>
  <c r="DQ37" i="11"/>
  <c r="DR37" i="11"/>
  <c r="DS37" i="11"/>
  <c r="DT37" i="11"/>
  <c r="DU37" i="11"/>
  <c r="DV37" i="11"/>
  <c r="DW37" i="11"/>
  <c r="DX37" i="11"/>
  <c r="DY37" i="11"/>
  <c r="DZ37" i="11"/>
  <c r="EA37" i="11"/>
  <c r="EB37" i="11"/>
  <c r="EC37" i="11"/>
  <c r="ED37" i="11"/>
  <c r="EE37" i="11"/>
  <c r="EF37" i="11"/>
  <c r="EG37" i="11"/>
  <c r="EH37" i="11"/>
  <c r="EI37" i="11"/>
  <c r="EJ37" i="11"/>
  <c r="EK37" i="11"/>
  <c r="EL37" i="11"/>
  <c r="EM37" i="11"/>
  <c r="EN37" i="11"/>
  <c r="EO37" i="11"/>
  <c r="EP37" i="11"/>
  <c r="EQ37" i="11"/>
  <c r="ER37" i="11"/>
  <c r="ES37" i="11"/>
  <c r="ET37" i="11"/>
  <c r="EU37" i="11"/>
  <c r="EV37" i="11"/>
  <c r="EW37" i="11"/>
  <c r="EX37" i="11"/>
  <c r="EY37" i="11"/>
  <c r="EZ37" i="11"/>
  <c r="FA37" i="11"/>
  <c r="FB37" i="11"/>
  <c r="FC37" i="11"/>
  <c r="FD37" i="11"/>
  <c r="FE37" i="11"/>
  <c r="FF37" i="11"/>
  <c r="FG37" i="11"/>
  <c r="FH37" i="11"/>
  <c r="FI37" i="11"/>
  <c r="FJ37" i="11"/>
  <c r="FK37" i="11"/>
  <c r="FL37" i="11"/>
  <c r="FM37" i="11"/>
  <c r="FN37" i="11"/>
  <c r="FO37" i="11"/>
  <c r="FP37" i="11"/>
  <c r="FQ37" i="11"/>
  <c r="FR37" i="11"/>
  <c r="FS37" i="11"/>
  <c r="FT37" i="11"/>
  <c r="FU37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K38" i="11"/>
  <c r="AL38" i="11"/>
  <c r="AM38" i="11"/>
  <c r="AN38" i="11"/>
  <c r="AO38" i="11"/>
  <c r="AP38" i="11"/>
  <c r="AQ38" i="11"/>
  <c r="AR38" i="11"/>
  <c r="AS38" i="11"/>
  <c r="AT38" i="11"/>
  <c r="AU38" i="11"/>
  <c r="AV38" i="11"/>
  <c r="AW38" i="11"/>
  <c r="AX38" i="11"/>
  <c r="AY38" i="11"/>
  <c r="AZ38" i="11"/>
  <c r="BA38" i="11"/>
  <c r="BB38" i="11"/>
  <c r="BC38" i="11"/>
  <c r="BD38" i="11"/>
  <c r="BE38" i="11"/>
  <c r="BF38" i="11"/>
  <c r="BG38" i="11"/>
  <c r="BH38" i="11"/>
  <c r="BI38" i="11"/>
  <c r="BJ38" i="11"/>
  <c r="BK38" i="11"/>
  <c r="BL38" i="11"/>
  <c r="BM38" i="11"/>
  <c r="BN38" i="11"/>
  <c r="BO38" i="11"/>
  <c r="BP38" i="11"/>
  <c r="BQ38" i="11"/>
  <c r="BR38" i="11"/>
  <c r="BS38" i="11"/>
  <c r="BT38" i="11"/>
  <c r="BU38" i="11"/>
  <c r="BV38" i="11"/>
  <c r="BW38" i="11"/>
  <c r="BX38" i="11"/>
  <c r="BY38" i="11"/>
  <c r="BZ38" i="11"/>
  <c r="CA38" i="11"/>
  <c r="CB38" i="11"/>
  <c r="CC38" i="11"/>
  <c r="CD38" i="11"/>
  <c r="CE38" i="11"/>
  <c r="CF38" i="11"/>
  <c r="CG38" i="11"/>
  <c r="CH38" i="11"/>
  <c r="CI38" i="11"/>
  <c r="CJ38" i="11"/>
  <c r="CK38" i="11"/>
  <c r="CL38" i="11"/>
  <c r="CM38" i="11"/>
  <c r="CN38" i="11"/>
  <c r="CO38" i="11"/>
  <c r="CP38" i="11"/>
  <c r="CQ38" i="11"/>
  <c r="CR38" i="11"/>
  <c r="CS38" i="11"/>
  <c r="CT38" i="11"/>
  <c r="CU38" i="11"/>
  <c r="CV38" i="11"/>
  <c r="CW38" i="11"/>
  <c r="CX38" i="11"/>
  <c r="CY38" i="11"/>
  <c r="CZ38" i="11"/>
  <c r="DA38" i="11"/>
  <c r="DB38" i="11"/>
  <c r="DC38" i="11"/>
  <c r="DD38" i="11"/>
  <c r="DE38" i="11"/>
  <c r="DF38" i="11"/>
  <c r="DG38" i="11"/>
  <c r="DH38" i="11"/>
  <c r="DI38" i="11"/>
  <c r="DJ38" i="11"/>
  <c r="DK38" i="11"/>
  <c r="DL38" i="11"/>
  <c r="DM38" i="11"/>
  <c r="DN38" i="11"/>
  <c r="DO38" i="11"/>
  <c r="DP38" i="11"/>
  <c r="DQ38" i="11"/>
  <c r="DR38" i="11"/>
  <c r="DS38" i="11"/>
  <c r="DT38" i="11"/>
  <c r="DU38" i="11"/>
  <c r="DV38" i="11"/>
  <c r="DW38" i="11"/>
  <c r="DX38" i="11"/>
  <c r="DY38" i="11"/>
  <c r="DZ38" i="11"/>
  <c r="EA38" i="11"/>
  <c r="EB38" i="11"/>
  <c r="EC38" i="11"/>
  <c r="ED38" i="11"/>
  <c r="EE38" i="11"/>
  <c r="EF38" i="11"/>
  <c r="EG38" i="11"/>
  <c r="EH38" i="11"/>
  <c r="EI38" i="11"/>
  <c r="EJ38" i="11"/>
  <c r="EK38" i="11"/>
  <c r="EL38" i="11"/>
  <c r="EM38" i="11"/>
  <c r="EN38" i="11"/>
  <c r="EO38" i="11"/>
  <c r="EP38" i="11"/>
  <c r="EQ38" i="11"/>
  <c r="ER38" i="11"/>
  <c r="ES38" i="11"/>
  <c r="ET38" i="11"/>
  <c r="EU38" i="11"/>
  <c r="EV38" i="11"/>
  <c r="EW38" i="11"/>
  <c r="EX38" i="11"/>
  <c r="EY38" i="11"/>
  <c r="EZ38" i="11"/>
  <c r="FA38" i="11"/>
  <c r="FB38" i="11"/>
  <c r="FC38" i="11"/>
  <c r="FD38" i="11"/>
  <c r="FE38" i="11"/>
  <c r="FF38" i="11"/>
  <c r="FG38" i="11"/>
  <c r="FH38" i="11"/>
  <c r="FI38" i="11"/>
  <c r="FJ38" i="11"/>
  <c r="FK38" i="11"/>
  <c r="FL38" i="11"/>
  <c r="FM38" i="11"/>
  <c r="FN38" i="11"/>
  <c r="FO38" i="11"/>
  <c r="FP38" i="11"/>
  <c r="FQ38" i="11"/>
  <c r="FR38" i="11"/>
  <c r="FS38" i="11"/>
  <c r="FT38" i="11"/>
  <c r="FU38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J39" i="11"/>
  <c r="AK39" i="11"/>
  <c r="AL39" i="11"/>
  <c r="AM39" i="11"/>
  <c r="AN39" i="11"/>
  <c r="AO39" i="11"/>
  <c r="AP39" i="11"/>
  <c r="AQ39" i="11"/>
  <c r="AR39" i="11"/>
  <c r="AS39" i="11"/>
  <c r="AT39" i="11"/>
  <c r="AU39" i="11"/>
  <c r="AV39" i="11"/>
  <c r="AW39" i="11"/>
  <c r="AX39" i="11"/>
  <c r="AY39" i="11"/>
  <c r="AZ39" i="11"/>
  <c r="BA39" i="11"/>
  <c r="BB39" i="11"/>
  <c r="BC39" i="11"/>
  <c r="BD39" i="11"/>
  <c r="BE39" i="11"/>
  <c r="BF39" i="11"/>
  <c r="BG39" i="11"/>
  <c r="BH39" i="11"/>
  <c r="BI39" i="11"/>
  <c r="BJ39" i="11"/>
  <c r="BK39" i="11"/>
  <c r="BL39" i="11"/>
  <c r="BM39" i="11"/>
  <c r="BN39" i="11"/>
  <c r="BO39" i="11"/>
  <c r="BP39" i="11"/>
  <c r="BQ39" i="11"/>
  <c r="BR39" i="11"/>
  <c r="BS39" i="11"/>
  <c r="BT39" i="11"/>
  <c r="BU39" i="11"/>
  <c r="BV39" i="11"/>
  <c r="BW39" i="11"/>
  <c r="BX39" i="11"/>
  <c r="BY39" i="11"/>
  <c r="BZ39" i="11"/>
  <c r="CA39" i="11"/>
  <c r="CB39" i="11"/>
  <c r="CC39" i="11"/>
  <c r="CD39" i="11"/>
  <c r="CE39" i="11"/>
  <c r="CF39" i="11"/>
  <c r="CG39" i="11"/>
  <c r="CH39" i="11"/>
  <c r="CI39" i="11"/>
  <c r="CJ39" i="11"/>
  <c r="CK39" i="11"/>
  <c r="CL39" i="11"/>
  <c r="CM39" i="11"/>
  <c r="CN39" i="11"/>
  <c r="CO39" i="11"/>
  <c r="CP39" i="11"/>
  <c r="CQ39" i="11"/>
  <c r="CR39" i="11"/>
  <c r="CS39" i="11"/>
  <c r="CT39" i="11"/>
  <c r="CU39" i="11"/>
  <c r="CV39" i="11"/>
  <c r="CW39" i="11"/>
  <c r="CX39" i="11"/>
  <c r="CY39" i="11"/>
  <c r="CZ39" i="11"/>
  <c r="DA39" i="11"/>
  <c r="DB39" i="11"/>
  <c r="DC39" i="11"/>
  <c r="DD39" i="11"/>
  <c r="DE39" i="11"/>
  <c r="DF39" i="11"/>
  <c r="DG39" i="11"/>
  <c r="DH39" i="11"/>
  <c r="DI39" i="11"/>
  <c r="DJ39" i="11"/>
  <c r="DK39" i="11"/>
  <c r="DL39" i="11"/>
  <c r="DM39" i="11"/>
  <c r="DN39" i="11"/>
  <c r="DO39" i="11"/>
  <c r="DP39" i="11"/>
  <c r="DQ39" i="11"/>
  <c r="DR39" i="11"/>
  <c r="DS39" i="11"/>
  <c r="DT39" i="11"/>
  <c r="DU39" i="11"/>
  <c r="DV39" i="11"/>
  <c r="DW39" i="11"/>
  <c r="DX39" i="11"/>
  <c r="DY39" i="11"/>
  <c r="DZ39" i="11"/>
  <c r="EA39" i="11"/>
  <c r="EB39" i="11"/>
  <c r="EC39" i="11"/>
  <c r="ED39" i="11"/>
  <c r="EE39" i="11"/>
  <c r="EF39" i="11"/>
  <c r="EG39" i="11"/>
  <c r="EH39" i="11"/>
  <c r="EI39" i="11"/>
  <c r="EJ39" i="11"/>
  <c r="EK39" i="11"/>
  <c r="EL39" i="11"/>
  <c r="EM39" i="11"/>
  <c r="EN39" i="11"/>
  <c r="EO39" i="11"/>
  <c r="EP39" i="11"/>
  <c r="EQ39" i="11"/>
  <c r="ER39" i="11"/>
  <c r="ES39" i="11"/>
  <c r="ET39" i="11"/>
  <c r="EU39" i="11"/>
  <c r="EV39" i="11"/>
  <c r="EW39" i="11"/>
  <c r="EX39" i="11"/>
  <c r="EY39" i="11"/>
  <c r="EZ39" i="11"/>
  <c r="FA39" i="11"/>
  <c r="FB39" i="11"/>
  <c r="FC39" i="11"/>
  <c r="FD39" i="11"/>
  <c r="FE39" i="11"/>
  <c r="FF39" i="11"/>
  <c r="FG39" i="11"/>
  <c r="FH39" i="11"/>
  <c r="FI39" i="11"/>
  <c r="FJ39" i="11"/>
  <c r="FK39" i="11"/>
  <c r="FL39" i="11"/>
  <c r="FM39" i="11"/>
  <c r="FN39" i="11"/>
  <c r="FO39" i="11"/>
  <c r="FP39" i="11"/>
  <c r="FQ39" i="11"/>
  <c r="FR39" i="11"/>
  <c r="FS39" i="11"/>
  <c r="FT39" i="11"/>
  <c r="FU39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K40" i="11"/>
  <c r="AL40" i="11"/>
  <c r="AM40" i="11"/>
  <c r="AN40" i="11"/>
  <c r="AO40" i="11"/>
  <c r="AP40" i="11"/>
  <c r="AQ40" i="11"/>
  <c r="AR40" i="11"/>
  <c r="AS40" i="11"/>
  <c r="AT40" i="11"/>
  <c r="AU40" i="11"/>
  <c r="AV40" i="11"/>
  <c r="AW40" i="11"/>
  <c r="AX40" i="11"/>
  <c r="AY40" i="11"/>
  <c r="AZ40" i="11"/>
  <c r="BA40" i="11"/>
  <c r="BB40" i="11"/>
  <c r="BC40" i="11"/>
  <c r="BD40" i="11"/>
  <c r="BE40" i="11"/>
  <c r="BF40" i="11"/>
  <c r="BG40" i="11"/>
  <c r="BH40" i="11"/>
  <c r="BI40" i="11"/>
  <c r="BJ40" i="11"/>
  <c r="BK40" i="11"/>
  <c r="BL40" i="11"/>
  <c r="BM40" i="11"/>
  <c r="BN40" i="11"/>
  <c r="BO40" i="11"/>
  <c r="BP40" i="11"/>
  <c r="BQ40" i="11"/>
  <c r="BR40" i="11"/>
  <c r="BS40" i="11"/>
  <c r="BT40" i="11"/>
  <c r="BU40" i="11"/>
  <c r="BV40" i="11"/>
  <c r="BW40" i="11"/>
  <c r="BX40" i="11"/>
  <c r="BY40" i="11"/>
  <c r="BZ40" i="11"/>
  <c r="CA40" i="11"/>
  <c r="CB40" i="11"/>
  <c r="CC40" i="11"/>
  <c r="CD40" i="11"/>
  <c r="CE40" i="11"/>
  <c r="CF40" i="11"/>
  <c r="CG40" i="11"/>
  <c r="CH40" i="11"/>
  <c r="CI40" i="11"/>
  <c r="CJ40" i="11"/>
  <c r="CK40" i="11"/>
  <c r="CL40" i="11"/>
  <c r="CM40" i="11"/>
  <c r="CN40" i="11"/>
  <c r="CO40" i="11"/>
  <c r="CP40" i="11"/>
  <c r="CQ40" i="11"/>
  <c r="CR40" i="11"/>
  <c r="CS40" i="11"/>
  <c r="CT40" i="11"/>
  <c r="CU40" i="11"/>
  <c r="CV40" i="11"/>
  <c r="CW40" i="11"/>
  <c r="CX40" i="11"/>
  <c r="CY40" i="11"/>
  <c r="CZ40" i="11"/>
  <c r="DA40" i="11"/>
  <c r="DB40" i="11"/>
  <c r="DC40" i="11"/>
  <c r="DD40" i="11"/>
  <c r="DE40" i="11"/>
  <c r="DF40" i="11"/>
  <c r="DG40" i="11"/>
  <c r="DH40" i="11"/>
  <c r="DI40" i="11"/>
  <c r="DJ40" i="11"/>
  <c r="DK40" i="11"/>
  <c r="DL40" i="11"/>
  <c r="DM40" i="11"/>
  <c r="DN40" i="11"/>
  <c r="DO40" i="11"/>
  <c r="DP40" i="11"/>
  <c r="DQ40" i="11"/>
  <c r="DR40" i="11"/>
  <c r="DS40" i="11"/>
  <c r="DT40" i="11"/>
  <c r="DU40" i="11"/>
  <c r="DV40" i="11"/>
  <c r="DW40" i="11"/>
  <c r="DX40" i="11"/>
  <c r="DY40" i="11"/>
  <c r="DZ40" i="11"/>
  <c r="EA40" i="11"/>
  <c r="EB40" i="11"/>
  <c r="EC40" i="11"/>
  <c r="ED40" i="11"/>
  <c r="EE40" i="11"/>
  <c r="EF40" i="11"/>
  <c r="EG40" i="11"/>
  <c r="EH40" i="11"/>
  <c r="EI40" i="11"/>
  <c r="EJ40" i="11"/>
  <c r="EK40" i="11"/>
  <c r="EL40" i="11"/>
  <c r="EM40" i="11"/>
  <c r="EN40" i="11"/>
  <c r="EO40" i="11"/>
  <c r="EP40" i="11"/>
  <c r="EQ40" i="11"/>
  <c r="ER40" i="11"/>
  <c r="ES40" i="11"/>
  <c r="ET40" i="11"/>
  <c r="EU40" i="11"/>
  <c r="EV40" i="11"/>
  <c r="EW40" i="11"/>
  <c r="EX40" i="11"/>
  <c r="EY40" i="11"/>
  <c r="EZ40" i="11"/>
  <c r="FA40" i="11"/>
  <c r="FB40" i="11"/>
  <c r="FC40" i="11"/>
  <c r="FD40" i="11"/>
  <c r="FE40" i="11"/>
  <c r="FF40" i="11"/>
  <c r="FG40" i="11"/>
  <c r="FH40" i="11"/>
  <c r="FI40" i="11"/>
  <c r="FJ40" i="11"/>
  <c r="FK40" i="11"/>
  <c r="FL40" i="11"/>
  <c r="FM40" i="11"/>
  <c r="FN40" i="11"/>
  <c r="FO40" i="11"/>
  <c r="FP40" i="11"/>
  <c r="FQ40" i="11"/>
  <c r="FR40" i="11"/>
  <c r="FS40" i="11"/>
  <c r="FT40" i="11"/>
  <c r="FU40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AN41" i="11"/>
  <c r="AO41" i="11"/>
  <c r="AP41" i="11"/>
  <c r="AQ41" i="11"/>
  <c r="AR41" i="11"/>
  <c r="AS41" i="11"/>
  <c r="AT41" i="11"/>
  <c r="AU41" i="11"/>
  <c r="AV41" i="11"/>
  <c r="AW41" i="11"/>
  <c r="AX41" i="11"/>
  <c r="AY41" i="11"/>
  <c r="AZ41" i="11"/>
  <c r="BA41" i="11"/>
  <c r="BB41" i="11"/>
  <c r="BC41" i="11"/>
  <c r="BD41" i="11"/>
  <c r="BE41" i="11"/>
  <c r="BF41" i="11"/>
  <c r="BG41" i="11"/>
  <c r="BH41" i="11"/>
  <c r="BI41" i="11"/>
  <c r="BJ41" i="11"/>
  <c r="BK41" i="11"/>
  <c r="BL41" i="11"/>
  <c r="BM41" i="11"/>
  <c r="BN41" i="11"/>
  <c r="BO41" i="11"/>
  <c r="BP41" i="11"/>
  <c r="BQ41" i="11"/>
  <c r="BR41" i="11"/>
  <c r="BS41" i="11"/>
  <c r="BT41" i="11"/>
  <c r="BU41" i="11"/>
  <c r="BV41" i="11"/>
  <c r="BW41" i="11"/>
  <c r="BX41" i="11"/>
  <c r="BY41" i="11"/>
  <c r="BZ41" i="11"/>
  <c r="CA41" i="11"/>
  <c r="CB41" i="11"/>
  <c r="CC41" i="11"/>
  <c r="CD41" i="11"/>
  <c r="CE41" i="11"/>
  <c r="CF41" i="11"/>
  <c r="CG41" i="11"/>
  <c r="CH41" i="11"/>
  <c r="CI41" i="11"/>
  <c r="CJ41" i="11"/>
  <c r="CK41" i="11"/>
  <c r="CL41" i="11"/>
  <c r="CM41" i="11"/>
  <c r="CN41" i="11"/>
  <c r="CO41" i="11"/>
  <c r="CP41" i="11"/>
  <c r="CQ41" i="11"/>
  <c r="CR41" i="11"/>
  <c r="CS41" i="11"/>
  <c r="CT41" i="11"/>
  <c r="CU41" i="11"/>
  <c r="CV41" i="11"/>
  <c r="CW41" i="11"/>
  <c r="CX41" i="11"/>
  <c r="CY41" i="11"/>
  <c r="CZ41" i="11"/>
  <c r="DA41" i="11"/>
  <c r="DB41" i="11"/>
  <c r="DC41" i="11"/>
  <c r="DD41" i="11"/>
  <c r="DE41" i="11"/>
  <c r="DF41" i="11"/>
  <c r="DG41" i="11"/>
  <c r="DH41" i="11"/>
  <c r="DI41" i="11"/>
  <c r="DJ41" i="11"/>
  <c r="DK41" i="11"/>
  <c r="DL41" i="11"/>
  <c r="DM41" i="11"/>
  <c r="DN41" i="11"/>
  <c r="DO41" i="11"/>
  <c r="DP41" i="11"/>
  <c r="DQ41" i="11"/>
  <c r="DR41" i="11"/>
  <c r="DS41" i="11"/>
  <c r="DT41" i="11"/>
  <c r="DU41" i="11"/>
  <c r="DV41" i="11"/>
  <c r="DW41" i="11"/>
  <c r="DX41" i="11"/>
  <c r="DY41" i="11"/>
  <c r="DZ41" i="11"/>
  <c r="EA41" i="11"/>
  <c r="EB41" i="11"/>
  <c r="EC41" i="11"/>
  <c r="ED41" i="11"/>
  <c r="EE41" i="11"/>
  <c r="EF41" i="11"/>
  <c r="EG41" i="11"/>
  <c r="EH41" i="11"/>
  <c r="EI41" i="11"/>
  <c r="EJ41" i="11"/>
  <c r="EK41" i="11"/>
  <c r="EL41" i="11"/>
  <c r="EM41" i="11"/>
  <c r="EN41" i="11"/>
  <c r="EO41" i="11"/>
  <c r="EP41" i="11"/>
  <c r="EQ41" i="11"/>
  <c r="ER41" i="11"/>
  <c r="ES41" i="11"/>
  <c r="ET41" i="11"/>
  <c r="EU41" i="11"/>
  <c r="EV41" i="11"/>
  <c r="EW41" i="11"/>
  <c r="EX41" i="11"/>
  <c r="EY41" i="11"/>
  <c r="EZ41" i="11"/>
  <c r="FA41" i="11"/>
  <c r="FB41" i="11"/>
  <c r="FC41" i="11"/>
  <c r="FD41" i="11"/>
  <c r="FE41" i="11"/>
  <c r="FF41" i="11"/>
  <c r="FG41" i="11"/>
  <c r="FH41" i="11"/>
  <c r="FI41" i="11"/>
  <c r="FJ41" i="11"/>
  <c r="FK41" i="11"/>
  <c r="FL41" i="11"/>
  <c r="FM41" i="11"/>
  <c r="FN41" i="11"/>
  <c r="FO41" i="11"/>
  <c r="FP41" i="11"/>
  <c r="FQ41" i="11"/>
  <c r="FR41" i="11"/>
  <c r="FS41" i="11"/>
  <c r="FT41" i="11"/>
  <c r="FU41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AL42" i="11"/>
  <c r="AM42" i="11"/>
  <c r="AN42" i="11"/>
  <c r="AO42" i="11"/>
  <c r="AP42" i="11"/>
  <c r="AQ42" i="11"/>
  <c r="AR42" i="11"/>
  <c r="AS42" i="11"/>
  <c r="AT42" i="11"/>
  <c r="AU42" i="11"/>
  <c r="AV42" i="11"/>
  <c r="AW42" i="11"/>
  <c r="AX42" i="11"/>
  <c r="AY42" i="11"/>
  <c r="AZ42" i="11"/>
  <c r="BA42" i="11"/>
  <c r="BB42" i="11"/>
  <c r="BC42" i="11"/>
  <c r="BD42" i="11"/>
  <c r="BE42" i="11"/>
  <c r="BF42" i="11"/>
  <c r="BG42" i="11"/>
  <c r="BH42" i="11"/>
  <c r="BI42" i="11"/>
  <c r="BJ42" i="11"/>
  <c r="BK42" i="11"/>
  <c r="BL42" i="11"/>
  <c r="BM42" i="11"/>
  <c r="BN42" i="11"/>
  <c r="BO42" i="11"/>
  <c r="BP42" i="11"/>
  <c r="BQ42" i="11"/>
  <c r="BR42" i="11"/>
  <c r="BS42" i="11"/>
  <c r="BT42" i="11"/>
  <c r="BU42" i="11"/>
  <c r="BV42" i="11"/>
  <c r="BW42" i="11"/>
  <c r="BX42" i="11"/>
  <c r="BY42" i="11"/>
  <c r="BZ42" i="11"/>
  <c r="CA42" i="11"/>
  <c r="CB42" i="11"/>
  <c r="CC42" i="11"/>
  <c r="CD42" i="11"/>
  <c r="CE42" i="11"/>
  <c r="CF42" i="11"/>
  <c r="CG42" i="11"/>
  <c r="CH42" i="11"/>
  <c r="CI42" i="11"/>
  <c r="CJ42" i="11"/>
  <c r="CK42" i="11"/>
  <c r="CL42" i="11"/>
  <c r="CM42" i="11"/>
  <c r="CN42" i="11"/>
  <c r="CO42" i="11"/>
  <c r="CP42" i="11"/>
  <c r="CQ42" i="11"/>
  <c r="CR42" i="11"/>
  <c r="CS42" i="11"/>
  <c r="CT42" i="11"/>
  <c r="CU42" i="11"/>
  <c r="CV42" i="11"/>
  <c r="CW42" i="11"/>
  <c r="CX42" i="11"/>
  <c r="CY42" i="11"/>
  <c r="CZ42" i="11"/>
  <c r="DA42" i="11"/>
  <c r="DB42" i="11"/>
  <c r="DC42" i="11"/>
  <c r="DD42" i="11"/>
  <c r="DE42" i="11"/>
  <c r="DF42" i="11"/>
  <c r="DG42" i="11"/>
  <c r="DH42" i="11"/>
  <c r="DI42" i="11"/>
  <c r="DJ42" i="11"/>
  <c r="DK42" i="11"/>
  <c r="DL42" i="11"/>
  <c r="DM42" i="11"/>
  <c r="DN42" i="11"/>
  <c r="DO42" i="11"/>
  <c r="DP42" i="11"/>
  <c r="DQ42" i="11"/>
  <c r="DR42" i="11"/>
  <c r="DS42" i="11"/>
  <c r="DT42" i="11"/>
  <c r="DU42" i="11"/>
  <c r="DV42" i="11"/>
  <c r="DW42" i="11"/>
  <c r="DX42" i="11"/>
  <c r="DY42" i="11"/>
  <c r="DZ42" i="11"/>
  <c r="EA42" i="11"/>
  <c r="EB42" i="11"/>
  <c r="EC42" i="11"/>
  <c r="ED42" i="11"/>
  <c r="EE42" i="11"/>
  <c r="EF42" i="11"/>
  <c r="EG42" i="11"/>
  <c r="EH42" i="11"/>
  <c r="EI42" i="11"/>
  <c r="EJ42" i="11"/>
  <c r="EK42" i="11"/>
  <c r="EL42" i="11"/>
  <c r="EM42" i="11"/>
  <c r="EN42" i="11"/>
  <c r="EO42" i="11"/>
  <c r="EP42" i="11"/>
  <c r="EQ42" i="11"/>
  <c r="ER42" i="11"/>
  <c r="ES42" i="11"/>
  <c r="ET42" i="11"/>
  <c r="EU42" i="11"/>
  <c r="EV42" i="11"/>
  <c r="EW42" i="11"/>
  <c r="EX42" i="11"/>
  <c r="EY42" i="11"/>
  <c r="EZ42" i="11"/>
  <c r="FA42" i="11"/>
  <c r="FB42" i="11"/>
  <c r="FC42" i="11"/>
  <c r="FD42" i="11"/>
  <c r="FE42" i="11"/>
  <c r="FF42" i="11"/>
  <c r="FG42" i="11"/>
  <c r="FH42" i="11"/>
  <c r="FI42" i="11"/>
  <c r="FJ42" i="11"/>
  <c r="FK42" i="11"/>
  <c r="FL42" i="11"/>
  <c r="FM42" i="11"/>
  <c r="FN42" i="11"/>
  <c r="FO42" i="11"/>
  <c r="FP42" i="11"/>
  <c r="FQ42" i="11"/>
  <c r="FR42" i="11"/>
  <c r="FS42" i="11"/>
  <c r="FT42" i="11"/>
  <c r="FU42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L43" i="11"/>
  <c r="AM43" i="11"/>
  <c r="AN43" i="11"/>
  <c r="AO43" i="11"/>
  <c r="AP43" i="11"/>
  <c r="AQ43" i="11"/>
  <c r="AR43" i="11"/>
  <c r="AS43" i="11"/>
  <c r="AT43" i="11"/>
  <c r="AU43" i="11"/>
  <c r="AV43" i="11"/>
  <c r="AW43" i="11"/>
  <c r="AX43" i="11"/>
  <c r="AY43" i="11"/>
  <c r="AZ43" i="11"/>
  <c r="BA43" i="11"/>
  <c r="BB43" i="11"/>
  <c r="BC43" i="11"/>
  <c r="BD43" i="11"/>
  <c r="BE43" i="11"/>
  <c r="BF43" i="11"/>
  <c r="BG43" i="11"/>
  <c r="BH43" i="11"/>
  <c r="BI43" i="11"/>
  <c r="BJ43" i="11"/>
  <c r="BK43" i="11"/>
  <c r="BL43" i="11"/>
  <c r="BM43" i="11"/>
  <c r="BN43" i="11"/>
  <c r="BO43" i="11"/>
  <c r="BP43" i="11"/>
  <c r="BQ43" i="11"/>
  <c r="BR43" i="11"/>
  <c r="BS43" i="11"/>
  <c r="BT43" i="11"/>
  <c r="BU43" i="11"/>
  <c r="BV43" i="11"/>
  <c r="BW43" i="11"/>
  <c r="BX43" i="11"/>
  <c r="BY43" i="11"/>
  <c r="BZ43" i="11"/>
  <c r="CA43" i="11"/>
  <c r="CB43" i="11"/>
  <c r="CC43" i="11"/>
  <c r="CD43" i="11"/>
  <c r="CE43" i="11"/>
  <c r="CF43" i="11"/>
  <c r="CG43" i="11"/>
  <c r="CH43" i="11"/>
  <c r="CI43" i="11"/>
  <c r="CJ43" i="11"/>
  <c r="CK43" i="11"/>
  <c r="CL43" i="11"/>
  <c r="CM43" i="11"/>
  <c r="CN43" i="11"/>
  <c r="CO43" i="11"/>
  <c r="CP43" i="11"/>
  <c r="CQ43" i="11"/>
  <c r="CR43" i="11"/>
  <c r="CS43" i="11"/>
  <c r="CT43" i="11"/>
  <c r="CU43" i="11"/>
  <c r="CV43" i="11"/>
  <c r="CW43" i="11"/>
  <c r="CX43" i="11"/>
  <c r="CY43" i="11"/>
  <c r="CZ43" i="11"/>
  <c r="DA43" i="11"/>
  <c r="DB43" i="11"/>
  <c r="DC43" i="11"/>
  <c r="DD43" i="11"/>
  <c r="DE43" i="11"/>
  <c r="DF43" i="11"/>
  <c r="DG43" i="11"/>
  <c r="DH43" i="11"/>
  <c r="DI43" i="11"/>
  <c r="DJ43" i="11"/>
  <c r="DK43" i="11"/>
  <c r="DL43" i="11"/>
  <c r="DM43" i="11"/>
  <c r="DN43" i="11"/>
  <c r="DO43" i="11"/>
  <c r="DP43" i="11"/>
  <c r="DQ43" i="11"/>
  <c r="DR43" i="11"/>
  <c r="DS43" i="11"/>
  <c r="DT43" i="11"/>
  <c r="DU43" i="11"/>
  <c r="DV43" i="11"/>
  <c r="DW43" i="11"/>
  <c r="DX43" i="11"/>
  <c r="DY43" i="11"/>
  <c r="DZ43" i="11"/>
  <c r="EA43" i="11"/>
  <c r="EB43" i="11"/>
  <c r="EC43" i="11"/>
  <c r="ED43" i="11"/>
  <c r="EE43" i="11"/>
  <c r="EF43" i="11"/>
  <c r="EG43" i="11"/>
  <c r="EH43" i="11"/>
  <c r="EI43" i="11"/>
  <c r="EJ43" i="11"/>
  <c r="EK43" i="11"/>
  <c r="EL43" i="11"/>
  <c r="EM43" i="11"/>
  <c r="EN43" i="11"/>
  <c r="EO43" i="11"/>
  <c r="EP43" i="11"/>
  <c r="EQ43" i="11"/>
  <c r="ER43" i="11"/>
  <c r="ES43" i="11"/>
  <c r="ET43" i="11"/>
  <c r="EU43" i="11"/>
  <c r="EV43" i="11"/>
  <c r="EW43" i="11"/>
  <c r="EX43" i="11"/>
  <c r="EY43" i="11"/>
  <c r="EZ43" i="11"/>
  <c r="FA43" i="11"/>
  <c r="FB43" i="11"/>
  <c r="FC43" i="11"/>
  <c r="FD43" i="11"/>
  <c r="FE43" i="11"/>
  <c r="FF43" i="11"/>
  <c r="FG43" i="11"/>
  <c r="FH43" i="11"/>
  <c r="FI43" i="11"/>
  <c r="FJ43" i="11"/>
  <c r="FK43" i="11"/>
  <c r="FL43" i="11"/>
  <c r="FM43" i="11"/>
  <c r="FN43" i="11"/>
  <c r="FO43" i="11"/>
  <c r="FP43" i="11"/>
  <c r="FQ43" i="11"/>
  <c r="FR43" i="11"/>
  <c r="FS43" i="11"/>
  <c r="FT43" i="11"/>
  <c r="FU43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AL44" i="11"/>
  <c r="AM44" i="11"/>
  <c r="AN44" i="11"/>
  <c r="AO44" i="11"/>
  <c r="AP44" i="11"/>
  <c r="AQ44" i="11"/>
  <c r="AR44" i="11"/>
  <c r="AS44" i="11"/>
  <c r="AT44" i="11"/>
  <c r="AU44" i="11"/>
  <c r="AV44" i="11"/>
  <c r="AW44" i="11"/>
  <c r="AX44" i="11"/>
  <c r="AY44" i="11"/>
  <c r="AZ44" i="11"/>
  <c r="BA44" i="11"/>
  <c r="BB44" i="11"/>
  <c r="BC44" i="11"/>
  <c r="BD44" i="11"/>
  <c r="BE44" i="11"/>
  <c r="BF44" i="11"/>
  <c r="BG44" i="11"/>
  <c r="BH44" i="11"/>
  <c r="BI44" i="11"/>
  <c r="BJ44" i="11"/>
  <c r="BK44" i="11"/>
  <c r="BL44" i="11"/>
  <c r="BM44" i="11"/>
  <c r="BN44" i="11"/>
  <c r="BO44" i="11"/>
  <c r="BP44" i="11"/>
  <c r="BQ44" i="11"/>
  <c r="BR44" i="11"/>
  <c r="BS44" i="11"/>
  <c r="BT44" i="11"/>
  <c r="BU44" i="11"/>
  <c r="BV44" i="11"/>
  <c r="BW44" i="11"/>
  <c r="BX44" i="11"/>
  <c r="BY44" i="11"/>
  <c r="BZ44" i="11"/>
  <c r="CA44" i="11"/>
  <c r="CB44" i="11"/>
  <c r="CC44" i="11"/>
  <c r="CD44" i="11"/>
  <c r="CE44" i="11"/>
  <c r="CF44" i="11"/>
  <c r="CG44" i="11"/>
  <c r="CH44" i="11"/>
  <c r="CI44" i="11"/>
  <c r="CJ44" i="11"/>
  <c r="CK44" i="11"/>
  <c r="CL44" i="11"/>
  <c r="CM44" i="11"/>
  <c r="CN44" i="11"/>
  <c r="CO44" i="11"/>
  <c r="CP44" i="11"/>
  <c r="CQ44" i="11"/>
  <c r="CR44" i="11"/>
  <c r="CS44" i="11"/>
  <c r="CT44" i="11"/>
  <c r="CU44" i="11"/>
  <c r="CV44" i="11"/>
  <c r="CW44" i="11"/>
  <c r="CX44" i="11"/>
  <c r="CY44" i="11"/>
  <c r="CZ44" i="11"/>
  <c r="DA44" i="11"/>
  <c r="DB44" i="11"/>
  <c r="DC44" i="11"/>
  <c r="DD44" i="11"/>
  <c r="DE44" i="11"/>
  <c r="DF44" i="11"/>
  <c r="DG44" i="11"/>
  <c r="DH44" i="11"/>
  <c r="DI44" i="11"/>
  <c r="DJ44" i="11"/>
  <c r="DK44" i="11"/>
  <c r="DL44" i="11"/>
  <c r="DM44" i="11"/>
  <c r="DN44" i="11"/>
  <c r="DO44" i="11"/>
  <c r="DP44" i="11"/>
  <c r="DQ44" i="11"/>
  <c r="DR44" i="11"/>
  <c r="DS44" i="11"/>
  <c r="DT44" i="11"/>
  <c r="DU44" i="11"/>
  <c r="DV44" i="11"/>
  <c r="DW44" i="11"/>
  <c r="DX44" i="11"/>
  <c r="DY44" i="11"/>
  <c r="DZ44" i="11"/>
  <c r="EA44" i="11"/>
  <c r="EB44" i="11"/>
  <c r="EC44" i="11"/>
  <c r="ED44" i="11"/>
  <c r="EE44" i="11"/>
  <c r="EF44" i="11"/>
  <c r="EG44" i="11"/>
  <c r="EH44" i="11"/>
  <c r="EI44" i="11"/>
  <c r="EJ44" i="11"/>
  <c r="EK44" i="11"/>
  <c r="EL44" i="11"/>
  <c r="EM44" i="11"/>
  <c r="EN44" i="11"/>
  <c r="EO44" i="11"/>
  <c r="EP44" i="11"/>
  <c r="EQ44" i="11"/>
  <c r="ER44" i="11"/>
  <c r="ES44" i="11"/>
  <c r="ET44" i="11"/>
  <c r="EU44" i="11"/>
  <c r="EV44" i="11"/>
  <c r="EW44" i="11"/>
  <c r="EX44" i="11"/>
  <c r="EY44" i="11"/>
  <c r="EZ44" i="11"/>
  <c r="FA44" i="11"/>
  <c r="FB44" i="11"/>
  <c r="FC44" i="11"/>
  <c r="FD44" i="11"/>
  <c r="FE44" i="11"/>
  <c r="FF44" i="11"/>
  <c r="FG44" i="11"/>
  <c r="FH44" i="11"/>
  <c r="FI44" i="11"/>
  <c r="FJ44" i="11"/>
  <c r="FK44" i="11"/>
  <c r="FL44" i="11"/>
  <c r="FM44" i="11"/>
  <c r="FN44" i="11"/>
  <c r="FO44" i="11"/>
  <c r="FP44" i="11"/>
  <c r="FQ44" i="11"/>
  <c r="FR44" i="11"/>
  <c r="FS44" i="11"/>
  <c r="FT44" i="11"/>
  <c r="FU44" i="11"/>
  <c r="F45" i="11"/>
  <c r="G45" i="11"/>
  <c r="H45" i="11"/>
  <c r="I45" i="11"/>
  <c r="J45" i="11"/>
  <c r="J50" i="11" s="1"/>
  <c r="K45" i="11"/>
  <c r="L45" i="11"/>
  <c r="M45" i="11"/>
  <c r="N45" i="11"/>
  <c r="O45" i="11"/>
  <c r="P45" i="11"/>
  <c r="Q45" i="11"/>
  <c r="R45" i="11"/>
  <c r="S45" i="11"/>
  <c r="T45" i="11"/>
  <c r="U45" i="11"/>
  <c r="U50" i="11" s="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AK50" i="11" s="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A50" i="11" s="1"/>
  <c r="BB45" i="11"/>
  <c r="BC45" i="11"/>
  <c r="BD45" i="11"/>
  <c r="BE45" i="11"/>
  <c r="BF45" i="11"/>
  <c r="BG45" i="11"/>
  <c r="BH45" i="11"/>
  <c r="BI45" i="11"/>
  <c r="BJ45" i="11"/>
  <c r="BK45" i="11"/>
  <c r="BL45" i="11"/>
  <c r="BM45" i="11"/>
  <c r="BN45" i="11"/>
  <c r="BO45" i="11"/>
  <c r="BP45" i="11"/>
  <c r="BQ45" i="11"/>
  <c r="BQ50" i="11" s="1"/>
  <c r="BR45" i="11"/>
  <c r="BS45" i="11"/>
  <c r="BT45" i="11"/>
  <c r="BU45" i="11"/>
  <c r="BV45" i="11"/>
  <c r="BW45" i="11"/>
  <c r="BX45" i="11"/>
  <c r="BY45" i="11"/>
  <c r="BZ45" i="11"/>
  <c r="CA45" i="11"/>
  <c r="CB45" i="11"/>
  <c r="CC45" i="11"/>
  <c r="CD45" i="11"/>
  <c r="CE45" i="11"/>
  <c r="CF45" i="11"/>
  <c r="CG45" i="11"/>
  <c r="CG50" i="11" s="1"/>
  <c r="CH45" i="11"/>
  <c r="CI45" i="11"/>
  <c r="CJ45" i="11"/>
  <c r="CK45" i="11"/>
  <c r="CL45" i="11"/>
  <c r="CM45" i="11"/>
  <c r="CN45" i="11"/>
  <c r="CO45" i="11"/>
  <c r="CP45" i="11"/>
  <c r="CQ45" i="11"/>
  <c r="CR45" i="11"/>
  <c r="CS45" i="11"/>
  <c r="CT45" i="11"/>
  <c r="CU45" i="11"/>
  <c r="CV45" i="11"/>
  <c r="CW45" i="11"/>
  <c r="CW50" i="11" s="1"/>
  <c r="CX45" i="11"/>
  <c r="CY45" i="11"/>
  <c r="CZ45" i="11"/>
  <c r="DA45" i="11"/>
  <c r="DB45" i="11"/>
  <c r="DC45" i="11"/>
  <c r="DD45" i="11"/>
  <c r="DE45" i="11"/>
  <c r="DF45" i="11"/>
  <c r="DG45" i="11"/>
  <c r="DH45" i="11"/>
  <c r="DI45" i="11"/>
  <c r="DJ45" i="11"/>
  <c r="DK45" i="11"/>
  <c r="DL45" i="11"/>
  <c r="DM45" i="11"/>
  <c r="DM50" i="11" s="1"/>
  <c r="DN45" i="11"/>
  <c r="DO45" i="11"/>
  <c r="DP45" i="11"/>
  <c r="DQ45" i="11"/>
  <c r="DR45" i="11"/>
  <c r="DS45" i="11"/>
  <c r="DT45" i="11"/>
  <c r="DU45" i="11"/>
  <c r="DV45" i="11"/>
  <c r="DW45" i="11"/>
  <c r="DX45" i="11"/>
  <c r="DY45" i="11"/>
  <c r="DZ45" i="11"/>
  <c r="EA45" i="11"/>
  <c r="EB45" i="11"/>
  <c r="EC45" i="11"/>
  <c r="EC50" i="11" s="1"/>
  <c r="ED45" i="11"/>
  <c r="EE45" i="11"/>
  <c r="EF45" i="11"/>
  <c r="EG45" i="11"/>
  <c r="EH45" i="11"/>
  <c r="EI45" i="11"/>
  <c r="EJ45" i="11"/>
  <c r="EK45" i="11"/>
  <c r="EL45" i="11"/>
  <c r="EM45" i="11"/>
  <c r="EN45" i="11"/>
  <c r="EO45" i="11"/>
  <c r="EP45" i="11"/>
  <c r="EQ45" i="11"/>
  <c r="ER45" i="11"/>
  <c r="ES45" i="11"/>
  <c r="ES50" i="11" s="1"/>
  <c r="ET45" i="11"/>
  <c r="EU45" i="11"/>
  <c r="EV45" i="11"/>
  <c r="EW45" i="11"/>
  <c r="EX45" i="11"/>
  <c r="EY45" i="11"/>
  <c r="EZ45" i="11"/>
  <c r="FA45" i="11"/>
  <c r="FB45" i="11"/>
  <c r="FC45" i="11"/>
  <c r="FD45" i="11"/>
  <c r="FE45" i="11"/>
  <c r="FF45" i="11"/>
  <c r="FG45" i="11"/>
  <c r="FH45" i="11"/>
  <c r="FI45" i="11"/>
  <c r="FI50" i="11" s="1"/>
  <c r="FJ45" i="11"/>
  <c r="FK45" i="11"/>
  <c r="FL45" i="11"/>
  <c r="FM45" i="11"/>
  <c r="FN45" i="11"/>
  <c r="FO45" i="11"/>
  <c r="FP45" i="11"/>
  <c r="FQ45" i="11"/>
  <c r="FR45" i="11"/>
  <c r="FS45" i="11"/>
  <c r="FT45" i="11"/>
  <c r="FU45" i="11"/>
  <c r="F46" i="11"/>
  <c r="G46" i="11"/>
  <c r="H46" i="11"/>
  <c r="I46" i="11"/>
  <c r="I50" i="11" s="1"/>
  <c r="J46" i="11"/>
  <c r="K46" i="11"/>
  <c r="L46" i="11"/>
  <c r="M46" i="11"/>
  <c r="N46" i="11"/>
  <c r="N50" i="11" s="1"/>
  <c r="O46" i="11"/>
  <c r="P46" i="11"/>
  <c r="Q46" i="11"/>
  <c r="R46" i="11"/>
  <c r="S46" i="11"/>
  <c r="T46" i="11"/>
  <c r="U46" i="11"/>
  <c r="V46" i="11"/>
  <c r="W46" i="11"/>
  <c r="X46" i="11"/>
  <c r="Y46" i="11"/>
  <c r="Y50" i="11" s="1"/>
  <c r="Z46" i="11"/>
  <c r="AA46" i="11"/>
  <c r="AB46" i="11"/>
  <c r="AC46" i="11"/>
  <c r="AD46" i="11"/>
  <c r="AD50" i="11" s="1"/>
  <c r="AE46" i="11"/>
  <c r="AF46" i="11"/>
  <c r="AG46" i="11"/>
  <c r="AH46" i="11"/>
  <c r="AI46" i="11"/>
  <c r="AJ46" i="11"/>
  <c r="AK46" i="11"/>
  <c r="AL46" i="11"/>
  <c r="AM46" i="11"/>
  <c r="AN46" i="11"/>
  <c r="AO46" i="11"/>
  <c r="AO50" i="11" s="1"/>
  <c r="AP46" i="11"/>
  <c r="AQ46" i="11"/>
  <c r="AR46" i="11"/>
  <c r="AS46" i="11"/>
  <c r="AT46" i="11"/>
  <c r="AT50" i="11" s="1"/>
  <c r="AU46" i="11"/>
  <c r="AV46" i="11"/>
  <c r="AW46" i="11"/>
  <c r="AX46" i="11"/>
  <c r="AY46" i="11"/>
  <c r="AZ46" i="11"/>
  <c r="BA46" i="11"/>
  <c r="BB46" i="11"/>
  <c r="BC46" i="11"/>
  <c r="BD46" i="11"/>
  <c r="BE46" i="11"/>
  <c r="BE50" i="11" s="1"/>
  <c r="BF46" i="11"/>
  <c r="BG46" i="11"/>
  <c r="BH46" i="11"/>
  <c r="BI46" i="11"/>
  <c r="BJ46" i="11"/>
  <c r="BJ50" i="11" s="1"/>
  <c r="BK46" i="11"/>
  <c r="BL46" i="11"/>
  <c r="BM46" i="11"/>
  <c r="BN46" i="11"/>
  <c r="BO46" i="11"/>
  <c r="BP46" i="11"/>
  <c r="BQ46" i="11"/>
  <c r="BR46" i="11"/>
  <c r="BS46" i="11"/>
  <c r="BT46" i="11"/>
  <c r="BU46" i="11"/>
  <c r="BU50" i="11" s="1"/>
  <c r="BV46" i="11"/>
  <c r="BW46" i="11"/>
  <c r="BX46" i="11"/>
  <c r="BY46" i="11"/>
  <c r="BZ46" i="11"/>
  <c r="BZ50" i="11" s="1"/>
  <c r="CA46" i="11"/>
  <c r="CB46" i="11"/>
  <c r="CC46" i="11"/>
  <c r="CD46" i="11"/>
  <c r="CE46" i="11"/>
  <c r="CF46" i="11"/>
  <c r="CG46" i="11"/>
  <c r="CH46" i="11"/>
  <c r="CI46" i="11"/>
  <c r="CJ46" i="11"/>
  <c r="CK46" i="11"/>
  <c r="CK50" i="11" s="1"/>
  <c r="CL46" i="11"/>
  <c r="CM46" i="11"/>
  <c r="CN46" i="11"/>
  <c r="CO46" i="11"/>
  <c r="CP46" i="11"/>
  <c r="CP50" i="11" s="1"/>
  <c r="CQ46" i="11"/>
  <c r="CR46" i="11"/>
  <c r="CS46" i="11"/>
  <c r="CT46" i="11"/>
  <c r="CU46" i="11"/>
  <c r="CV46" i="11"/>
  <c r="CW46" i="11"/>
  <c r="CX46" i="11"/>
  <c r="CY46" i="11"/>
  <c r="CZ46" i="11"/>
  <c r="DA46" i="11"/>
  <c r="DA50" i="11" s="1"/>
  <c r="DB46" i="11"/>
  <c r="DC46" i="11"/>
  <c r="DD46" i="11"/>
  <c r="DE46" i="11"/>
  <c r="DF46" i="11"/>
  <c r="DF50" i="11" s="1"/>
  <c r="DG46" i="11"/>
  <c r="DH46" i="11"/>
  <c r="DI46" i="11"/>
  <c r="DJ46" i="11"/>
  <c r="DK46" i="11"/>
  <c r="DL46" i="11"/>
  <c r="DM46" i="11"/>
  <c r="DN46" i="11"/>
  <c r="DO46" i="11"/>
  <c r="DP46" i="11"/>
  <c r="DQ46" i="11"/>
  <c r="DQ50" i="11" s="1"/>
  <c r="DR46" i="11"/>
  <c r="DS46" i="11"/>
  <c r="DT46" i="11"/>
  <c r="DU46" i="11"/>
  <c r="DV46" i="11"/>
  <c r="DV50" i="11" s="1"/>
  <c r="DW46" i="11"/>
  <c r="DX46" i="11"/>
  <c r="DY46" i="11"/>
  <c r="DZ46" i="11"/>
  <c r="EA46" i="11"/>
  <c r="EB46" i="11"/>
  <c r="EC46" i="11"/>
  <c r="ED46" i="11"/>
  <c r="EE46" i="11"/>
  <c r="EF46" i="11"/>
  <c r="EG46" i="11"/>
  <c r="EG50" i="11" s="1"/>
  <c r="EH46" i="11"/>
  <c r="EI46" i="11"/>
  <c r="EJ46" i="11"/>
  <c r="EK46" i="11"/>
  <c r="EL46" i="11"/>
  <c r="EL50" i="11" s="1"/>
  <c r="EM46" i="11"/>
  <c r="EN46" i="11"/>
  <c r="EO46" i="11"/>
  <c r="EP46" i="11"/>
  <c r="EQ46" i="11"/>
  <c r="ER46" i="11"/>
  <c r="ES46" i="11"/>
  <c r="ET46" i="11"/>
  <c r="EU46" i="11"/>
  <c r="EV46" i="11"/>
  <c r="EW46" i="11"/>
  <c r="EW50" i="11" s="1"/>
  <c r="EX46" i="11"/>
  <c r="EY46" i="11"/>
  <c r="EZ46" i="11"/>
  <c r="FA46" i="11"/>
  <c r="FB46" i="11"/>
  <c r="FB50" i="11" s="1"/>
  <c r="FC46" i="11"/>
  <c r="FD46" i="11"/>
  <c r="FE46" i="11"/>
  <c r="FF46" i="11"/>
  <c r="FG46" i="11"/>
  <c r="FH46" i="11"/>
  <c r="FI46" i="11"/>
  <c r="FJ46" i="11"/>
  <c r="FK46" i="11"/>
  <c r="FL46" i="11"/>
  <c r="FM46" i="11"/>
  <c r="FM50" i="11" s="1"/>
  <c r="FN46" i="11"/>
  <c r="FO46" i="11"/>
  <c r="FP46" i="11"/>
  <c r="FQ46" i="11"/>
  <c r="FR46" i="11"/>
  <c r="FR50" i="11" s="1"/>
  <c r="FS46" i="11"/>
  <c r="FT46" i="11"/>
  <c r="FU46" i="11"/>
  <c r="F47" i="11"/>
  <c r="G47" i="11"/>
  <c r="H47" i="11"/>
  <c r="I47" i="11"/>
  <c r="J47" i="11"/>
  <c r="K47" i="11"/>
  <c r="L47" i="11"/>
  <c r="M47" i="11"/>
  <c r="M50" i="11" s="1"/>
  <c r="N47" i="11"/>
  <c r="O47" i="11"/>
  <c r="P47" i="11"/>
  <c r="Q47" i="11"/>
  <c r="R47" i="11"/>
  <c r="R50" i="11" s="1"/>
  <c r="S47" i="11"/>
  <c r="T47" i="11"/>
  <c r="U47" i="11"/>
  <c r="V47" i="11"/>
  <c r="W47" i="11"/>
  <c r="X47" i="11"/>
  <c r="Y47" i="11"/>
  <c r="Z47" i="11"/>
  <c r="AA47" i="11"/>
  <c r="AB47" i="11"/>
  <c r="AC47" i="11"/>
  <c r="AC50" i="11" s="1"/>
  <c r="AD47" i="11"/>
  <c r="AE47" i="11"/>
  <c r="AF47" i="11"/>
  <c r="AG47" i="11"/>
  <c r="AH47" i="11"/>
  <c r="AH50" i="11" s="1"/>
  <c r="AI47" i="11"/>
  <c r="AJ47" i="11"/>
  <c r="AK47" i="11"/>
  <c r="AL47" i="11"/>
  <c r="AM47" i="11"/>
  <c r="AN47" i="11"/>
  <c r="AO47" i="11"/>
  <c r="AP47" i="11"/>
  <c r="AQ47" i="11"/>
  <c r="AR47" i="11"/>
  <c r="AS47" i="11"/>
  <c r="AS50" i="11" s="1"/>
  <c r="AT47" i="11"/>
  <c r="AU47" i="11"/>
  <c r="AV47" i="11"/>
  <c r="AW47" i="11"/>
  <c r="AX47" i="11"/>
  <c r="AX50" i="11" s="1"/>
  <c r="AY47" i="11"/>
  <c r="AZ47" i="11"/>
  <c r="BA47" i="11"/>
  <c r="BB47" i="11"/>
  <c r="BC47" i="11"/>
  <c r="BD47" i="11"/>
  <c r="BE47" i="11"/>
  <c r="BF47" i="11"/>
  <c r="BG47" i="11"/>
  <c r="BH47" i="11"/>
  <c r="BI47" i="11"/>
  <c r="BI50" i="11" s="1"/>
  <c r="BJ47" i="11"/>
  <c r="BK47" i="11"/>
  <c r="BL47" i="11"/>
  <c r="BM47" i="11"/>
  <c r="BN47" i="11"/>
  <c r="BN50" i="11" s="1"/>
  <c r="BO47" i="11"/>
  <c r="BP47" i="11"/>
  <c r="BQ47" i="11"/>
  <c r="BR47" i="11"/>
  <c r="BS47" i="11"/>
  <c r="BT47" i="11"/>
  <c r="BU47" i="11"/>
  <c r="BV47" i="11"/>
  <c r="BW47" i="11"/>
  <c r="BX47" i="11"/>
  <c r="BY47" i="11"/>
  <c r="BY50" i="11" s="1"/>
  <c r="BZ47" i="11"/>
  <c r="CA47" i="11"/>
  <c r="CB47" i="11"/>
  <c r="CC47" i="11"/>
  <c r="CD47" i="11"/>
  <c r="CD50" i="11" s="1"/>
  <c r="CE47" i="11"/>
  <c r="CF47" i="11"/>
  <c r="CG47" i="11"/>
  <c r="CH47" i="11"/>
  <c r="CI47" i="11"/>
  <c r="CJ47" i="11"/>
  <c r="CK47" i="11"/>
  <c r="CL47" i="11"/>
  <c r="CM47" i="11"/>
  <c r="CN47" i="11"/>
  <c r="CO47" i="11"/>
  <c r="CO50" i="11" s="1"/>
  <c r="CP47" i="11"/>
  <c r="CQ47" i="11"/>
  <c r="CR47" i="11"/>
  <c r="CS47" i="11"/>
  <c r="CT47" i="11"/>
  <c r="CT50" i="11" s="1"/>
  <c r="CU47" i="11"/>
  <c r="CV47" i="11"/>
  <c r="CW47" i="11"/>
  <c r="CX47" i="11"/>
  <c r="CY47" i="11"/>
  <c r="CZ47" i="11"/>
  <c r="DA47" i="11"/>
  <c r="DB47" i="11"/>
  <c r="DC47" i="11"/>
  <c r="DD47" i="11"/>
  <c r="DE47" i="11"/>
  <c r="DE50" i="11" s="1"/>
  <c r="DF47" i="11"/>
  <c r="DG47" i="11"/>
  <c r="DH47" i="11"/>
  <c r="DI47" i="11"/>
  <c r="DJ47" i="11"/>
  <c r="DJ50" i="11" s="1"/>
  <c r="DK47" i="11"/>
  <c r="DL47" i="11"/>
  <c r="DM47" i="11"/>
  <c r="DN47" i="11"/>
  <c r="DO47" i="11"/>
  <c r="DP47" i="11"/>
  <c r="DQ47" i="11"/>
  <c r="DR47" i="11"/>
  <c r="DS47" i="11"/>
  <c r="DT47" i="11"/>
  <c r="DU47" i="11"/>
  <c r="DU50" i="11" s="1"/>
  <c r="DV47" i="11"/>
  <c r="DW47" i="11"/>
  <c r="DX47" i="11"/>
  <c r="DY47" i="11"/>
  <c r="DZ47" i="11"/>
  <c r="DZ50" i="11" s="1"/>
  <c r="EA47" i="11"/>
  <c r="EB47" i="11"/>
  <c r="EC47" i="11"/>
  <c r="ED47" i="11"/>
  <c r="EE47" i="11"/>
  <c r="EF47" i="11"/>
  <c r="EG47" i="11"/>
  <c r="EH47" i="11"/>
  <c r="EI47" i="11"/>
  <c r="EJ47" i="11"/>
  <c r="EK47" i="11"/>
  <c r="EK50" i="11" s="1"/>
  <c r="EL47" i="11"/>
  <c r="EM47" i="11"/>
  <c r="EN47" i="11"/>
  <c r="EO47" i="11"/>
  <c r="EP47" i="11"/>
  <c r="EP50" i="11" s="1"/>
  <c r="EQ47" i="11"/>
  <c r="ER47" i="11"/>
  <c r="ES47" i="11"/>
  <c r="ET47" i="11"/>
  <c r="EU47" i="11"/>
  <c r="EV47" i="11"/>
  <c r="EW47" i="11"/>
  <c r="EX47" i="11"/>
  <c r="EY47" i="11"/>
  <c r="EZ47" i="11"/>
  <c r="FA47" i="11"/>
  <c r="FA50" i="11" s="1"/>
  <c r="FB47" i="11"/>
  <c r="FC47" i="11"/>
  <c r="FD47" i="11"/>
  <c r="FE47" i="11"/>
  <c r="FF47" i="11"/>
  <c r="FF50" i="11" s="1"/>
  <c r="FG47" i="11"/>
  <c r="FH47" i="11"/>
  <c r="FI47" i="11"/>
  <c r="FJ47" i="11"/>
  <c r="FK47" i="11"/>
  <c r="FL47" i="11"/>
  <c r="FM47" i="11"/>
  <c r="FN47" i="11"/>
  <c r="FO47" i="11"/>
  <c r="FP47" i="11"/>
  <c r="FQ47" i="11"/>
  <c r="FQ50" i="11" s="1"/>
  <c r="FR47" i="11"/>
  <c r="FS47" i="11"/>
  <c r="FT47" i="11"/>
  <c r="FU47" i="11"/>
  <c r="F50" i="11"/>
  <c r="G50" i="11"/>
  <c r="H50" i="11"/>
  <c r="K50" i="11"/>
  <c r="L50" i="11"/>
  <c r="O50" i="11"/>
  <c r="P50" i="11"/>
  <c r="Q50" i="11"/>
  <c r="S50" i="11"/>
  <c r="T50" i="11"/>
  <c r="V50" i="11"/>
  <c r="W50" i="11"/>
  <c r="X50" i="11"/>
  <c r="Z50" i="11"/>
  <c r="AA50" i="11"/>
  <c r="AB50" i="11"/>
  <c r="AE50" i="11"/>
  <c r="AF50" i="11"/>
  <c r="AG50" i="11"/>
  <c r="AI50" i="11"/>
  <c r="AJ50" i="11"/>
  <c r="AL50" i="11"/>
  <c r="AM50" i="11"/>
  <c r="AN50" i="11"/>
  <c r="AP50" i="11"/>
  <c r="AQ50" i="11"/>
  <c r="AR50" i="11"/>
  <c r="AU50" i="11"/>
  <c r="AV50" i="11"/>
  <c r="AW50" i="11"/>
  <c r="AY50" i="11"/>
  <c r="AZ50" i="11"/>
  <c r="BB50" i="11"/>
  <c r="BC50" i="11"/>
  <c r="BD50" i="11"/>
  <c r="BF50" i="11"/>
  <c r="BG50" i="11"/>
  <c r="BH50" i="11"/>
  <c r="BK50" i="11"/>
  <c r="BL50" i="11"/>
  <c r="BM50" i="11"/>
  <c r="BO50" i="11"/>
  <c r="BP50" i="11"/>
  <c r="BR50" i="11"/>
  <c r="BS50" i="11"/>
  <c r="BT50" i="11"/>
  <c r="BV50" i="11"/>
  <c r="BW50" i="11"/>
  <c r="BX50" i="11"/>
  <c r="CA50" i="11"/>
  <c r="CB50" i="11"/>
  <c r="CC50" i="11"/>
  <c r="CE50" i="11"/>
  <c r="CF50" i="11"/>
  <c r="CH50" i="11"/>
  <c r="CI50" i="11"/>
  <c r="CJ50" i="11"/>
  <c r="CL50" i="11"/>
  <c r="CM50" i="11"/>
  <c r="CN50" i="11"/>
  <c r="CQ50" i="11"/>
  <c r="CR50" i="11"/>
  <c r="CS50" i="11"/>
  <c r="CU50" i="11"/>
  <c r="CV50" i="11"/>
  <c r="CX50" i="11"/>
  <c r="CY50" i="11"/>
  <c r="CZ50" i="11"/>
  <c r="DB50" i="11"/>
  <c r="DC50" i="11"/>
  <c r="DD50" i="11"/>
  <c r="DG50" i="11"/>
  <c r="DH50" i="11"/>
  <c r="DI50" i="11"/>
  <c r="DK50" i="11"/>
  <c r="DL50" i="11"/>
  <c r="DN50" i="11"/>
  <c r="DO50" i="11"/>
  <c r="DP50" i="11"/>
  <c r="DR50" i="11"/>
  <c r="DS50" i="11"/>
  <c r="DT50" i="11"/>
  <c r="DW50" i="11"/>
  <c r="DX50" i="11"/>
  <c r="DY50" i="11"/>
  <c r="EA50" i="11"/>
  <c r="EB50" i="11"/>
  <c r="ED50" i="11"/>
  <c r="EE50" i="11"/>
  <c r="EF50" i="11"/>
  <c r="EH50" i="11"/>
  <c r="EI50" i="11"/>
  <c r="EJ50" i="11"/>
  <c r="EM50" i="11"/>
  <c r="EN50" i="11"/>
  <c r="EO50" i="11"/>
  <c r="EQ50" i="11"/>
  <c r="ER50" i="11"/>
  <c r="ET50" i="11"/>
  <c r="EU50" i="11"/>
  <c r="EV50" i="11"/>
  <c r="EX50" i="11"/>
  <c r="EY50" i="11"/>
  <c r="EZ50" i="11"/>
  <c r="FC50" i="11"/>
  <c r="FD50" i="11"/>
  <c r="FE50" i="11"/>
  <c r="FG50" i="11"/>
  <c r="FH50" i="11"/>
  <c r="FJ50" i="11"/>
  <c r="FK50" i="11"/>
  <c r="FL50" i="11"/>
  <c r="FN50" i="11"/>
  <c r="FO50" i="11"/>
  <c r="FP50" i="11"/>
  <c r="FS50" i="11"/>
  <c r="FT50" i="11"/>
  <c r="FU50" i="11"/>
  <c r="E50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31" i="11"/>
  <c r="A32" i="11"/>
  <c r="B32" i="11"/>
  <c r="C32" i="11"/>
  <c r="D32" i="11"/>
  <c r="A33" i="11"/>
  <c r="B33" i="11"/>
  <c r="C33" i="11"/>
  <c r="D33" i="11"/>
  <c r="A34" i="11"/>
  <c r="B34" i="11"/>
  <c r="C34" i="11"/>
  <c r="D34" i="11"/>
  <c r="A35" i="11"/>
  <c r="B35" i="11"/>
  <c r="C35" i="11"/>
  <c r="D35" i="11"/>
  <c r="A36" i="11"/>
  <c r="B36" i="11"/>
  <c r="C36" i="11"/>
  <c r="D36" i="11"/>
  <c r="A37" i="11"/>
  <c r="B37" i="11"/>
  <c r="C37" i="11"/>
  <c r="D37" i="11"/>
  <c r="A38" i="11"/>
  <c r="B38" i="11"/>
  <c r="C38" i="11"/>
  <c r="D38" i="11"/>
  <c r="A39" i="11"/>
  <c r="B39" i="11"/>
  <c r="C39" i="11"/>
  <c r="D39" i="11"/>
  <c r="A40" i="11"/>
  <c r="B40" i="11"/>
  <c r="C40" i="11"/>
  <c r="D40" i="11"/>
  <c r="A41" i="11"/>
  <c r="B41" i="11"/>
  <c r="C41" i="11"/>
  <c r="D41" i="11"/>
  <c r="A42" i="11"/>
  <c r="B42" i="11"/>
  <c r="C42" i="11"/>
  <c r="D42" i="11"/>
  <c r="A43" i="11"/>
  <c r="B43" i="11"/>
  <c r="C43" i="11"/>
  <c r="D43" i="11"/>
  <c r="A44" i="11"/>
  <c r="B44" i="11"/>
  <c r="C44" i="11"/>
  <c r="D44" i="11"/>
  <c r="A45" i="11"/>
  <c r="B45" i="11"/>
  <c r="C45" i="11"/>
  <c r="D45" i="11"/>
  <c r="A46" i="11"/>
  <c r="B46" i="11"/>
  <c r="C46" i="11"/>
  <c r="D46" i="11"/>
  <c r="A47" i="11"/>
  <c r="B47" i="11"/>
  <c r="C47" i="11"/>
  <c r="D47" i="11"/>
  <c r="B31" i="11"/>
  <c r="C31" i="11"/>
  <c r="D31" i="11"/>
  <c r="A31" i="11"/>
  <c r="E30" i="11"/>
  <c r="E23" i="11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X17" i="10"/>
  <c r="AY17" i="10"/>
  <c r="AZ17" i="10"/>
  <c r="BA17" i="10"/>
  <c r="BB17" i="10"/>
  <c r="BC17" i="10"/>
  <c r="BD17" i="10"/>
  <c r="BE17" i="10"/>
  <c r="BF17" i="10"/>
  <c r="BG17" i="10"/>
  <c r="BH17" i="10"/>
  <c r="BI17" i="10"/>
  <c r="BJ17" i="10"/>
  <c r="BK17" i="10"/>
  <c r="BL17" i="10"/>
  <c r="BM17" i="10"/>
  <c r="BN17" i="10"/>
  <c r="BO17" i="10"/>
  <c r="BP17" i="10"/>
  <c r="BQ17" i="10"/>
  <c r="BR17" i="10"/>
  <c r="BS17" i="10"/>
  <c r="BT17" i="10"/>
  <c r="BU17" i="10"/>
  <c r="BV17" i="10"/>
  <c r="BW17" i="10"/>
  <c r="BX17" i="10"/>
  <c r="BY17" i="10"/>
  <c r="BZ17" i="10"/>
  <c r="CA17" i="10"/>
  <c r="CB17" i="10"/>
  <c r="CC17" i="10"/>
  <c r="CD17" i="10"/>
  <c r="CE17" i="10"/>
  <c r="CF17" i="10"/>
  <c r="CG17" i="10"/>
  <c r="CH17" i="10"/>
  <c r="CI17" i="10"/>
  <c r="CJ17" i="10"/>
  <c r="CK17" i="10"/>
  <c r="CL17" i="10"/>
  <c r="CM17" i="10"/>
  <c r="CN17" i="10"/>
  <c r="CO17" i="10"/>
  <c r="CP17" i="10"/>
  <c r="CQ17" i="10"/>
  <c r="CR17" i="10"/>
  <c r="CS17" i="10"/>
  <c r="CT17" i="10"/>
  <c r="CU17" i="10"/>
  <c r="CV17" i="10"/>
  <c r="CW17" i="10"/>
  <c r="CX17" i="10"/>
  <c r="CY17" i="10"/>
  <c r="CZ17" i="10"/>
  <c r="DA17" i="10"/>
  <c r="DB17" i="10"/>
  <c r="DC17" i="10"/>
  <c r="DD17" i="10"/>
  <c r="DE17" i="10"/>
  <c r="DF17" i="10"/>
  <c r="DG17" i="10"/>
  <c r="DH17" i="10"/>
  <c r="DI17" i="10"/>
  <c r="DJ17" i="10"/>
  <c r="DK17" i="10"/>
  <c r="DL17" i="10"/>
  <c r="DM17" i="10"/>
  <c r="DN17" i="10"/>
  <c r="DO17" i="10"/>
  <c r="DP17" i="10"/>
  <c r="DQ17" i="10"/>
  <c r="DR17" i="10"/>
  <c r="DS17" i="10"/>
  <c r="DT17" i="10"/>
  <c r="DU17" i="10"/>
  <c r="DV17" i="10"/>
  <c r="DW17" i="10"/>
  <c r="DX17" i="10"/>
  <c r="DY17" i="10"/>
  <c r="DZ17" i="10"/>
  <c r="EA17" i="10"/>
  <c r="EB17" i="10"/>
  <c r="EC17" i="10"/>
  <c r="ED17" i="10"/>
  <c r="EE17" i="10"/>
  <c r="EF17" i="10"/>
  <c r="EG17" i="10"/>
  <c r="EH17" i="10"/>
  <c r="EI17" i="10"/>
  <c r="EJ17" i="10"/>
  <c r="EK17" i="10"/>
  <c r="EL17" i="10"/>
  <c r="EM17" i="10"/>
  <c r="EN17" i="10"/>
  <c r="EO17" i="10"/>
  <c r="EP17" i="10"/>
  <c r="EQ17" i="10"/>
  <c r="ER17" i="10"/>
  <c r="ES17" i="10"/>
  <c r="ET17" i="10"/>
  <c r="EU17" i="10"/>
  <c r="EV17" i="10"/>
  <c r="EW17" i="10"/>
  <c r="EX17" i="10"/>
  <c r="EY17" i="10"/>
  <c r="EZ17" i="10"/>
  <c r="FA17" i="10"/>
  <c r="FB17" i="10"/>
  <c r="FC17" i="10"/>
  <c r="FD17" i="10"/>
  <c r="FE17" i="10"/>
  <c r="FF17" i="10"/>
  <c r="FG17" i="10"/>
  <c r="FH17" i="10"/>
  <c r="FI17" i="10"/>
  <c r="FJ17" i="10"/>
  <c r="FK17" i="10"/>
  <c r="FL17" i="10"/>
  <c r="FM17" i="10"/>
  <c r="FN17" i="10"/>
  <c r="FO17" i="10"/>
  <c r="FP17" i="10"/>
  <c r="FQ17" i="10"/>
  <c r="FR17" i="10"/>
  <c r="FS17" i="10"/>
  <c r="FT17" i="10"/>
  <c r="FU17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M23" i="10"/>
  <c r="AN23" i="10"/>
  <c r="AO23" i="10"/>
  <c r="AP23" i="10"/>
  <c r="AQ23" i="10"/>
  <c r="AR23" i="10"/>
  <c r="AS23" i="10"/>
  <c r="AT23" i="10"/>
  <c r="AU23" i="10"/>
  <c r="AV23" i="10"/>
  <c r="AW23" i="10"/>
  <c r="AX23" i="10"/>
  <c r="AY23" i="10"/>
  <c r="AZ23" i="10"/>
  <c r="BA23" i="10"/>
  <c r="BB23" i="10"/>
  <c r="BC23" i="10"/>
  <c r="BD23" i="10"/>
  <c r="BE23" i="10"/>
  <c r="BF23" i="10"/>
  <c r="BG23" i="10"/>
  <c r="BH23" i="10"/>
  <c r="BI23" i="10"/>
  <c r="BJ23" i="10"/>
  <c r="BK23" i="10"/>
  <c r="BL23" i="10"/>
  <c r="BM23" i="10"/>
  <c r="BN23" i="10"/>
  <c r="BO23" i="10"/>
  <c r="BP23" i="10"/>
  <c r="BQ23" i="10"/>
  <c r="BR23" i="10"/>
  <c r="BS23" i="10"/>
  <c r="BT23" i="10"/>
  <c r="BU23" i="10"/>
  <c r="BV23" i="10"/>
  <c r="BW23" i="10"/>
  <c r="BX23" i="10"/>
  <c r="BY23" i="10"/>
  <c r="BZ23" i="10"/>
  <c r="CA23" i="10"/>
  <c r="CB23" i="10"/>
  <c r="CC23" i="10"/>
  <c r="CD23" i="10"/>
  <c r="CE23" i="10"/>
  <c r="CF23" i="10"/>
  <c r="CG23" i="10"/>
  <c r="CH23" i="10"/>
  <c r="CI23" i="10"/>
  <c r="CJ23" i="10"/>
  <c r="CK23" i="10"/>
  <c r="CL23" i="10"/>
  <c r="CM23" i="10"/>
  <c r="CN23" i="10"/>
  <c r="CO23" i="10"/>
  <c r="CP23" i="10"/>
  <c r="CQ23" i="10"/>
  <c r="CR23" i="10"/>
  <c r="CS23" i="10"/>
  <c r="CT23" i="10"/>
  <c r="CU23" i="10"/>
  <c r="CV23" i="10"/>
  <c r="CW23" i="10"/>
  <c r="CX23" i="10"/>
  <c r="CY23" i="10"/>
  <c r="CZ23" i="10"/>
  <c r="DA23" i="10"/>
  <c r="DB23" i="10"/>
  <c r="DC23" i="10"/>
  <c r="DD23" i="10"/>
  <c r="DE23" i="10"/>
  <c r="DF23" i="10"/>
  <c r="DG23" i="10"/>
  <c r="DH23" i="10"/>
  <c r="DI23" i="10"/>
  <c r="DJ23" i="10"/>
  <c r="DK23" i="10"/>
  <c r="DL23" i="10"/>
  <c r="DM23" i="10"/>
  <c r="DN23" i="10"/>
  <c r="DO23" i="10"/>
  <c r="DP23" i="10"/>
  <c r="DQ23" i="10"/>
  <c r="DR23" i="10"/>
  <c r="DS23" i="10"/>
  <c r="DT23" i="10"/>
  <c r="DU23" i="10"/>
  <c r="DV23" i="10"/>
  <c r="DW23" i="10"/>
  <c r="DX23" i="10"/>
  <c r="DY23" i="10"/>
  <c r="DZ23" i="10"/>
  <c r="EA23" i="10"/>
  <c r="EB23" i="10"/>
  <c r="EC23" i="10"/>
  <c r="ED23" i="10"/>
  <c r="EE23" i="10"/>
  <c r="EF23" i="10"/>
  <c r="EG23" i="10"/>
  <c r="EH23" i="10"/>
  <c r="EI23" i="10"/>
  <c r="EJ23" i="10"/>
  <c r="EK23" i="10"/>
  <c r="EL23" i="10"/>
  <c r="EM23" i="10"/>
  <c r="EN23" i="10"/>
  <c r="EO23" i="10"/>
  <c r="EP23" i="10"/>
  <c r="EQ23" i="10"/>
  <c r="ER23" i="10"/>
  <c r="ES23" i="10"/>
  <c r="ET23" i="10"/>
  <c r="EU23" i="10"/>
  <c r="EV23" i="10"/>
  <c r="EW23" i="10"/>
  <c r="EX23" i="10"/>
  <c r="EY23" i="10"/>
  <c r="EZ23" i="10"/>
  <c r="FA23" i="10"/>
  <c r="FB23" i="10"/>
  <c r="FC23" i="10"/>
  <c r="FD23" i="10"/>
  <c r="FE23" i="10"/>
  <c r="FF23" i="10"/>
  <c r="FG23" i="10"/>
  <c r="FH23" i="10"/>
  <c r="FI23" i="10"/>
  <c r="FJ23" i="10"/>
  <c r="FK23" i="10"/>
  <c r="FL23" i="10"/>
  <c r="FM23" i="10"/>
  <c r="FN23" i="10"/>
  <c r="FO23" i="10"/>
  <c r="FP23" i="10"/>
  <c r="FQ23" i="10"/>
  <c r="FR23" i="10"/>
  <c r="FS23" i="10"/>
  <c r="FT23" i="10"/>
  <c r="FU23" i="10"/>
  <c r="F24" i="10"/>
  <c r="G24" i="10"/>
  <c r="H24" i="10"/>
  <c r="I24" i="10"/>
  <c r="J24" i="10"/>
  <c r="K24" i="10"/>
  <c r="K37" i="10" s="1"/>
  <c r="L24" i="10"/>
  <c r="M24" i="10"/>
  <c r="M37" i="10" s="1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A37" i="10" s="1"/>
  <c r="AB24" i="10"/>
  <c r="AC24" i="10"/>
  <c r="AC37" i="10" s="1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Q37" i="10" s="1"/>
  <c r="AR24" i="10"/>
  <c r="AS24" i="10"/>
  <c r="AS37" i="10" s="1"/>
  <c r="AT24" i="10"/>
  <c r="AU24" i="10"/>
  <c r="AV24" i="10"/>
  <c r="AW24" i="10"/>
  <c r="AX24" i="10"/>
  <c r="AY24" i="10"/>
  <c r="AZ24" i="10"/>
  <c r="BA24" i="10"/>
  <c r="BB24" i="10"/>
  <c r="BC24" i="10"/>
  <c r="BD24" i="10"/>
  <c r="BE24" i="10"/>
  <c r="BF24" i="10"/>
  <c r="BG24" i="10"/>
  <c r="BG37" i="10" s="1"/>
  <c r="BH24" i="10"/>
  <c r="BI24" i="10"/>
  <c r="BI37" i="10" s="1"/>
  <c r="BJ24" i="10"/>
  <c r="BK24" i="10"/>
  <c r="BL24" i="10"/>
  <c r="BM24" i="10"/>
  <c r="BN24" i="10"/>
  <c r="BO24" i="10"/>
  <c r="BP24" i="10"/>
  <c r="BQ24" i="10"/>
  <c r="BR24" i="10"/>
  <c r="BS24" i="10"/>
  <c r="BT24" i="10"/>
  <c r="BU24" i="10"/>
  <c r="BV24" i="10"/>
  <c r="BW24" i="10"/>
  <c r="BW37" i="10" s="1"/>
  <c r="BX24" i="10"/>
  <c r="BY24" i="10"/>
  <c r="BY37" i="10" s="1"/>
  <c r="BZ24" i="10"/>
  <c r="CA24" i="10"/>
  <c r="CB24" i="10"/>
  <c r="CC24" i="10"/>
  <c r="CD24" i="10"/>
  <c r="CE24" i="10"/>
  <c r="CF24" i="10"/>
  <c r="CG24" i="10"/>
  <c r="CH24" i="10"/>
  <c r="CI24" i="10"/>
  <c r="CJ24" i="10"/>
  <c r="CK24" i="10"/>
  <c r="CL24" i="10"/>
  <c r="CM24" i="10"/>
  <c r="CM37" i="10" s="1"/>
  <c r="CN24" i="10"/>
  <c r="CO24" i="10"/>
  <c r="CO37" i="10" s="1"/>
  <c r="CP24" i="10"/>
  <c r="CQ24" i="10"/>
  <c r="CR24" i="10"/>
  <c r="CS24" i="10"/>
  <c r="CT24" i="10"/>
  <c r="CU24" i="10"/>
  <c r="CV24" i="10"/>
  <c r="CW24" i="10"/>
  <c r="CX24" i="10"/>
  <c r="CY24" i="10"/>
  <c r="CZ24" i="10"/>
  <c r="DA24" i="10"/>
  <c r="DB24" i="10"/>
  <c r="DC24" i="10"/>
  <c r="DC37" i="10" s="1"/>
  <c r="DD24" i="10"/>
  <c r="DE24" i="10"/>
  <c r="DE37" i="10" s="1"/>
  <c r="DF24" i="10"/>
  <c r="DG24" i="10"/>
  <c r="DH24" i="10"/>
  <c r="DI24" i="10"/>
  <c r="DJ24" i="10"/>
  <c r="DK24" i="10"/>
  <c r="DL24" i="10"/>
  <c r="DM24" i="10"/>
  <c r="DN24" i="10"/>
  <c r="DO24" i="10"/>
  <c r="DP24" i="10"/>
  <c r="DQ24" i="10"/>
  <c r="DR24" i="10"/>
  <c r="DS24" i="10"/>
  <c r="DS37" i="10" s="1"/>
  <c r="DT24" i="10"/>
  <c r="DU24" i="10"/>
  <c r="DU37" i="10" s="1"/>
  <c r="DV24" i="10"/>
  <c r="DW24" i="10"/>
  <c r="DX24" i="10"/>
  <c r="DY24" i="10"/>
  <c r="DZ24" i="10"/>
  <c r="EA24" i="10"/>
  <c r="EB24" i="10"/>
  <c r="EC24" i="10"/>
  <c r="ED24" i="10"/>
  <c r="EE24" i="10"/>
  <c r="EF24" i="10"/>
  <c r="EG24" i="10"/>
  <c r="EH24" i="10"/>
  <c r="EI24" i="10"/>
  <c r="EI37" i="10" s="1"/>
  <c r="EJ24" i="10"/>
  <c r="EK24" i="10"/>
  <c r="EK37" i="10" s="1"/>
  <c r="EL24" i="10"/>
  <c r="EM24" i="10"/>
  <c r="EN24" i="10"/>
  <c r="EO24" i="10"/>
  <c r="EP24" i="10"/>
  <c r="EQ24" i="10"/>
  <c r="ER24" i="10"/>
  <c r="ES24" i="10"/>
  <c r="ET24" i="10"/>
  <c r="EU24" i="10"/>
  <c r="EV24" i="10"/>
  <c r="EW24" i="10"/>
  <c r="EX24" i="10"/>
  <c r="EY24" i="10"/>
  <c r="EY37" i="10" s="1"/>
  <c r="EZ24" i="10"/>
  <c r="FA24" i="10"/>
  <c r="FA37" i="10" s="1"/>
  <c r="FB24" i="10"/>
  <c r="FC24" i="10"/>
  <c r="FD24" i="10"/>
  <c r="FE24" i="10"/>
  <c r="FF24" i="10"/>
  <c r="FG24" i="10"/>
  <c r="FH24" i="10"/>
  <c r="FI24" i="10"/>
  <c r="FJ24" i="10"/>
  <c r="FK24" i="10"/>
  <c r="FL24" i="10"/>
  <c r="FM24" i="10"/>
  <c r="FN24" i="10"/>
  <c r="FO24" i="10"/>
  <c r="FO37" i="10" s="1"/>
  <c r="FP24" i="10"/>
  <c r="FQ24" i="10"/>
  <c r="FQ37" i="10" s="1"/>
  <c r="FR24" i="10"/>
  <c r="FS24" i="10"/>
  <c r="FT24" i="10"/>
  <c r="FU24" i="10"/>
  <c r="F25" i="10"/>
  <c r="G25" i="10"/>
  <c r="H25" i="10"/>
  <c r="I25" i="10"/>
  <c r="J25" i="10"/>
  <c r="K25" i="10"/>
  <c r="L25" i="10"/>
  <c r="M25" i="10"/>
  <c r="N25" i="10"/>
  <c r="O25" i="10"/>
  <c r="O37" i="10" s="1"/>
  <c r="P25" i="10"/>
  <c r="Q25" i="10"/>
  <c r="Q37" i="10" s="1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E37" i="10" s="1"/>
  <c r="AF25" i="10"/>
  <c r="AG25" i="10"/>
  <c r="AG37" i="10" s="1"/>
  <c r="AH25" i="10"/>
  <c r="AI25" i="10"/>
  <c r="AJ25" i="10"/>
  <c r="AK25" i="10"/>
  <c r="AL25" i="10"/>
  <c r="AM25" i="10"/>
  <c r="AN25" i="10"/>
  <c r="AO25" i="10"/>
  <c r="AP25" i="10"/>
  <c r="AQ25" i="10"/>
  <c r="AR25" i="10"/>
  <c r="AS25" i="10"/>
  <c r="AT25" i="10"/>
  <c r="AU25" i="10"/>
  <c r="AU37" i="10" s="1"/>
  <c r="AV25" i="10"/>
  <c r="AW25" i="10"/>
  <c r="AW37" i="10" s="1"/>
  <c r="AX25" i="10"/>
  <c r="AY25" i="10"/>
  <c r="AZ25" i="10"/>
  <c r="BA25" i="10"/>
  <c r="BB25" i="10"/>
  <c r="BC25" i="10"/>
  <c r="BD25" i="10"/>
  <c r="BE25" i="10"/>
  <c r="BF25" i="10"/>
  <c r="BG25" i="10"/>
  <c r="BH25" i="10"/>
  <c r="BI25" i="10"/>
  <c r="BJ25" i="10"/>
  <c r="BK25" i="10"/>
  <c r="BK37" i="10" s="1"/>
  <c r="BL25" i="10"/>
  <c r="BM25" i="10"/>
  <c r="BM37" i="10" s="1"/>
  <c r="BN25" i="10"/>
  <c r="BO25" i="10"/>
  <c r="BP25" i="10"/>
  <c r="BQ25" i="10"/>
  <c r="BR25" i="10"/>
  <c r="BS25" i="10"/>
  <c r="BT25" i="10"/>
  <c r="BU25" i="10"/>
  <c r="BV25" i="10"/>
  <c r="BW25" i="10"/>
  <c r="BX25" i="10"/>
  <c r="BY25" i="10"/>
  <c r="BZ25" i="10"/>
  <c r="CA25" i="10"/>
  <c r="CA37" i="10" s="1"/>
  <c r="CB25" i="10"/>
  <c r="CC25" i="10"/>
  <c r="CC37" i="10" s="1"/>
  <c r="CD25" i="10"/>
  <c r="CE25" i="10"/>
  <c r="CF25" i="10"/>
  <c r="CG25" i="10"/>
  <c r="CH25" i="10"/>
  <c r="CI25" i="10"/>
  <c r="CJ25" i="10"/>
  <c r="CK25" i="10"/>
  <c r="CL25" i="10"/>
  <c r="CM25" i="10"/>
  <c r="CN25" i="10"/>
  <c r="CO25" i="10"/>
  <c r="CP25" i="10"/>
  <c r="CQ25" i="10"/>
  <c r="CQ37" i="10" s="1"/>
  <c r="CR25" i="10"/>
  <c r="CS25" i="10"/>
  <c r="CS37" i="10" s="1"/>
  <c r="CT25" i="10"/>
  <c r="CU25" i="10"/>
  <c r="CV25" i="10"/>
  <c r="CW25" i="10"/>
  <c r="CX25" i="10"/>
  <c r="CY25" i="10"/>
  <c r="CZ25" i="10"/>
  <c r="DA25" i="10"/>
  <c r="DB25" i="10"/>
  <c r="DC25" i="10"/>
  <c r="DD25" i="10"/>
  <c r="DE25" i="10"/>
  <c r="DF25" i="10"/>
  <c r="DG25" i="10"/>
  <c r="DG37" i="10" s="1"/>
  <c r="DH25" i="10"/>
  <c r="DI25" i="10"/>
  <c r="DI37" i="10" s="1"/>
  <c r="DJ25" i="10"/>
  <c r="DK25" i="10"/>
  <c r="DL25" i="10"/>
  <c r="DM25" i="10"/>
  <c r="DN25" i="10"/>
  <c r="DO25" i="10"/>
  <c r="DP25" i="10"/>
  <c r="DQ25" i="10"/>
  <c r="DR25" i="10"/>
  <c r="DS25" i="10"/>
  <c r="DT25" i="10"/>
  <c r="DU25" i="10"/>
  <c r="DV25" i="10"/>
  <c r="DW25" i="10"/>
  <c r="DW37" i="10" s="1"/>
  <c r="DX25" i="10"/>
  <c r="DY25" i="10"/>
  <c r="DY37" i="10" s="1"/>
  <c r="DZ25" i="10"/>
  <c r="EA25" i="10"/>
  <c r="EB25" i="10"/>
  <c r="EC25" i="10"/>
  <c r="ED25" i="10"/>
  <c r="EE25" i="10"/>
  <c r="EF25" i="10"/>
  <c r="EG25" i="10"/>
  <c r="EH25" i="10"/>
  <c r="EI25" i="10"/>
  <c r="EJ25" i="10"/>
  <c r="EK25" i="10"/>
  <c r="EL25" i="10"/>
  <c r="EM25" i="10"/>
  <c r="EM37" i="10" s="1"/>
  <c r="EN25" i="10"/>
  <c r="EO25" i="10"/>
  <c r="EO37" i="10" s="1"/>
  <c r="EP25" i="10"/>
  <c r="EQ25" i="10"/>
  <c r="ER25" i="10"/>
  <c r="ES25" i="10"/>
  <c r="ET25" i="10"/>
  <c r="EU25" i="10"/>
  <c r="EV25" i="10"/>
  <c r="EW25" i="10"/>
  <c r="EX25" i="10"/>
  <c r="EY25" i="10"/>
  <c r="EZ25" i="10"/>
  <c r="FA25" i="10"/>
  <c r="FB25" i="10"/>
  <c r="FC25" i="10"/>
  <c r="FC37" i="10" s="1"/>
  <c r="FD25" i="10"/>
  <c r="FE25" i="10"/>
  <c r="FE37" i="10" s="1"/>
  <c r="FF25" i="10"/>
  <c r="FG25" i="10"/>
  <c r="FH25" i="10"/>
  <c r="FI25" i="10"/>
  <c r="FJ25" i="10"/>
  <c r="FK25" i="10"/>
  <c r="FL25" i="10"/>
  <c r="FM25" i="10"/>
  <c r="FN25" i="10"/>
  <c r="FO25" i="10"/>
  <c r="FP25" i="10"/>
  <c r="FQ25" i="10"/>
  <c r="FR25" i="10"/>
  <c r="FS25" i="10"/>
  <c r="FS37" i="10" s="1"/>
  <c r="FT25" i="10"/>
  <c r="FU25" i="10"/>
  <c r="FU37" i="10" s="1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S37" i="10" s="1"/>
  <c r="T26" i="10"/>
  <c r="U26" i="10"/>
  <c r="U37" i="10" s="1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I37" i="10" s="1"/>
  <c r="AJ26" i="10"/>
  <c r="AK26" i="10"/>
  <c r="AK37" i="10" s="1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AX26" i="10"/>
  <c r="AY26" i="10"/>
  <c r="AY37" i="10" s="1"/>
  <c r="AZ26" i="10"/>
  <c r="BA26" i="10"/>
  <c r="BA37" i="10" s="1"/>
  <c r="BB26" i="10"/>
  <c r="BC26" i="10"/>
  <c r="BD26" i="10"/>
  <c r="BE26" i="10"/>
  <c r="BF26" i="10"/>
  <c r="BG26" i="10"/>
  <c r="BH26" i="10"/>
  <c r="BI26" i="10"/>
  <c r="BJ26" i="10"/>
  <c r="BK26" i="10"/>
  <c r="BL26" i="10"/>
  <c r="BM26" i="10"/>
  <c r="BN26" i="10"/>
  <c r="BO26" i="10"/>
  <c r="BO37" i="10" s="1"/>
  <c r="BP26" i="10"/>
  <c r="BQ26" i="10"/>
  <c r="BQ37" i="10" s="1"/>
  <c r="BR26" i="10"/>
  <c r="BS26" i="10"/>
  <c r="BT26" i="10"/>
  <c r="BU26" i="10"/>
  <c r="BV26" i="10"/>
  <c r="BW26" i="10"/>
  <c r="BX26" i="10"/>
  <c r="BY26" i="10"/>
  <c r="BZ26" i="10"/>
  <c r="CA26" i="10"/>
  <c r="CB26" i="10"/>
  <c r="CC26" i="10"/>
  <c r="CD26" i="10"/>
  <c r="CE26" i="10"/>
  <c r="CE37" i="10" s="1"/>
  <c r="CF26" i="10"/>
  <c r="CG26" i="10"/>
  <c r="CG37" i="10" s="1"/>
  <c r="CH26" i="10"/>
  <c r="CI26" i="10"/>
  <c r="CJ26" i="10"/>
  <c r="CK26" i="10"/>
  <c r="CL26" i="10"/>
  <c r="CM26" i="10"/>
  <c r="CN26" i="10"/>
  <c r="CO26" i="10"/>
  <c r="CP26" i="10"/>
  <c r="CQ26" i="10"/>
  <c r="CR26" i="10"/>
  <c r="CS26" i="10"/>
  <c r="CT26" i="10"/>
  <c r="CU26" i="10"/>
  <c r="CU37" i="10" s="1"/>
  <c r="CV26" i="10"/>
  <c r="CW26" i="10"/>
  <c r="CW37" i="10" s="1"/>
  <c r="CX26" i="10"/>
  <c r="CY26" i="10"/>
  <c r="CZ26" i="10"/>
  <c r="DA26" i="10"/>
  <c r="DB26" i="10"/>
  <c r="DC26" i="10"/>
  <c r="DD26" i="10"/>
  <c r="DE26" i="10"/>
  <c r="DF26" i="10"/>
  <c r="DG26" i="10"/>
  <c r="DH26" i="10"/>
  <c r="DI26" i="10"/>
  <c r="DJ26" i="10"/>
  <c r="DK26" i="10"/>
  <c r="DK37" i="10" s="1"/>
  <c r="DL26" i="10"/>
  <c r="DM26" i="10"/>
  <c r="DM37" i="10" s="1"/>
  <c r="DN26" i="10"/>
  <c r="DO26" i="10"/>
  <c r="DP26" i="10"/>
  <c r="DQ26" i="10"/>
  <c r="DR26" i="10"/>
  <c r="DS26" i="10"/>
  <c r="DT26" i="10"/>
  <c r="DU26" i="10"/>
  <c r="DV26" i="10"/>
  <c r="DW26" i="10"/>
  <c r="DX26" i="10"/>
  <c r="DY26" i="10"/>
  <c r="DZ26" i="10"/>
  <c r="EA26" i="10"/>
  <c r="EA37" i="10" s="1"/>
  <c r="EB26" i="10"/>
  <c r="EC26" i="10"/>
  <c r="EC37" i="10" s="1"/>
  <c r="ED26" i="10"/>
  <c r="EE26" i="10"/>
  <c r="EF26" i="10"/>
  <c r="EG26" i="10"/>
  <c r="EH26" i="10"/>
  <c r="EI26" i="10"/>
  <c r="EJ26" i="10"/>
  <c r="EK26" i="10"/>
  <c r="EL26" i="10"/>
  <c r="EM26" i="10"/>
  <c r="EN26" i="10"/>
  <c r="EO26" i="10"/>
  <c r="EP26" i="10"/>
  <c r="EQ26" i="10"/>
  <c r="EQ37" i="10" s="1"/>
  <c r="ER26" i="10"/>
  <c r="ES26" i="10"/>
  <c r="ES37" i="10" s="1"/>
  <c r="ET26" i="10"/>
  <c r="EU26" i="10"/>
  <c r="EV26" i="10"/>
  <c r="EW26" i="10"/>
  <c r="EX26" i="10"/>
  <c r="EY26" i="10"/>
  <c r="EZ26" i="10"/>
  <c r="FA26" i="10"/>
  <c r="FB26" i="10"/>
  <c r="FC26" i="10"/>
  <c r="FD26" i="10"/>
  <c r="FE26" i="10"/>
  <c r="FF26" i="10"/>
  <c r="FG26" i="10"/>
  <c r="FG37" i="10" s="1"/>
  <c r="FH26" i="10"/>
  <c r="FI26" i="10"/>
  <c r="FI37" i="10" s="1"/>
  <c r="FJ26" i="10"/>
  <c r="FK26" i="10"/>
  <c r="FL26" i="10"/>
  <c r="FM26" i="10"/>
  <c r="FN26" i="10"/>
  <c r="FO26" i="10"/>
  <c r="FP26" i="10"/>
  <c r="FQ26" i="10"/>
  <c r="FR26" i="10"/>
  <c r="FS26" i="10"/>
  <c r="FT26" i="10"/>
  <c r="FU26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AX27" i="10"/>
  <c r="AY27" i="10"/>
  <c r="AZ27" i="10"/>
  <c r="BA27" i="10"/>
  <c r="BB27" i="10"/>
  <c r="BC27" i="10"/>
  <c r="BD27" i="10"/>
  <c r="BE27" i="10"/>
  <c r="BF27" i="10"/>
  <c r="BG27" i="10"/>
  <c r="BH27" i="10"/>
  <c r="BI27" i="10"/>
  <c r="BJ27" i="10"/>
  <c r="BK27" i="10"/>
  <c r="BL27" i="10"/>
  <c r="BM27" i="10"/>
  <c r="BN27" i="10"/>
  <c r="BO27" i="10"/>
  <c r="BP27" i="10"/>
  <c r="BQ27" i="10"/>
  <c r="BR27" i="10"/>
  <c r="BS27" i="10"/>
  <c r="BT27" i="10"/>
  <c r="BU27" i="10"/>
  <c r="BV27" i="10"/>
  <c r="BW27" i="10"/>
  <c r="BX27" i="10"/>
  <c r="BY27" i="10"/>
  <c r="BZ27" i="10"/>
  <c r="CA27" i="10"/>
  <c r="CB27" i="10"/>
  <c r="CC27" i="10"/>
  <c r="CD27" i="10"/>
  <c r="CE27" i="10"/>
  <c r="CF27" i="10"/>
  <c r="CG27" i="10"/>
  <c r="CH27" i="10"/>
  <c r="CI27" i="10"/>
  <c r="CJ27" i="10"/>
  <c r="CK27" i="10"/>
  <c r="CL27" i="10"/>
  <c r="CM27" i="10"/>
  <c r="CN27" i="10"/>
  <c r="CO27" i="10"/>
  <c r="CP27" i="10"/>
  <c r="CQ27" i="10"/>
  <c r="CR27" i="10"/>
  <c r="CS27" i="10"/>
  <c r="CT27" i="10"/>
  <c r="CU27" i="10"/>
  <c r="CV27" i="10"/>
  <c r="CW27" i="10"/>
  <c r="CX27" i="10"/>
  <c r="CY27" i="10"/>
  <c r="CZ27" i="10"/>
  <c r="DA27" i="10"/>
  <c r="DB27" i="10"/>
  <c r="DC27" i="10"/>
  <c r="DD27" i="10"/>
  <c r="DE27" i="10"/>
  <c r="DF27" i="10"/>
  <c r="DG27" i="10"/>
  <c r="DH27" i="10"/>
  <c r="DI27" i="10"/>
  <c r="DJ27" i="10"/>
  <c r="DK27" i="10"/>
  <c r="DL27" i="10"/>
  <c r="DM27" i="10"/>
  <c r="DN27" i="10"/>
  <c r="DO27" i="10"/>
  <c r="DP27" i="10"/>
  <c r="DQ27" i="10"/>
  <c r="DR27" i="10"/>
  <c r="DS27" i="10"/>
  <c r="DT27" i="10"/>
  <c r="DU27" i="10"/>
  <c r="DV27" i="10"/>
  <c r="DW27" i="10"/>
  <c r="DX27" i="10"/>
  <c r="DY27" i="10"/>
  <c r="DZ27" i="10"/>
  <c r="EA27" i="10"/>
  <c r="EB27" i="10"/>
  <c r="EC27" i="10"/>
  <c r="ED27" i="10"/>
  <c r="EE27" i="10"/>
  <c r="EF27" i="10"/>
  <c r="EG27" i="10"/>
  <c r="EH27" i="10"/>
  <c r="EI27" i="10"/>
  <c r="EJ27" i="10"/>
  <c r="EK27" i="10"/>
  <c r="EL27" i="10"/>
  <c r="EM27" i="10"/>
  <c r="EN27" i="10"/>
  <c r="EO27" i="10"/>
  <c r="EP27" i="10"/>
  <c r="EQ27" i="10"/>
  <c r="ER27" i="10"/>
  <c r="ES27" i="10"/>
  <c r="ET27" i="10"/>
  <c r="EU27" i="10"/>
  <c r="EV27" i="10"/>
  <c r="EW27" i="10"/>
  <c r="EX27" i="10"/>
  <c r="EY27" i="10"/>
  <c r="EZ27" i="10"/>
  <c r="FA27" i="10"/>
  <c r="FB27" i="10"/>
  <c r="FC27" i="10"/>
  <c r="FD27" i="10"/>
  <c r="FE27" i="10"/>
  <c r="FF27" i="10"/>
  <c r="FG27" i="10"/>
  <c r="FH27" i="10"/>
  <c r="FI27" i="10"/>
  <c r="FJ27" i="10"/>
  <c r="FK27" i="10"/>
  <c r="FL27" i="10"/>
  <c r="FM27" i="10"/>
  <c r="FN27" i="10"/>
  <c r="FO27" i="10"/>
  <c r="FP27" i="10"/>
  <c r="FQ27" i="10"/>
  <c r="FR27" i="10"/>
  <c r="FS27" i="10"/>
  <c r="FT27" i="10"/>
  <c r="FU27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X28" i="10"/>
  <c r="AY28" i="10"/>
  <c r="AZ28" i="10"/>
  <c r="BA28" i="10"/>
  <c r="BB28" i="10"/>
  <c r="BC28" i="10"/>
  <c r="BD28" i="10"/>
  <c r="BE28" i="10"/>
  <c r="BF28" i="10"/>
  <c r="BG28" i="10"/>
  <c r="BH28" i="10"/>
  <c r="BI28" i="10"/>
  <c r="BJ28" i="10"/>
  <c r="BK28" i="10"/>
  <c r="BL28" i="10"/>
  <c r="BM28" i="10"/>
  <c r="BN28" i="10"/>
  <c r="BO28" i="10"/>
  <c r="BP28" i="10"/>
  <c r="BQ28" i="10"/>
  <c r="BR28" i="10"/>
  <c r="BS28" i="10"/>
  <c r="BT28" i="10"/>
  <c r="BU28" i="10"/>
  <c r="BV28" i="10"/>
  <c r="BW28" i="10"/>
  <c r="BX28" i="10"/>
  <c r="BY28" i="10"/>
  <c r="BZ28" i="10"/>
  <c r="CA28" i="10"/>
  <c r="CB28" i="10"/>
  <c r="CC28" i="10"/>
  <c r="CD28" i="10"/>
  <c r="CE28" i="10"/>
  <c r="CF28" i="10"/>
  <c r="CG28" i="10"/>
  <c r="CH28" i="10"/>
  <c r="CI28" i="10"/>
  <c r="CJ28" i="10"/>
  <c r="CK28" i="10"/>
  <c r="CL28" i="10"/>
  <c r="CM28" i="10"/>
  <c r="CN28" i="10"/>
  <c r="CO28" i="10"/>
  <c r="CP28" i="10"/>
  <c r="CQ28" i="10"/>
  <c r="CR28" i="10"/>
  <c r="CS28" i="10"/>
  <c r="CT28" i="10"/>
  <c r="CU28" i="10"/>
  <c r="CV28" i="10"/>
  <c r="CW28" i="10"/>
  <c r="CX28" i="10"/>
  <c r="CY28" i="10"/>
  <c r="CZ28" i="10"/>
  <c r="DA28" i="10"/>
  <c r="DB28" i="10"/>
  <c r="DC28" i="10"/>
  <c r="DD28" i="10"/>
  <c r="DE28" i="10"/>
  <c r="DF28" i="10"/>
  <c r="DG28" i="10"/>
  <c r="DH28" i="10"/>
  <c r="DI28" i="10"/>
  <c r="DJ28" i="10"/>
  <c r="DK28" i="10"/>
  <c r="DL28" i="10"/>
  <c r="DM28" i="10"/>
  <c r="DN28" i="10"/>
  <c r="DO28" i="10"/>
  <c r="DP28" i="10"/>
  <c r="DQ28" i="10"/>
  <c r="DR28" i="10"/>
  <c r="DS28" i="10"/>
  <c r="DT28" i="10"/>
  <c r="DU28" i="10"/>
  <c r="DV28" i="10"/>
  <c r="DW28" i="10"/>
  <c r="DX28" i="10"/>
  <c r="DY28" i="10"/>
  <c r="DZ28" i="10"/>
  <c r="EA28" i="10"/>
  <c r="EB28" i="10"/>
  <c r="EC28" i="10"/>
  <c r="ED28" i="10"/>
  <c r="EE28" i="10"/>
  <c r="EF28" i="10"/>
  <c r="EG28" i="10"/>
  <c r="EH28" i="10"/>
  <c r="EI28" i="10"/>
  <c r="EJ28" i="10"/>
  <c r="EK28" i="10"/>
  <c r="EL28" i="10"/>
  <c r="EM28" i="10"/>
  <c r="EN28" i="10"/>
  <c r="EO28" i="10"/>
  <c r="EP28" i="10"/>
  <c r="EQ28" i="10"/>
  <c r="ER28" i="10"/>
  <c r="ES28" i="10"/>
  <c r="ET28" i="10"/>
  <c r="EU28" i="10"/>
  <c r="EV28" i="10"/>
  <c r="EW28" i="10"/>
  <c r="EX28" i="10"/>
  <c r="EY28" i="10"/>
  <c r="EZ28" i="10"/>
  <c r="FA28" i="10"/>
  <c r="FB28" i="10"/>
  <c r="FC28" i="10"/>
  <c r="FD28" i="10"/>
  <c r="FE28" i="10"/>
  <c r="FF28" i="10"/>
  <c r="FG28" i="10"/>
  <c r="FH28" i="10"/>
  <c r="FI28" i="10"/>
  <c r="FJ28" i="10"/>
  <c r="FK28" i="10"/>
  <c r="FL28" i="10"/>
  <c r="FM28" i="10"/>
  <c r="FN28" i="10"/>
  <c r="FO28" i="10"/>
  <c r="FP28" i="10"/>
  <c r="FQ28" i="10"/>
  <c r="FR28" i="10"/>
  <c r="FS28" i="10"/>
  <c r="FT28" i="10"/>
  <c r="FU28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BN29" i="10"/>
  <c r="BO29" i="10"/>
  <c r="BP29" i="10"/>
  <c r="BQ29" i="10"/>
  <c r="BR29" i="10"/>
  <c r="BS29" i="10"/>
  <c r="BT29" i="10"/>
  <c r="BU29" i="10"/>
  <c r="BV29" i="10"/>
  <c r="BW29" i="10"/>
  <c r="BX29" i="10"/>
  <c r="BY29" i="10"/>
  <c r="BZ29" i="10"/>
  <c r="CA29" i="10"/>
  <c r="CB29" i="10"/>
  <c r="CC29" i="10"/>
  <c r="CD29" i="10"/>
  <c r="CE29" i="10"/>
  <c r="CF29" i="10"/>
  <c r="CG29" i="10"/>
  <c r="CH29" i="10"/>
  <c r="CI29" i="10"/>
  <c r="CJ29" i="10"/>
  <c r="CK29" i="10"/>
  <c r="CL29" i="10"/>
  <c r="CM29" i="10"/>
  <c r="CN29" i="10"/>
  <c r="CO29" i="10"/>
  <c r="CP29" i="10"/>
  <c r="CQ29" i="10"/>
  <c r="CR29" i="10"/>
  <c r="CS29" i="10"/>
  <c r="CT29" i="10"/>
  <c r="CU29" i="10"/>
  <c r="CV29" i="10"/>
  <c r="CW29" i="10"/>
  <c r="CX29" i="10"/>
  <c r="CY29" i="10"/>
  <c r="CZ29" i="10"/>
  <c r="DA29" i="10"/>
  <c r="DB29" i="10"/>
  <c r="DC29" i="10"/>
  <c r="DD29" i="10"/>
  <c r="DE29" i="10"/>
  <c r="DF29" i="10"/>
  <c r="DG29" i="10"/>
  <c r="DH29" i="10"/>
  <c r="DI29" i="10"/>
  <c r="DJ29" i="10"/>
  <c r="DK29" i="10"/>
  <c r="DL29" i="10"/>
  <c r="DM29" i="10"/>
  <c r="DN29" i="10"/>
  <c r="DO29" i="10"/>
  <c r="DP29" i="10"/>
  <c r="DQ29" i="10"/>
  <c r="DR29" i="10"/>
  <c r="DS29" i="10"/>
  <c r="DT29" i="10"/>
  <c r="DU29" i="10"/>
  <c r="DV29" i="10"/>
  <c r="DW29" i="10"/>
  <c r="DX29" i="10"/>
  <c r="DY29" i="10"/>
  <c r="DZ29" i="10"/>
  <c r="EA29" i="10"/>
  <c r="EB29" i="10"/>
  <c r="EC29" i="10"/>
  <c r="ED29" i="10"/>
  <c r="EE29" i="10"/>
  <c r="EF29" i="10"/>
  <c r="EG29" i="10"/>
  <c r="EH29" i="10"/>
  <c r="EI29" i="10"/>
  <c r="EJ29" i="10"/>
  <c r="EK29" i="10"/>
  <c r="EL29" i="10"/>
  <c r="EM29" i="10"/>
  <c r="EN29" i="10"/>
  <c r="EO29" i="10"/>
  <c r="EP29" i="10"/>
  <c r="EQ29" i="10"/>
  <c r="ER29" i="10"/>
  <c r="ES29" i="10"/>
  <c r="ET29" i="10"/>
  <c r="EU29" i="10"/>
  <c r="EV29" i="10"/>
  <c r="EW29" i="10"/>
  <c r="EX29" i="10"/>
  <c r="EY29" i="10"/>
  <c r="EZ29" i="10"/>
  <c r="FA29" i="10"/>
  <c r="FB29" i="10"/>
  <c r="FC29" i="10"/>
  <c r="FD29" i="10"/>
  <c r="FE29" i="10"/>
  <c r="FF29" i="10"/>
  <c r="FG29" i="10"/>
  <c r="FH29" i="10"/>
  <c r="FI29" i="10"/>
  <c r="FJ29" i="10"/>
  <c r="FK29" i="10"/>
  <c r="FL29" i="10"/>
  <c r="FM29" i="10"/>
  <c r="FN29" i="10"/>
  <c r="FO29" i="10"/>
  <c r="FP29" i="10"/>
  <c r="FQ29" i="10"/>
  <c r="FR29" i="10"/>
  <c r="FS29" i="10"/>
  <c r="FT29" i="10"/>
  <c r="FU29" i="10"/>
  <c r="F30" i="10"/>
  <c r="G30" i="10"/>
  <c r="H30" i="10"/>
  <c r="I30" i="10"/>
  <c r="J30" i="10"/>
  <c r="K30" i="10"/>
  <c r="L30" i="10"/>
  <c r="M30" i="10"/>
  <c r="N30" i="10"/>
  <c r="O30" i="10"/>
  <c r="P30" i="10"/>
  <c r="P37" i="10" s="1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F37" i="10" s="1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V37" i="10" s="1"/>
  <c r="AW30" i="10"/>
  <c r="AX30" i="10"/>
  <c r="AY30" i="10"/>
  <c r="AZ30" i="10"/>
  <c r="BA30" i="10"/>
  <c r="BB30" i="10"/>
  <c r="BC30" i="10"/>
  <c r="BD30" i="10"/>
  <c r="BE30" i="10"/>
  <c r="BF30" i="10"/>
  <c r="BG30" i="10"/>
  <c r="BH30" i="10"/>
  <c r="BI30" i="10"/>
  <c r="BJ30" i="10"/>
  <c r="BK30" i="10"/>
  <c r="BL30" i="10"/>
  <c r="BL37" i="10" s="1"/>
  <c r="BM30" i="10"/>
  <c r="BN30" i="10"/>
  <c r="BO30" i="10"/>
  <c r="BP30" i="10"/>
  <c r="BQ30" i="10"/>
  <c r="BR30" i="10"/>
  <c r="BS30" i="10"/>
  <c r="BT30" i="10"/>
  <c r="BU30" i="10"/>
  <c r="BV30" i="10"/>
  <c r="BW30" i="10"/>
  <c r="BX30" i="10"/>
  <c r="BY30" i="10"/>
  <c r="BZ30" i="10"/>
  <c r="CA30" i="10"/>
  <c r="CB30" i="10"/>
  <c r="CB37" i="10" s="1"/>
  <c r="CC30" i="10"/>
  <c r="CD30" i="10"/>
  <c r="CE30" i="10"/>
  <c r="CF30" i="10"/>
  <c r="CG30" i="10"/>
  <c r="CH30" i="10"/>
  <c r="CI30" i="10"/>
  <c r="CJ30" i="10"/>
  <c r="CK30" i="10"/>
  <c r="CL30" i="10"/>
  <c r="CM30" i="10"/>
  <c r="CN30" i="10"/>
  <c r="CO30" i="10"/>
  <c r="CP30" i="10"/>
  <c r="CQ30" i="10"/>
  <c r="CR30" i="10"/>
  <c r="CR37" i="10" s="1"/>
  <c r="CS30" i="10"/>
  <c r="CT30" i="10"/>
  <c r="CU30" i="10"/>
  <c r="CV30" i="10"/>
  <c r="CW30" i="10"/>
  <c r="CX30" i="10"/>
  <c r="CY30" i="10"/>
  <c r="CZ30" i="10"/>
  <c r="DA30" i="10"/>
  <c r="DB30" i="10"/>
  <c r="DC30" i="10"/>
  <c r="DD30" i="10"/>
  <c r="DE30" i="10"/>
  <c r="DF30" i="10"/>
  <c r="DG30" i="10"/>
  <c r="DH30" i="10"/>
  <c r="DH37" i="10" s="1"/>
  <c r="DI30" i="10"/>
  <c r="DJ30" i="10"/>
  <c r="DK30" i="10"/>
  <c r="DL30" i="10"/>
  <c r="DM30" i="10"/>
  <c r="DN30" i="10"/>
  <c r="DO30" i="10"/>
  <c r="DP30" i="10"/>
  <c r="DQ30" i="10"/>
  <c r="DR30" i="10"/>
  <c r="DS30" i="10"/>
  <c r="DT30" i="10"/>
  <c r="DU30" i="10"/>
  <c r="DV30" i="10"/>
  <c r="DW30" i="10"/>
  <c r="DX30" i="10"/>
  <c r="DX37" i="10" s="1"/>
  <c r="DY30" i="10"/>
  <c r="DZ30" i="10"/>
  <c r="EA30" i="10"/>
  <c r="EB30" i="10"/>
  <c r="EC30" i="10"/>
  <c r="ED30" i="10"/>
  <c r="EE30" i="10"/>
  <c r="EF30" i="10"/>
  <c r="EG30" i="10"/>
  <c r="EH30" i="10"/>
  <c r="EI30" i="10"/>
  <c r="EJ30" i="10"/>
  <c r="EK30" i="10"/>
  <c r="EL30" i="10"/>
  <c r="EM30" i="10"/>
  <c r="EN30" i="10"/>
  <c r="EN37" i="10" s="1"/>
  <c r="EO30" i="10"/>
  <c r="EP30" i="10"/>
  <c r="EQ30" i="10"/>
  <c r="ER30" i="10"/>
  <c r="ES30" i="10"/>
  <c r="ET30" i="10"/>
  <c r="EU30" i="10"/>
  <c r="EV30" i="10"/>
  <c r="EW30" i="10"/>
  <c r="EX30" i="10"/>
  <c r="EY30" i="10"/>
  <c r="EZ30" i="10"/>
  <c r="FA30" i="10"/>
  <c r="FB30" i="10"/>
  <c r="FC30" i="10"/>
  <c r="FD30" i="10"/>
  <c r="FD37" i="10" s="1"/>
  <c r="FE30" i="10"/>
  <c r="FF30" i="10"/>
  <c r="FG30" i="10"/>
  <c r="FH30" i="10"/>
  <c r="FI30" i="10"/>
  <c r="FJ30" i="10"/>
  <c r="FK30" i="10"/>
  <c r="FL30" i="10"/>
  <c r="FM30" i="10"/>
  <c r="FN30" i="10"/>
  <c r="FO30" i="10"/>
  <c r="FP30" i="10"/>
  <c r="FQ30" i="10"/>
  <c r="FR30" i="10"/>
  <c r="FS30" i="10"/>
  <c r="FT30" i="10"/>
  <c r="FT37" i="10" s="1"/>
  <c r="FU30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J31" i="10"/>
  <c r="AK31" i="10"/>
  <c r="AL31" i="10"/>
  <c r="AM31" i="10"/>
  <c r="AN31" i="10"/>
  <c r="AO31" i="10"/>
  <c r="AP31" i="10"/>
  <c r="AQ31" i="10"/>
  <c r="AR31" i="10"/>
  <c r="AS31" i="10"/>
  <c r="AT31" i="10"/>
  <c r="AU31" i="10"/>
  <c r="AV31" i="10"/>
  <c r="AW31" i="10"/>
  <c r="AX31" i="10"/>
  <c r="AY31" i="10"/>
  <c r="AZ31" i="10"/>
  <c r="BA31" i="10"/>
  <c r="BB31" i="10"/>
  <c r="BC31" i="10"/>
  <c r="BD31" i="10"/>
  <c r="BE31" i="10"/>
  <c r="BF31" i="10"/>
  <c r="BG31" i="10"/>
  <c r="BH31" i="10"/>
  <c r="BI31" i="10"/>
  <c r="BJ31" i="10"/>
  <c r="BK31" i="10"/>
  <c r="BL31" i="10"/>
  <c r="BM31" i="10"/>
  <c r="BN31" i="10"/>
  <c r="BO31" i="10"/>
  <c r="BP31" i="10"/>
  <c r="BQ31" i="10"/>
  <c r="BR31" i="10"/>
  <c r="BS31" i="10"/>
  <c r="BT31" i="10"/>
  <c r="BU31" i="10"/>
  <c r="BV31" i="10"/>
  <c r="BW31" i="10"/>
  <c r="BX31" i="10"/>
  <c r="BY31" i="10"/>
  <c r="BZ31" i="10"/>
  <c r="CA31" i="10"/>
  <c r="CB31" i="10"/>
  <c r="CC31" i="10"/>
  <c r="CD31" i="10"/>
  <c r="CE31" i="10"/>
  <c r="CF31" i="10"/>
  <c r="CG31" i="10"/>
  <c r="CH31" i="10"/>
  <c r="CI31" i="10"/>
  <c r="CJ31" i="10"/>
  <c r="CK31" i="10"/>
  <c r="CL31" i="10"/>
  <c r="CM31" i="10"/>
  <c r="CN31" i="10"/>
  <c r="CO31" i="10"/>
  <c r="CP31" i="10"/>
  <c r="CQ31" i="10"/>
  <c r="CR31" i="10"/>
  <c r="CS31" i="10"/>
  <c r="CT31" i="10"/>
  <c r="CU31" i="10"/>
  <c r="CV31" i="10"/>
  <c r="CW31" i="10"/>
  <c r="CX31" i="10"/>
  <c r="CY31" i="10"/>
  <c r="CZ31" i="10"/>
  <c r="DA31" i="10"/>
  <c r="DB31" i="10"/>
  <c r="DC31" i="10"/>
  <c r="DD31" i="10"/>
  <c r="DE31" i="10"/>
  <c r="DF31" i="10"/>
  <c r="DG31" i="10"/>
  <c r="DH31" i="10"/>
  <c r="DI31" i="10"/>
  <c r="DJ31" i="10"/>
  <c r="DK31" i="10"/>
  <c r="DL31" i="10"/>
  <c r="DM31" i="10"/>
  <c r="DN31" i="10"/>
  <c r="DO31" i="10"/>
  <c r="DP31" i="10"/>
  <c r="DQ31" i="10"/>
  <c r="DR31" i="10"/>
  <c r="DS31" i="10"/>
  <c r="DT31" i="10"/>
  <c r="DU31" i="10"/>
  <c r="DV31" i="10"/>
  <c r="DW31" i="10"/>
  <c r="DX31" i="10"/>
  <c r="DY31" i="10"/>
  <c r="DZ31" i="10"/>
  <c r="EA31" i="10"/>
  <c r="EB31" i="10"/>
  <c r="EC31" i="10"/>
  <c r="ED31" i="10"/>
  <c r="EE31" i="10"/>
  <c r="EF31" i="10"/>
  <c r="EG31" i="10"/>
  <c r="EH31" i="10"/>
  <c r="EI31" i="10"/>
  <c r="EJ31" i="10"/>
  <c r="EK31" i="10"/>
  <c r="EL31" i="10"/>
  <c r="EM31" i="10"/>
  <c r="EN31" i="10"/>
  <c r="EO31" i="10"/>
  <c r="EP31" i="10"/>
  <c r="EQ31" i="10"/>
  <c r="ER31" i="10"/>
  <c r="ES31" i="10"/>
  <c r="ET31" i="10"/>
  <c r="EU31" i="10"/>
  <c r="EV31" i="10"/>
  <c r="EW31" i="10"/>
  <c r="EX31" i="10"/>
  <c r="EY31" i="10"/>
  <c r="EZ31" i="10"/>
  <c r="FA31" i="10"/>
  <c r="FB31" i="10"/>
  <c r="FC31" i="10"/>
  <c r="FD31" i="10"/>
  <c r="FE31" i="10"/>
  <c r="FF31" i="10"/>
  <c r="FG31" i="10"/>
  <c r="FH31" i="10"/>
  <c r="FI31" i="10"/>
  <c r="FJ31" i="10"/>
  <c r="FK31" i="10"/>
  <c r="FL31" i="10"/>
  <c r="FM31" i="10"/>
  <c r="FN31" i="10"/>
  <c r="FO31" i="10"/>
  <c r="FP31" i="10"/>
  <c r="FQ31" i="10"/>
  <c r="FR31" i="10"/>
  <c r="FS31" i="10"/>
  <c r="FT31" i="10"/>
  <c r="FU31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AR32" i="10"/>
  <c r="AS32" i="10"/>
  <c r="AT32" i="10"/>
  <c r="AU32" i="10"/>
  <c r="AV32" i="10"/>
  <c r="AW32" i="10"/>
  <c r="AX32" i="10"/>
  <c r="AY32" i="10"/>
  <c r="AZ32" i="10"/>
  <c r="BA32" i="10"/>
  <c r="BB32" i="10"/>
  <c r="BC32" i="10"/>
  <c r="BD32" i="10"/>
  <c r="BE32" i="10"/>
  <c r="BF32" i="10"/>
  <c r="BG32" i="10"/>
  <c r="BH32" i="10"/>
  <c r="BI32" i="10"/>
  <c r="BJ32" i="10"/>
  <c r="BK32" i="10"/>
  <c r="BL32" i="10"/>
  <c r="BM32" i="10"/>
  <c r="BN32" i="10"/>
  <c r="BO32" i="10"/>
  <c r="BP32" i="10"/>
  <c r="BQ32" i="10"/>
  <c r="BR32" i="10"/>
  <c r="BS32" i="10"/>
  <c r="BT32" i="10"/>
  <c r="BU32" i="10"/>
  <c r="BV32" i="10"/>
  <c r="BW32" i="10"/>
  <c r="BX32" i="10"/>
  <c r="BY32" i="10"/>
  <c r="BZ32" i="10"/>
  <c r="CA32" i="10"/>
  <c r="CB32" i="10"/>
  <c r="CC32" i="10"/>
  <c r="CD32" i="10"/>
  <c r="CE32" i="10"/>
  <c r="CF32" i="10"/>
  <c r="CG32" i="10"/>
  <c r="CH32" i="10"/>
  <c r="CI32" i="10"/>
  <c r="CJ32" i="10"/>
  <c r="CK32" i="10"/>
  <c r="CL32" i="10"/>
  <c r="CM32" i="10"/>
  <c r="CN32" i="10"/>
  <c r="CO32" i="10"/>
  <c r="CP32" i="10"/>
  <c r="CQ32" i="10"/>
  <c r="CR32" i="10"/>
  <c r="CS32" i="10"/>
  <c r="CT32" i="10"/>
  <c r="CU32" i="10"/>
  <c r="CV32" i="10"/>
  <c r="CW32" i="10"/>
  <c r="CX32" i="10"/>
  <c r="CY32" i="10"/>
  <c r="CZ32" i="10"/>
  <c r="DA32" i="10"/>
  <c r="DB32" i="10"/>
  <c r="DC32" i="10"/>
  <c r="DD32" i="10"/>
  <c r="DE32" i="10"/>
  <c r="DF32" i="10"/>
  <c r="DG32" i="10"/>
  <c r="DH32" i="10"/>
  <c r="DI32" i="10"/>
  <c r="DJ32" i="10"/>
  <c r="DK32" i="10"/>
  <c r="DL32" i="10"/>
  <c r="DM32" i="10"/>
  <c r="DN32" i="10"/>
  <c r="DO32" i="10"/>
  <c r="DP32" i="10"/>
  <c r="DQ32" i="10"/>
  <c r="DR32" i="10"/>
  <c r="DS32" i="10"/>
  <c r="DT32" i="10"/>
  <c r="DU32" i="10"/>
  <c r="DV32" i="10"/>
  <c r="DW32" i="10"/>
  <c r="DX32" i="10"/>
  <c r="DY32" i="10"/>
  <c r="DZ32" i="10"/>
  <c r="EA32" i="10"/>
  <c r="EB32" i="10"/>
  <c r="EC32" i="10"/>
  <c r="ED32" i="10"/>
  <c r="EE32" i="10"/>
  <c r="EF32" i="10"/>
  <c r="EG32" i="10"/>
  <c r="EH32" i="10"/>
  <c r="EI32" i="10"/>
  <c r="EJ32" i="10"/>
  <c r="EK32" i="10"/>
  <c r="EL32" i="10"/>
  <c r="EM32" i="10"/>
  <c r="EN32" i="10"/>
  <c r="EO32" i="10"/>
  <c r="EP32" i="10"/>
  <c r="EQ32" i="10"/>
  <c r="ER32" i="10"/>
  <c r="ES32" i="10"/>
  <c r="ET32" i="10"/>
  <c r="EU32" i="10"/>
  <c r="EV32" i="10"/>
  <c r="EW32" i="10"/>
  <c r="EX32" i="10"/>
  <c r="EY32" i="10"/>
  <c r="EZ32" i="10"/>
  <c r="FA32" i="10"/>
  <c r="FB32" i="10"/>
  <c r="FC32" i="10"/>
  <c r="FD32" i="10"/>
  <c r="FE32" i="10"/>
  <c r="FF32" i="10"/>
  <c r="FG32" i="10"/>
  <c r="FH32" i="10"/>
  <c r="FI32" i="10"/>
  <c r="FJ32" i="10"/>
  <c r="FK32" i="10"/>
  <c r="FL32" i="10"/>
  <c r="FM32" i="10"/>
  <c r="FN32" i="10"/>
  <c r="FO32" i="10"/>
  <c r="FP32" i="10"/>
  <c r="FQ32" i="10"/>
  <c r="FR32" i="10"/>
  <c r="FS32" i="10"/>
  <c r="FT32" i="10"/>
  <c r="FU32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R37" i="10" s="1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H37" i="10" s="1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AW33" i="10"/>
  <c r="AX33" i="10"/>
  <c r="AX37" i="10" s="1"/>
  <c r="AY33" i="10"/>
  <c r="AZ33" i="10"/>
  <c r="BA33" i="10"/>
  <c r="BB33" i="10"/>
  <c r="BC33" i="10"/>
  <c r="BD33" i="10"/>
  <c r="BE33" i="10"/>
  <c r="BF33" i="10"/>
  <c r="BG33" i="10"/>
  <c r="BH33" i="10"/>
  <c r="BI33" i="10"/>
  <c r="BJ33" i="10"/>
  <c r="BK33" i="10"/>
  <c r="BL33" i="10"/>
  <c r="BM33" i="10"/>
  <c r="BN33" i="10"/>
  <c r="BN37" i="10" s="1"/>
  <c r="BO33" i="10"/>
  <c r="BP33" i="10"/>
  <c r="BQ33" i="10"/>
  <c r="BR33" i="10"/>
  <c r="BS33" i="10"/>
  <c r="BT33" i="10"/>
  <c r="BU33" i="10"/>
  <c r="BV33" i="10"/>
  <c r="BW33" i="10"/>
  <c r="BX33" i="10"/>
  <c r="BY33" i="10"/>
  <c r="BZ33" i="10"/>
  <c r="CA33" i="10"/>
  <c r="CB33" i="10"/>
  <c r="CC33" i="10"/>
  <c r="CD33" i="10"/>
  <c r="CD37" i="10" s="1"/>
  <c r="CE33" i="10"/>
  <c r="CF33" i="10"/>
  <c r="CG33" i="10"/>
  <c r="CH33" i="10"/>
  <c r="CI33" i="10"/>
  <c r="CJ33" i="10"/>
  <c r="CK33" i="10"/>
  <c r="CL33" i="10"/>
  <c r="CM33" i="10"/>
  <c r="CN33" i="10"/>
  <c r="CO33" i="10"/>
  <c r="CP33" i="10"/>
  <c r="CQ33" i="10"/>
  <c r="CR33" i="10"/>
  <c r="CS33" i="10"/>
  <c r="CT33" i="10"/>
  <c r="CT37" i="10" s="1"/>
  <c r="CU33" i="10"/>
  <c r="CV33" i="10"/>
  <c r="CW33" i="10"/>
  <c r="CX33" i="10"/>
  <c r="CY33" i="10"/>
  <c r="CZ33" i="10"/>
  <c r="DA33" i="10"/>
  <c r="DB33" i="10"/>
  <c r="DC33" i="10"/>
  <c r="DD33" i="10"/>
  <c r="DE33" i="10"/>
  <c r="DF33" i="10"/>
  <c r="DG33" i="10"/>
  <c r="DH33" i="10"/>
  <c r="DI33" i="10"/>
  <c r="DJ33" i="10"/>
  <c r="DJ37" i="10" s="1"/>
  <c r="DK33" i="10"/>
  <c r="DL33" i="10"/>
  <c r="DM33" i="10"/>
  <c r="DN33" i="10"/>
  <c r="DO33" i="10"/>
  <c r="DP33" i="10"/>
  <c r="DQ33" i="10"/>
  <c r="DR33" i="10"/>
  <c r="DS33" i="10"/>
  <c r="DT33" i="10"/>
  <c r="DU33" i="10"/>
  <c r="DV33" i="10"/>
  <c r="DW33" i="10"/>
  <c r="DX33" i="10"/>
  <c r="DY33" i="10"/>
  <c r="DZ33" i="10"/>
  <c r="EA33" i="10"/>
  <c r="EB33" i="10"/>
  <c r="EC33" i="10"/>
  <c r="ED33" i="10"/>
  <c r="EE33" i="10"/>
  <c r="EF33" i="10"/>
  <c r="EG33" i="10"/>
  <c r="EH33" i="10"/>
  <c r="EI33" i="10"/>
  <c r="EJ33" i="10"/>
  <c r="EK33" i="10"/>
  <c r="EL33" i="10"/>
  <c r="EM33" i="10"/>
  <c r="EN33" i="10"/>
  <c r="EO33" i="10"/>
  <c r="EP33" i="10"/>
  <c r="EQ33" i="10"/>
  <c r="ER33" i="10"/>
  <c r="ES33" i="10"/>
  <c r="ET33" i="10"/>
  <c r="EU33" i="10"/>
  <c r="EV33" i="10"/>
  <c r="EW33" i="10"/>
  <c r="EX33" i="10"/>
  <c r="EY33" i="10"/>
  <c r="EZ33" i="10"/>
  <c r="FA33" i="10"/>
  <c r="FB33" i="10"/>
  <c r="FC33" i="10"/>
  <c r="FD33" i="10"/>
  <c r="FE33" i="10"/>
  <c r="FF33" i="10"/>
  <c r="FG33" i="10"/>
  <c r="FH33" i="10"/>
  <c r="FI33" i="10"/>
  <c r="FJ33" i="10"/>
  <c r="FK33" i="10"/>
  <c r="FL33" i="10"/>
  <c r="FM33" i="10"/>
  <c r="FN33" i="10"/>
  <c r="FO33" i="10"/>
  <c r="FP33" i="10"/>
  <c r="FQ33" i="10"/>
  <c r="FR33" i="10"/>
  <c r="FS33" i="10"/>
  <c r="FT33" i="10"/>
  <c r="FU33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AX34" i="10"/>
  <c r="AY34" i="10"/>
  <c r="AZ34" i="10"/>
  <c r="BA34" i="10"/>
  <c r="BB34" i="10"/>
  <c r="BC34" i="10"/>
  <c r="BD34" i="10"/>
  <c r="BE34" i="10"/>
  <c r="BF34" i="10"/>
  <c r="BG34" i="10"/>
  <c r="BH34" i="10"/>
  <c r="BI34" i="10"/>
  <c r="BJ34" i="10"/>
  <c r="BK34" i="10"/>
  <c r="BL34" i="10"/>
  <c r="BM34" i="10"/>
  <c r="BN34" i="10"/>
  <c r="BO34" i="10"/>
  <c r="BP34" i="10"/>
  <c r="BQ34" i="10"/>
  <c r="BR34" i="10"/>
  <c r="BS34" i="10"/>
  <c r="BT34" i="10"/>
  <c r="BU34" i="10"/>
  <c r="BV34" i="10"/>
  <c r="BW34" i="10"/>
  <c r="BX34" i="10"/>
  <c r="BY34" i="10"/>
  <c r="BZ34" i="10"/>
  <c r="CA34" i="10"/>
  <c r="CB34" i="10"/>
  <c r="CC34" i="10"/>
  <c r="CD34" i="10"/>
  <c r="CE34" i="10"/>
  <c r="CF34" i="10"/>
  <c r="CG34" i="10"/>
  <c r="CH34" i="10"/>
  <c r="CI34" i="10"/>
  <c r="CJ34" i="10"/>
  <c r="CK34" i="10"/>
  <c r="CL34" i="10"/>
  <c r="CM34" i="10"/>
  <c r="CN34" i="10"/>
  <c r="CO34" i="10"/>
  <c r="CP34" i="10"/>
  <c r="CQ34" i="10"/>
  <c r="CR34" i="10"/>
  <c r="CS34" i="10"/>
  <c r="CT34" i="10"/>
  <c r="CU34" i="10"/>
  <c r="CV34" i="10"/>
  <c r="CW34" i="10"/>
  <c r="CX34" i="10"/>
  <c r="CY34" i="10"/>
  <c r="CZ34" i="10"/>
  <c r="DA34" i="10"/>
  <c r="DB34" i="10"/>
  <c r="DC34" i="10"/>
  <c r="DD34" i="10"/>
  <c r="DE34" i="10"/>
  <c r="DF34" i="10"/>
  <c r="DG34" i="10"/>
  <c r="DH34" i="10"/>
  <c r="DI34" i="10"/>
  <c r="DJ34" i="10"/>
  <c r="DK34" i="10"/>
  <c r="DL34" i="10"/>
  <c r="DM34" i="10"/>
  <c r="DN34" i="10"/>
  <c r="DO34" i="10"/>
  <c r="DP34" i="10"/>
  <c r="DQ34" i="10"/>
  <c r="DR34" i="10"/>
  <c r="DS34" i="10"/>
  <c r="DT34" i="10"/>
  <c r="DU34" i="10"/>
  <c r="DV34" i="10"/>
  <c r="DW34" i="10"/>
  <c r="DX34" i="10"/>
  <c r="DY34" i="10"/>
  <c r="DZ34" i="10"/>
  <c r="DZ37" i="10" s="1"/>
  <c r="EA34" i="10"/>
  <c r="EB34" i="10"/>
  <c r="EC34" i="10"/>
  <c r="ED34" i="10"/>
  <c r="EE34" i="10"/>
  <c r="EF34" i="10"/>
  <c r="EG34" i="10"/>
  <c r="EH34" i="10"/>
  <c r="EI34" i="10"/>
  <c r="EJ34" i="10"/>
  <c r="EK34" i="10"/>
  <c r="EL34" i="10"/>
  <c r="EM34" i="10"/>
  <c r="EN34" i="10"/>
  <c r="EO34" i="10"/>
  <c r="EP34" i="10"/>
  <c r="EP37" i="10" s="1"/>
  <c r="EQ34" i="10"/>
  <c r="ER34" i="10"/>
  <c r="ES34" i="10"/>
  <c r="ET34" i="10"/>
  <c r="EU34" i="10"/>
  <c r="EV34" i="10"/>
  <c r="EW34" i="10"/>
  <c r="EX34" i="10"/>
  <c r="EY34" i="10"/>
  <c r="EZ34" i="10"/>
  <c r="FA34" i="10"/>
  <c r="FB34" i="10"/>
  <c r="FC34" i="10"/>
  <c r="FD34" i="10"/>
  <c r="FE34" i="10"/>
  <c r="FF34" i="10"/>
  <c r="FF37" i="10" s="1"/>
  <c r="FG34" i="10"/>
  <c r="FH34" i="10"/>
  <c r="FI34" i="10"/>
  <c r="FJ34" i="10"/>
  <c r="FK34" i="10"/>
  <c r="FL34" i="10"/>
  <c r="FM34" i="10"/>
  <c r="FN34" i="10"/>
  <c r="FO34" i="10"/>
  <c r="FP34" i="10"/>
  <c r="FQ34" i="10"/>
  <c r="FR34" i="10"/>
  <c r="FS34" i="10"/>
  <c r="FT34" i="10"/>
  <c r="FU34" i="10"/>
  <c r="F37" i="10"/>
  <c r="G37" i="10"/>
  <c r="H37" i="10"/>
  <c r="I37" i="10"/>
  <c r="J37" i="10"/>
  <c r="L37" i="10"/>
  <c r="N37" i="10"/>
  <c r="T37" i="10"/>
  <c r="V37" i="10"/>
  <c r="W37" i="10"/>
  <c r="X37" i="10"/>
  <c r="Y37" i="10"/>
  <c r="Z37" i="10"/>
  <c r="AB37" i="10"/>
  <c r="AD37" i="10"/>
  <c r="AJ37" i="10"/>
  <c r="AL37" i="10"/>
  <c r="AM37" i="10"/>
  <c r="AN37" i="10"/>
  <c r="AO37" i="10"/>
  <c r="AP37" i="10"/>
  <c r="AR37" i="10"/>
  <c r="AT37" i="10"/>
  <c r="AZ37" i="10"/>
  <c r="BB37" i="10"/>
  <c r="BC37" i="10"/>
  <c r="BD37" i="10"/>
  <c r="BE37" i="10"/>
  <c r="BF37" i="10"/>
  <c r="BH37" i="10"/>
  <c r="BJ37" i="10"/>
  <c r="BP37" i="10"/>
  <c r="BR37" i="10"/>
  <c r="BS37" i="10"/>
  <c r="BT37" i="10"/>
  <c r="BU37" i="10"/>
  <c r="BV37" i="10"/>
  <c r="BX37" i="10"/>
  <c r="BZ37" i="10"/>
  <c r="CF37" i="10"/>
  <c r="CH37" i="10"/>
  <c r="CI37" i="10"/>
  <c r="CJ37" i="10"/>
  <c r="CK37" i="10"/>
  <c r="CL37" i="10"/>
  <c r="CN37" i="10"/>
  <c r="CP37" i="10"/>
  <c r="CV37" i="10"/>
  <c r="CX37" i="10"/>
  <c r="CY37" i="10"/>
  <c r="CZ37" i="10"/>
  <c r="DA37" i="10"/>
  <c r="DB37" i="10"/>
  <c r="DD37" i="10"/>
  <c r="DF37" i="10"/>
  <c r="DL37" i="10"/>
  <c r="DN37" i="10"/>
  <c r="DO37" i="10"/>
  <c r="DP37" i="10"/>
  <c r="DQ37" i="10"/>
  <c r="DR37" i="10"/>
  <c r="DT37" i="10"/>
  <c r="DV37" i="10"/>
  <c r="EB37" i="10"/>
  <c r="ED37" i="10"/>
  <c r="EE37" i="10"/>
  <c r="EF37" i="10"/>
  <c r="EG37" i="10"/>
  <c r="EH37" i="10"/>
  <c r="EJ37" i="10"/>
  <c r="EL37" i="10"/>
  <c r="ER37" i="10"/>
  <c r="ET37" i="10"/>
  <c r="EU37" i="10"/>
  <c r="EV37" i="10"/>
  <c r="EW37" i="10"/>
  <c r="EX37" i="10"/>
  <c r="EZ37" i="10"/>
  <c r="FB37" i="10"/>
  <c r="FH37" i="10"/>
  <c r="FJ37" i="10"/>
  <c r="FK37" i="10"/>
  <c r="FL37" i="10"/>
  <c r="FM37" i="10"/>
  <c r="FN37" i="10"/>
  <c r="FP37" i="10"/>
  <c r="FR37" i="10"/>
  <c r="E37" i="10"/>
  <c r="E25" i="10"/>
  <c r="E26" i="10"/>
  <c r="E27" i="10"/>
  <c r="E28" i="10"/>
  <c r="E29" i="10"/>
  <c r="E30" i="10"/>
  <c r="E31" i="10"/>
  <c r="E32" i="10"/>
  <c r="E33" i="10"/>
  <c r="E34" i="10"/>
  <c r="E24" i="10"/>
  <c r="E23" i="10"/>
  <c r="A25" i="10"/>
  <c r="B25" i="10"/>
  <c r="C25" i="10"/>
  <c r="D25" i="10"/>
  <c r="A26" i="10"/>
  <c r="B26" i="10"/>
  <c r="C26" i="10"/>
  <c r="D26" i="10"/>
  <c r="A27" i="10"/>
  <c r="B27" i="10"/>
  <c r="C27" i="10"/>
  <c r="D27" i="10"/>
  <c r="A28" i="10"/>
  <c r="B28" i="10"/>
  <c r="C28" i="10"/>
  <c r="D28" i="10"/>
  <c r="A29" i="10"/>
  <c r="B29" i="10"/>
  <c r="C29" i="10"/>
  <c r="D29" i="10"/>
  <c r="A30" i="10"/>
  <c r="B30" i="10"/>
  <c r="C30" i="10"/>
  <c r="D30" i="10"/>
  <c r="A31" i="10"/>
  <c r="B31" i="10"/>
  <c r="C31" i="10"/>
  <c r="D31" i="10"/>
  <c r="A32" i="10"/>
  <c r="B32" i="10"/>
  <c r="C32" i="10"/>
  <c r="D32" i="10"/>
  <c r="A33" i="10"/>
  <c r="B33" i="10"/>
  <c r="C33" i="10"/>
  <c r="D33" i="10"/>
  <c r="A34" i="10"/>
  <c r="B34" i="10"/>
  <c r="C34" i="10"/>
  <c r="D34" i="10"/>
  <c r="B24" i="10"/>
  <c r="C24" i="10"/>
  <c r="D24" i="10"/>
  <c r="A24" i="10"/>
  <c r="E17" i="10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AM37" i="9"/>
  <c r="AN37" i="9"/>
  <c r="AO37" i="9"/>
  <c r="AP37" i="9"/>
  <c r="AQ37" i="9"/>
  <c r="AR37" i="9"/>
  <c r="AS37" i="9"/>
  <c r="AT37" i="9"/>
  <c r="AU37" i="9"/>
  <c r="AV37" i="9"/>
  <c r="AW37" i="9"/>
  <c r="AX37" i="9"/>
  <c r="AY37" i="9"/>
  <c r="AZ37" i="9"/>
  <c r="BA37" i="9"/>
  <c r="BB37" i="9"/>
  <c r="BC37" i="9"/>
  <c r="BD37" i="9"/>
  <c r="BE37" i="9"/>
  <c r="BF37" i="9"/>
  <c r="BG37" i="9"/>
  <c r="BH37" i="9"/>
  <c r="BI37" i="9"/>
  <c r="BJ37" i="9"/>
  <c r="BK37" i="9"/>
  <c r="BL37" i="9"/>
  <c r="BM37" i="9"/>
  <c r="BN37" i="9"/>
  <c r="BO37" i="9"/>
  <c r="BP37" i="9"/>
  <c r="BQ37" i="9"/>
  <c r="BR37" i="9"/>
  <c r="BS37" i="9"/>
  <c r="BT37" i="9"/>
  <c r="BU37" i="9"/>
  <c r="BV37" i="9"/>
  <c r="BW37" i="9"/>
  <c r="BX37" i="9"/>
  <c r="BY37" i="9"/>
  <c r="BZ37" i="9"/>
  <c r="CA37" i="9"/>
  <c r="CB37" i="9"/>
  <c r="CC37" i="9"/>
  <c r="CD37" i="9"/>
  <c r="CE37" i="9"/>
  <c r="CF37" i="9"/>
  <c r="CG37" i="9"/>
  <c r="CH37" i="9"/>
  <c r="CI37" i="9"/>
  <c r="CJ37" i="9"/>
  <c r="CK37" i="9"/>
  <c r="CL37" i="9"/>
  <c r="CM37" i="9"/>
  <c r="CN37" i="9"/>
  <c r="CO37" i="9"/>
  <c r="CP37" i="9"/>
  <c r="CQ37" i="9"/>
  <c r="CR37" i="9"/>
  <c r="CS37" i="9"/>
  <c r="CT37" i="9"/>
  <c r="CU37" i="9"/>
  <c r="CV37" i="9"/>
  <c r="CW37" i="9"/>
  <c r="CX37" i="9"/>
  <c r="CY37" i="9"/>
  <c r="CZ37" i="9"/>
  <c r="DA37" i="9"/>
  <c r="DB37" i="9"/>
  <c r="DC37" i="9"/>
  <c r="DD37" i="9"/>
  <c r="DE37" i="9"/>
  <c r="DF37" i="9"/>
  <c r="DG37" i="9"/>
  <c r="DH37" i="9"/>
  <c r="DI37" i="9"/>
  <c r="DJ37" i="9"/>
  <c r="DK37" i="9"/>
  <c r="DL37" i="9"/>
  <c r="DM37" i="9"/>
  <c r="DN37" i="9"/>
  <c r="DO37" i="9"/>
  <c r="DP37" i="9"/>
  <c r="DQ37" i="9"/>
  <c r="DR37" i="9"/>
  <c r="DS37" i="9"/>
  <c r="DT37" i="9"/>
  <c r="DU37" i="9"/>
  <c r="DV37" i="9"/>
  <c r="DW37" i="9"/>
  <c r="DX37" i="9"/>
  <c r="DY37" i="9"/>
  <c r="DZ37" i="9"/>
  <c r="EA37" i="9"/>
  <c r="EB37" i="9"/>
  <c r="EC37" i="9"/>
  <c r="ED37" i="9"/>
  <c r="EE37" i="9"/>
  <c r="EF37" i="9"/>
  <c r="EG37" i="9"/>
  <c r="EH37" i="9"/>
  <c r="EI37" i="9"/>
  <c r="EJ37" i="9"/>
  <c r="EK37" i="9"/>
  <c r="EL37" i="9"/>
  <c r="EM37" i="9"/>
  <c r="EN37" i="9"/>
  <c r="EO37" i="9"/>
  <c r="EP37" i="9"/>
  <c r="EQ37" i="9"/>
  <c r="ER37" i="9"/>
  <c r="ES37" i="9"/>
  <c r="ET37" i="9"/>
  <c r="EU37" i="9"/>
  <c r="EV37" i="9"/>
  <c r="EW37" i="9"/>
  <c r="EX37" i="9"/>
  <c r="EY37" i="9"/>
  <c r="EZ37" i="9"/>
  <c r="FA37" i="9"/>
  <c r="FB37" i="9"/>
  <c r="FC37" i="9"/>
  <c r="FD37" i="9"/>
  <c r="FE37" i="9"/>
  <c r="FF37" i="9"/>
  <c r="FG37" i="9"/>
  <c r="FH37" i="9"/>
  <c r="FI37" i="9"/>
  <c r="FJ37" i="9"/>
  <c r="FK37" i="9"/>
  <c r="FL37" i="9"/>
  <c r="FM37" i="9"/>
  <c r="FN37" i="9"/>
  <c r="FO37" i="9"/>
  <c r="FP37" i="9"/>
  <c r="FQ37" i="9"/>
  <c r="FR37" i="9"/>
  <c r="FS37" i="9"/>
  <c r="FT37" i="9"/>
  <c r="FU37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AI43" i="9"/>
  <c r="AJ43" i="9"/>
  <c r="AK43" i="9"/>
  <c r="AL43" i="9"/>
  <c r="AM43" i="9"/>
  <c r="AN43" i="9"/>
  <c r="AO43" i="9"/>
  <c r="AP43" i="9"/>
  <c r="AQ43" i="9"/>
  <c r="AR43" i="9"/>
  <c r="AS43" i="9"/>
  <c r="AT43" i="9"/>
  <c r="AU43" i="9"/>
  <c r="AV43" i="9"/>
  <c r="AW43" i="9"/>
  <c r="AX43" i="9"/>
  <c r="AY43" i="9"/>
  <c r="AZ43" i="9"/>
  <c r="BA43" i="9"/>
  <c r="BB43" i="9"/>
  <c r="BC43" i="9"/>
  <c r="BD43" i="9"/>
  <c r="BE43" i="9"/>
  <c r="BF43" i="9"/>
  <c r="BG43" i="9"/>
  <c r="BH43" i="9"/>
  <c r="BI43" i="9"/>
  <c r="BJ43" i="9"/>
  <c r="BK43" i="9"/>
  <c r="BL43" i="9"/>
  <c r="BM43" i="9"/>
  <c r="BN43" i="9"/>
  <c r="BO43" i="9"/>
  <c r="BP43" i="9"/>
  <c r="BQ43" i="9"/>
  <c r="BR43" i="9"/>
  <c r="BS43" i="9"/>
  <c r="BT43" i="9"/>
  <c r="BU43" i="9"/>
  <c r="BV43" i="9"/>
  <c r="BW43" i="9"/>
  <c r="BX43" i="9"/>
  <c r="BY43" i="9"/>
  <c r="BZ43" i="9"/>
  <c r="CA43" i="9"/>
  <c r="CB43" i="9"/>
  <c r="CC43" i="9"/>
  <c r="CD43" i="9"/>
  <c r="CE43" i="9"/>
  <c r="CF43" i="9"/>
  <c r="CG43" i="9"/>
  <c r="CH43" i="9"/>
  <c r="CI43" i="9"/>
  <c r="CJ43" i="9"/>
  <c r="CK43" i="9"/>
  <c r="CL43" i="9"/>
  <c r="CM43" i="9"/>
  <c r="CN43" i="9"/>
  <c r="CO43" i="9"/>
  <c r="CP43" i="9"/>
  <c r="CQ43" i="9"/>
  <c r="CR43" i="9"/>
  <c r="CS43" i="9"/>
  <c r="CT43" i="9"/>
  <c r="CU43" i="9"/>
  <c r="CV43" i="9"/>
  <c r="CW43" i="9"/>
  <c r="CX43" i="9"/>
  <c r="CY43" i="9"/>
  <c r="CZ43" i="9"/>
  <c r="DA43" i="9"/>
  <c r="DB43" i="9"/>
  <c r="DC43" i="9"/>
  <c r="DD43" i="9"/>
  <c r="DE43" i="9"/>
  <c r="DF43" i="9"/>
  <c r="DG43" i="9"/>
  <c r="DH43" i="9"/>
  <c r="DI43" i="9"/>
  <c r="DJ43" i="9"/>
  <c r="DK43" i="9"/>
  <c r="DL43" i="9"/>
  <c r="DM43" i="9"/>
  <c r="DN43" i="9"/>
  <c r="DO43" i="9"/>
  <c r="DP43" i="9"/>
  <c r="DQ43" i="9"/>
  <c r="DR43" i="9"/>
  <c r="DS43" i="9"/>
  <c r="DT43" i="9"/>
  <c r="DU43" i="9"/>
  <c r="DV43" i="9"/>
  <c r="DW43" i="9"/>
  <c r="DX43" i="9"/>
  <c r="DY43" i="9"/>
  <c r="DZ43" i="9"/>
  <c r="EA43" i="9"/>
  <c r="EB43" i="9"/>
  <c r="EC43" i="9"/>
  <c r="ED43" i="9"/>
  <c r="EE43" i="9"/>
  <c r="EF43" i="9"/>
  <c r="EG43" i="9"/>
  <c r="EH43" i="9"/>
  <c r="EI43" i="9"/>
  <c r="EJ43" i="9"/>
  <c r="EK43" i="9"/>
  <c r="EL43" i="9"/>
  <c r="EM43" i="9"/>
  <c r="EN43" i="9"/>
  <c r="EO43" i="9"/>
  <c r="EP43" i="9"/>
  <c r="EQ43" i="9"/>
  <c r="ER43" i="9"/>
  <c r="ES43" i="9"/>
  <c r="ET43" i="9"/>
  <c r="EU43" i="9"/>
  <c r="EV43" i="9"/>
  <c r="EW43" i="9"/>
  <c r="EX43" i="9"/>
  <c r="EY43" i="9"/>
  <c r="EZ43" i="9"/>
  <c r="FA43" i="9"/>
  <c r="FB43" i="9"/>
  <c r="FC43" i="9"/>
  <c r="FD43" i="9"/>
  <c r="FE43" i="9"/>
  <c r="FF43" i="9"/>
  <c r="FG43" i="9"/>
  <c r="FH43" i="9"/>
  <c r="FI43" i="9"/>
  <c r="FJ43" i="9"/>
  <c r="FK43" i="9"/>
  <c r="FL43" i="9"/>
  <c r="FM43" i="9"/>
  <c r="FN43" i="9"/>
  <c r="FO43" i="9"/>
  <c r="FP43" i="9"/>
  <c r="FQ43" i="9"/>
  <c r="FR43" i="9"/>
  <c r="FS43" i="9"/>
  <c r="FT43" i="9"/>
  <c r="FU43" i="9"/>
  <c r="F44" i="9"/>
  <c r="G44" i="9"/>
  <c r="H44" i="9"/>
  <c r="I44" i="9"/>
  <c r="J44" i="9"/>
  <c r="K44" i="9"/>
  <c r="L44" i="9"/>
  <c r="M44" i="9"/>
  <c r="M77" i="9" s="1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AC77" i="9" s="1"/>
  <c r="AD44" i="9"/>
  <c r="AE44" i="9"/>
  <c r="AF44" i="9"/>
  <c r="AG44" i="9"/>
  <c r="AH44" i="9"/>
  <c r="AI44" i="9"/>
  <c r="AJ44" i="9"/>
  <c r="AK44" i="9"/>
  <c r="AL44" i="9"/>
  <c r="AM44" i="9"/>
  <c r="AN44" i="9"/>
  <c r="AO44" i="9"/>
  <c r="AP44" i="9"/>
  <c r="AQ44" i="9"/>
  <c r="AR44" i="9"/>
  <c r="AS44" i="9"/>
  <c r="AS77" i="9" s="1"/>
  <c r="AT44" i="9"/>
  <c r="AU44" i="9"/>
  <c r="AV44" i="9"/>
  <c r="AW44" i="9"/>
  <c r="AX44" i="9"/>
  <c r="AY44" i="9"/>
  <c r="AZ44" i="9"/>
  <c r="BA44" i="9"/>
  <c r="BB44" i="9"/>
  <c r="BC44" i="9"/>
  <c r="BD44" i="9"/>
  <c r="BE44" i="9"/>
  <c r="BF44" i="9"/>
  <c r="BG44" i="9"/>
  <c r="BH44" i="9"/>
  <c r="BI44" i="9"/>
  <c r="BI77" i="9" s="1"/>
  <c r="BJ44" i="9"/>
  <c r="BK44" i="9"/>
  <c r="BL44" i="9"/>
  <c r="BM44" i="9"/>
  <c r="BN44" i="9"/>
  <c r="BO44" i="9"/>
  <c r="BP44" i="9"/>
  <c r="BQ44" i="9"/>
  <c r="BR44" i="9"/>
  <c r="BS44" i="9"/>
  <c r="BT44" i="9"/>
  <c r="BU44" i="9"/>
  <c r="BV44" i="9"/>
  <c r="BW44" i="9"/>
  <c r="BX44" i="9"/>
  <c r="BY44" i="9"/>
  <c r="BY77" i="9" s="1"/>
  <c r="BZ44" i="9"/>
  <c r="CA44" i="9"/>
  <c r="CB44" i="9"/>
  <c r="CC44" i="9"/>
  <c r="CD44" i="9"/>
  <c r="CE44" i="9"/>
  <c r="CF44" i="9"/>
  <c r="CG44" i="9"/>
  <c r="CH44" i="9"/>
  <c r="CI44" i="9"/>
  <c r="CJ44" i="9"/>
  <c r="CK44" i="9"/>
  <c r="CL44" i="9"/>
  <c r="CM44" i="9"/>
  <c r="CN44" i="9"/>
  <c r="CO44" i="9"/>
  <c r="CO77" i="9" s="1"/>
  <c r="CP44" i="9"/>
  <c r="CQ44" i="9"/>
  <c r="CR44" i="9"/>
  <c r="CS44" i="9"/>
  <c r="CT44" i="9"/>
  <c r="CU44" i="9"/>
  <c r="CV44" i="9"/>
  <c r="CW44" i="9"/>
  <c r="CX44" i="9"/>
  <c r="CY44" i="9"/>
  <c r="CZ44" i="9"/>
  <c r="DA44" i="9"/>
  <c r="DB44" i="9"/>
  <c r="DC44" i="9"/>
  <c r="DD44" i="9"/>
  <c r="DE44" i="9"/>
  <c r="DE77" i="9" s="1"/>
  <c r="DF44" i="9"/>
  <c r="DG44" i="9"/>
  <c r="DH44" i="9"/>
  <c r="DI44" i="9"/>
  <c r="DJ44" i="9"/>
  <c r="DK44" i="9"/>
  <c r="DL44" i="9"/>
  <c r="DM44" i="9"/>
  <c r="DN44" i="9"/>
  <c r="DO44" i="9"/>
  <c r="DP44" i="9"/>
  <c r="DQ44" i="9"/>
  <c r="DR44" i="9"/>
  <c r="DS44" i="9"/>
  <c r="DT44" i="9"/>
  <c r="DU44" i="9"/>
  <c r="DU77" i="9" s="1"/>
  <c r="DV44" i="9"/>
  <c r="DW44" i="9"/>
  <c r="DX44" i="9"/>
  <c r="DY44" i="9"/>
  <c r="DZ44" i="9"/>
  <c r="EA44" i="9"/>
  <c r="EB44" i="9"/>
  <c r="EC44" i="9"/>
  <c r="ED44" i="9"/>
  <c r="EE44" i="9"/>
  <c r="EF44" i="9"/>
  <c r="EG44" i="9"/>
  <c r="EH44" i="9"/>
  <c r="EI44" i="9"/>
  <c r="EJ44" i="9"/>
  <c r="EK44" i="9"/>
  <c r="EK77" i="9" s="1"/>
  <c r="EL44" i="9"/>
  <c r="EM44" i="9"/>
  <c r="EN44" i="9"/>
  <c r="EO44" i="9"/>
  <c r="EP44" i="9"/>
  <c r="EQ44" i="9"/>
  <c r="ER44" i="9"/>
  <c r="ES44" i="9"/>
  <c r="ET44" i="9"/>
  <c r="EU44" i="9"/>
  <c r="EV44" i="9"/>
  <c r="EW44" i="9"/>
  <c r="EX44" i="9"/>
  <c r="EY44" i="9"/>
  <c r="EZ44" i="9"/>
  <c r="FA44" i="9"/>
  <c r="FA77" i="9" s="1"/>
  <c r="FB44" i="9"/>
  <c r="FC44" i="9"/>
  <c r="FD44" i="9"/>
  <c r="FE44" i="9"/>
  <c r="FF44" i="9"/>
  <c r="FG44" i="9"/>
  <c r="FH44" i="9"/>
  <c r="FI44" i="9"/>
  <c r="FJ44" i="9"/>
  <c r="FK44" i="9"/>
  <c r="FL44" i="9"/>
  <c r="FM44" i="9"/>
  <c r="FN44" i="9"/>
  <c r="FO44" i="9"/>
  <c r="FP44" i="9"/>
  <c r="FQ44" i="9"/>
  <c r="FQ77" i="9" s="1"/>
  <c r="FR44" i="9"/>
  <c r="FS44" i="9"/>
  <c r="FT44" i="9"/>
  <c r="FU44" i="9"/>
  <c r="F45" i="9"/>
  <c r="G45" i="9"/>
  <c r="H45" i="9"/>
  <c r="I45" i="9"/>
  <c r="J45" i="9"/>
  <c r="K45" i="9"/>
  <c r="L45" i="9"/>
  <c r="M45" i="9"/>
  <c r="N45" i="9"/>
  <c r="O45" i="9"/>
  <c r="P45" i="9"/>
  <c r="Q45" i="9"/>
  <c r="Q77" i="9" s="1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G77" i="9" s="1"/>
  <c r="AH45" i="9"/>
  <c r="AI45" i="9"/>
  <c r="AJ45" i="9"/>
  <c r="AK45" i="9"/>
  <c r="AL45" i="9"/>
  <c r="AM45" i="9"/>
  <c r="AN45" i="9"/>
  <c r="AO45" i="9"/>
  <c r="AP45" i="9"/>
  <c r="AQ45" i="9"/>
  <c r="AR45" i="9"/>
  <c r="AS45" i="9"/>
  <c r="AT45" i="9"/>
  <c r="AU45" i="9"/>
  <c r="AV45" i="9"/>
  <c r="AW45" i="9"/>
  <c r="AW77" i="9" s="1"/>
  <c r="AX45" i="9"/>
  <c r="AY45" i="9"/>
  <c r="AZ45" i="9"/>
  <c r="BA45" i="9"/>
  <c r="BB45" i="9"/>
  <c r="BC45" i="9"/>
  <c r="BD45" i="9"/>
  <c r="BE45" i="9"/>
  <c r="BF45" i="9"/>
  <c r="BG45" i="9"/>
  <c r="BH45" i="9"/>
  <c r="BI45" i="9"/>
  <c r="BJ45" i="9"/>
  <c r="BK45" i="9"/>
  <c r="BL45" i="9"/>
  <c r="BM45" i="9"/>
  <c r="BM77" i="9" s="1"/>
  <c r="BN45" i="9"/>
  <c r="BO45" i="9"/>
  <c r="BP45" i="9"/>
  <c r="BQ45" i="9"/>
  <c r="BR45" i="9"/>
  <c r="BS45" i="9"/>
  <c r="BT45" i="9"/>
  <c r="BU45" i="9"/>
  <c r="BV45" i="9"/>
  <c r="BW45" i="9"/>
  <c r="BX45" i="9"/>
  <c r="BY45" i="9"/>
  <c r="BZ45" i="9"/>
  <c r="CA45" i="9"/>
  <c r="CB45" i="9"/>
  <c r="CC45" i="9"/>
  <c r="CC77" i="9" s="1"/>
  <c r="CD45" i="9"/>
  <c r="CE45" i="9"/>
  <c r="CF45" i="9"/>
  <c r="CG45" i="9"/>
  <c r="CH45" i="9"/>
  <c r="CI45" i="9"/>
  <c r="CJ45" i="9"/>
  <c r="CK45" i="9"/>
  <c r="CL45" i="9"/>
  <c r="CM45" i="9"/>
  <c r="CN45" i="9"/>
  <c r="CO45" i="9"/>
  <c r="CP45" i="9"/>
  <c r="CQ45" i="9"/>
  <c r="CR45" i="9"/>
  <c r="CS45" i="9"/>
  <c r="CS77" i="9" s="1"/>
  <c r="CT45" i="9"/>
  <c r="CU45" i="9"/>
  <c r="CV45" i="9"/>
  <c r="CW45" i="9"/>
  <c r="CX45" i="9"/>
  <c r="CY45" i="9"/>
  <c r="CZ45" i="9"/>
  <c r="DA45" i="9"/>
  <c r="DB45" i="9"/>
  <c r="DC45" i="9"/>
  <c r="DD45" i="9"/>
  <c r="DE45" i="9"/>
  <c r="DF45" i="9"/>
  <c r="DG45" i="9"/>
  <c r="DH45" i="9"/>
  <c r="DI45" i="9"/>
  <c r="DI77" i="9" s="1"/>
  <c r="DJ45" i="9"/>
  <c r="DK45" i="9"/>
  <c r="DL45" i="9"/>
  <c r="DM45" i="9"/>
  <c r="DN45" i="9"/>
  <c r="DO45" i="9"/>
  <c r="DP45" i="9"/>
  <c r="DQ45" i="9"/>
  <c r="DR45" i="9"/>
  <c r="DS45" i="9"/>
  <c r="DT45" i="9"/>
  <c r="DU45" i="9"/>
  <c r="DV45" i="9"/>
  <c r="DW45" i="9"/>
  <c r="DX45" i="9"/>
  <c r="DY45" i="9"/>
  <c r="DY77" i="9" s="1"/>
  <c r="DZ45" i="9"/>
  <c r="EA45" i="9"/>
  <c r="EB45" i="9"/>
  <c r="EC45" i="9"/>
  <c r="ED45" i="9"/>
  <c r="EE45" i="9"/>
  <c r="EF45" i="9"/>
  <c r="EG45" i="9"/>
  <c r="EH45" i="9"/>
  <c r="EI45" i="9"/>
  <c r="EJ45" i="9"/>
  <c r="EK45" i="9"/>
  <c r="EL45" i="9"/>
  <c r="EM45" i="9"/>
  <c r="EN45" i="9"/>
  <c r="EO45" i="9"/>
  <c r="EO77" i="9" s="1"/>
  <c r="EP45" i="9"/>
  <c r="EQ45" i="9"/>
  <c r="ER45" i="9"/>
  <c r="ES45" i="9"/>
  <c r="ET45" i="9"/>
  <c r="EU45" i="9"/>
  <c r="EV45" i="9"/>
  <c r="EW45" i="9"/>
  <c r="EX45" i="9"/>
  <c r="EY45" i="9"/>
  <c r="EZ45" i="9"/>
  <c r="FA45" i="9"/>
  <c r="FB45" i="9"/>
  <c r="FC45" i="9"/>
  <c r="FD45" i="9"/>
  <c r="FE45" i="9"/>
  <c r="FE77" i="9" s="1"/>
  <c r="FF45" i="9"/>
  <c r="FG45" i="9"/>
  <c r="FH45" i="9"/>
  <c r="FI45" i="9"/>
  <c r="FJ45" i="9"/>
  <c r="FK45" i="9"/>
  <c r="FL45" i="9"/>
  <c r="FM45" i="9"/>
  <c r="FN45" i="9"/>
  <c r="FO45" i="9"/>
  <c r="FP45" i="9"/>
  <c r="FQ45" i="9"/>
  <c r="FR45" i="9"/>
  <c r="FS45" i="9"/>
  <c r="FT45" i="9"/>
  <c r="FU45" i="9"/>
  <c r="FU77" i="9" s="1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U77" i="9" s="1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AJ46" i="9"/>
  <c r="AK46" i="9"/>
  <c r="AK77" i="9" s="1"/>
  <c r="AL46" i="9"/>
  <c r="AM46" i="9"/>
  <c r="AN46" i="9"/>
  <c r="AO46" i="9"/>
  <c r="AP46" i="9"/>
  <c r="AQ46" i="9"/>
  <c r="AR46" i="9"/>
  <c r="AS46" i="9"/>
  <c r="AT46" i="9"/>
  <c r="AU46" i="9"/>
  <c r="AV46" i="9"/>
  <c r="AW46" i="9"/>
  <c r="AX46" i="9"/>
  <c r="AY46" i="9"/>
  <c r="AZ46" i="9"/>
  <c r="BA46" i="9"/>
  <c r="BA77" i="9" s="1"/>
  <c r="BB46" i="9"/>
  <c r="BC46" i="9"/>
  <c r="BD46" i="9"/>
  <c r="BE46" i="9"/>
  <c r="BF46" i="9"/>
  <c r="BG46" i="9"/>
  <c r="BH46" i="9"/>
  <c r="BI46" i="9"/>
  <c r="BJ46" i="9"/>
  <c r="BK46" i="9"/>
  <c r="BL46" i="9"/>
  <c r="BM46" i="9"/>
  <c r="BN46" i="9"/>
  <c r="BO46" i="9"/>
  <c r="BP46" i="9"/>
  <c r="BQ46" i="9"/>
  <c r="BQ77" i="9" s="1"/>
  <c r="BR46" i="9"/>
  <c r="BS46" i="9"/>
  <c r="BT46" i="9"/>
  <c r="BU46" i="9"/>
  <c r="BV46" i="9"/>
  <c r="BW46" i="9"/>
  <c r="BX46" i="9"/>
  <c r="BY46" i="9"/>
  <c r="BZ46" i="9"/>
  <c r="CA46" i="9"/>
  <c r="CB46" i="9"/>
  <c r="CC46" i="9"/>
  <c r="CD46" i="9"/>
  <c r="CE46" i="9"/>
  <c r="CF46" i="9"/>
  <c r="CG46" i="9"/>
  <c r="CG77" i="9" s="1"/>
  <c r="CH46" i="9"/>
  <c r="CI46" i="9"/>
  <c r="CJ46" i="9"/>
  <c r="CK46" i="9"/>
  <c r="CL46" i="9"/>
  <c r="CM46" i="9"/>
  <c r="CN46" i="9"/>
  <c r="CO46" i="9"/>
  <c r="CP46" i="9"/>
  <c r="CQ46" i="9"/>
  <c r="CR46" i="9"/>
  <c r="CS46" i="9"/>
  <c r="CT46" i="9"/>
  <c r="CU46" i="9"/>
  <c r="CV46" i="9"/>
  <c r="CW46" i="9"/>
  <c r="CW77" i="9" s="1"/>
  <c r="CX46" i="9"/>
  <c r="CY46" i="9"/>
  <c r="CZ46" i="9"/>
  <c r="DA46" i="9"/>
  <c r="DB46" i="9"/>
  <c r="DC46" i="9"/>
  <c r="DD46" i="9"/>
  <c r="DE46" i="9"/>
  <c r="DF46" i="9"/>
  <c r="DG46" i="9"/>
  <c r="DH46" i="9"/>
  <c r="DI46" i="9"/>
  <c r="DJ46" i="9"/>
  <c r="DK46" i="9"/>
  <c r="DL46" i="9"/>
  <c r="DM46" i="9"/>
  <c r="DM77" i="9" s="1"/>
  <c r="DN46" i="9"/>
  <c r="DO46" i="9"/>
  <c r="DP46" i="9"/>
  <c r="DQ46" i="9"/>
  <c r="DR46" i="9"/>
  <c r="DS46" i="9"/>
  <c r="DT46" i="9"/>
  <c r="DU46" i="9"/>
  <c r="DV46" i="9"/>
  <c r="DW46" i="9"/>
  <c r="DX46" i="9"/>
  <c r="DY46" i="9"/>
  <c r="DZ46" i="9"/>
  <c r="EA46" i="9"/>
  <c r="EB46" i="9"/>
  <c r="EC46" i="9"/>
  <c r="EC77" i="9" s="1"/>
  <c r="ED46" i="9"/>
  <c r="EE46" i="9"/>
  <c r="EF46" i="9"/>
  <c r="EG46" i="9"/>
  <c r="EH46" i="9"/>
  <c r="EI46" i="9"/>
  <c r="EJ46" i="9"/>
  <c r="EK46" i="9"/>
  <c r="EL46" i="9"/>
  <c r="EM46" i="9"/>
  <c r="EN46" i="9"/>
  <c r="EO46" i="9"/>
  <c r="EP46" i="9"/>
  <c r="EQ46" i="9"/>
  <c r="ER46" i="9"/>
  <c r="ES46" i="9"/>
  <c r="ES77" i="9" s="1"/>
  <c r="ET46" i="9"/>
  <c r="EU46" i="9"/>
  <c r="EV46" i="9"/>
  <c r="EW46" i="9"/>
  <c r="EX46" i="9"/>
  <c r="EY46" i="9"/>
  <c r="EZ46" i="9"/>
  <c r="FA46" i="9"/>
  <c r="FB46" i="9"/>
  <c r="FC46" i="9"/>
  <c r="FD46" i="9"/>
  <c r="FE46" i="9"/>
  <c r="FF46" i="9"/>
  <c r="FG46" i="9"/>
  <c r="FH46" i="9"/>
  <c r="FI46" i="9"/>
  <c r="FI77" i="9" s="1"/>
  <c r="FJ46" i="9"/>
  <c r="FK46" i="9"/>
  <c r="FL46" i="9"/>
  <c r="FM46" i="9"/>
  <c r="FN46" i="9"/>
  <c r="FO46" i="9"/>
  <c r="FP46" i="9"/>
  <c r="FQ46" i="9"/>
  <c r="FR46" i="9"/>
  <c r="FS46" i="9"/>
  <c r="FT46" i="9"/>
  <c r="FU46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AM47" i="9"/>
  <c r="AN47" i="9"/>
  <c r="AO47" i="9"/>
  <c r="AP47" i="9"/>
  <c r="AQ47" i="9"/>
  <c r="AR47" i="9"/>
  <c r="AS47" i="9"/>
  <c r="AT47" i="9"/>
  <c r="AU47" i="9"/>
  <c r="AV47" i="9"/>
  <c r="AW47" i="9"/>
  <c r="AX47" i="9"/>
  <c r="AY47" i="9"/>
  <c r="AZ47" i="9"/>
  <c r="BA47" i="9"/>
  <c r="BB47" i="9"/>
  <c r="BC47" i="9"/>
  <c r="BD47" i="9"/>
  <c r="BE47" i="9"/>
  <c r="BF47" i="9"/>
  <c r="BG47" i="9"/>
  <c r="BH47" i="9"/>
  <c r="BI47" i="9"/>
  <c r="BJ47" i="9"/>
  <c r="BK47" i="9"/>
  <c r="BL47" i="9"/>
  <c r="BM47" i="9"/>
  <c r="BN47" i="9"/>
  <c r="BO47" i="9"/>
  <c r="BP47" i="9"/>
  <c r="BQ47" i="9"/>
  <c r="BR47" i="9"/>
  <c r="BS47" i="9"/>
  <c r="BT47" i="9"/>
  <c r="BU47" i="9"/>
  <c r="BV47" i="9"/>
  <c r="BW47" i="9"/>
  <c r="BX47" i="9"/>
  <c r="BY47" i="9"/>
  <c r="BZ47" i="9"/>
  <c r="CA47" i="9"/>
  <c r="CB47" i="9"/>
  <c r="CC47" i="9"/>
  <c r="CD47" i="9"/>
  <c r="CE47" i="9"/>
  <c r="CF47" i="9"/>
  <c r="CG47" i="9"/>
  <c r="CH47" i="9"/>
  <c r="CI47" i="9"/>
  <c r="CJ47" i="9"/>
  <c r="CK47" i="9"/>
  <c r="CL47" i="9"/>
  <c r="CM47" i="9"/>
  <c r="CN47" i="9"/>
  <c r="CO47" i="9"/>
  <c r="CP47" i="9"/>
  <c r="CQ47" i="9"/>
  <c r="CR47" i="9"/>
  <c r="CS47" i="9"/>
  <c r="CT47" i="9"/>
  <c r="CU47" i="9"/>
  <c r="CV47" i="9"/>
  <c r="CW47" i="9"/>
  <c r="CX47" i="9"/>
  <c r="CY47" i="9"/>
  <c r="CZ47" i="9"/>
  <c r="DA47" i="9"/>
  <c r="DB47" i="9"/>
  <c r="DC47" i="9"/>
  <c r="DD47" i="9"/>
  <c r="DE47" i="9"/>
  <c r="DF47" i="9"/>
  <c r="DG47" i="9"/>
  <c r="DH47" i="9"/>
  <c r="DI47" i="9"/>
  <c r="DJ47" i="9"/>
  <c r="DK47" i="9"/>
  <c r="DL47" i="9"/>
  <c r="DM47" i="9"/>
  <c r="DN47" i="9"/>
  <c r="DO47" i="9"/>
  <c r="DP47" i="9"/>
  <c r="DQ47" i="9"/>
  <c r="DR47" i="9"/>
  <c r="DS47" i="9"/>
  <c r="DT47" i="9"/>
  <c r="DU47" i="9"/>
  <c r="DV47" i="9"/>
  <c r="DW47" i="9"/>
  <c r="DX47" i="9"/>
  <c r="DY47" i="9"/>
  <c r="DZ47" i="9"/>
  <c r="EA47" i="9"/>
  <c r="EB47" i="9"/>
  <c r="EC47" i="9"/>
  <c r="ED47" i="9"/>
  <c r="EE47" i="9"/>
  <c r="EF47" i="9"/>
  <c r="EG47" i="9"/>
  <c r="EH47" i="9"/>
  <c r="EI47" i="9"/>
  <c r="EJ47" i="9"/>
  <c r="EK47" i="9"/>
  <c r="EL47" i="9"/>
  <c r="EM47" i="9"/>
  <c r="EN47" i="9"/>
  <c r="EO47" i="9"/>
  <c r="EP47" i="9"/>
  <c r="EQ47" i="9"/>
  <c r="ER47" i="9"/>
  <c r="ES47" i="9"/>
  <c r="ET47" i="9"/>
  <c r="EU47" i="9"/>
  <c r="EV47" i="9"/>
  <c r="EW47" i="9"/>
  <c r="EX47" i="9"/>
  <c r="EY47" i="9"/>
  <c r="EZ47" i="9"/>
  <c r="FA47" i="9"/>
  <c r="FB47" i="9"/>
  <c r="FC47" i="9"/>
  <c r="FD47" i="9"/>
  <c r="FE47" i="9"/>
  <c r="FF47" i="9"/>
  <c r="FG47" i="9"/>
  <c r="FH47" i="9"/>
  <c r="FI47" i="9"/>
  <c r="FJ47" i="9"/>
  <c r="FK47" i="9"/>
  <c r="FL47" i="9"/>
  <c r="FM47" i="9"/>
  <c r="FN47" i="9"/>
  <c r="FO47" i="9"/>
  <c r="FP47" i="9"/>
  <c r="FQ47" i="9"/>
  <c r="FR47" i="9"/>
  <c r="FS47" i="9"/>
  <c r="FT47" i="9"/>
  <c r="FU47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AJ48" i="9"/>
  <c r="AK48" i="9"/>
  <c r="AL48" i="9"/>
  <c r="AM48" i="9"/>
  <c r="AN48" i="9"/>
  <c r="AO48" i="9"/>
  <c r="AP48" i="9"/>
  <c r="AQ48" i="9"/>
  <c r="AR48" i="9"/>
  <c r="AS48" i="9"/>
  <c r="AT48" i="9"/>
  <c r="AU48" i="9"/>
  <c r="AV48" i="9"/>
  <c r="AW48" i="9"/>
  <c r="AX48" i="9"/>
  <c r="AY48" i="9"/>
  <c r="AZ48" i="9"/>
  <c r="BA48" i="9"/>
  <c r="BB48" i="9"/>
  <c r="BC48" i="9"/>
  <c r="BD48" i="9"/>
  <c r="BE48" i="9"/>
  <c r="BF48" i="9"/>
  <c r="BG48" i="9"/>
  <c r="BH48" i="9"/>
  <c r="BI48" i="9"/>
  <c r="BJ48" i="9"/>
  <c r="BK48" i="9"/>
  <c r="BL48" i="9"/>
  <c r="BM48" i="9"/>
  <c r="BN48" i="9"/>
  <c r="BO48" i="9"/>
  <c r="BP48" i="9"/>
  <c r="BQ48" i="9"/>
  <c r="BR48" i="9"/>
  <c r="BS48" i="9"/>
  <c r="BT48" i="9"/>
  <c r="BU48" i="9"/>
  <c r="BV48" i="9"/>
  <c r="BW48" i="9"/>
  <c r="BX48" i="9"/>
  <c r="BY48" i="9"/>
  <c r="BZ48" i="9"/>
  <c r="CA48" i="9"/>
  <c r="CB48" i="9"/>
  <c r="CC48" i="9"/>
  <c r="CD48" i="9"/>
  <c r="CE48" i="9"/>
  <c r="CF48" i="9"/>
  <c r="CG48" i="9"/>
  <c r="CH48" i="9"/>
  <c r="CI48" i="9"/>
  <c r="CJ48" i="9"/>
  <c r="CK48" i="9"/>
  <c r="CL48" i="9"/>
  <c r="CM48" i="9"/>
  <c r="CN48" i="9"/>
  <c r="CO48" i="9"/>
  <c r="CP48" i="9"/>
  <c r="CQ48" i="9"/>
  <c r="CR48" i="9"/>
  <c r="CS48" i="9"/>
  <c r="CT48" i="9"/>
  <c r="CU48" i="9"/>
  <c r="CV48" i="9"/>
  <c r="CW48" i="9"/>
  <c r="CX48" i="9"/>
  <c r="CY48" i="9"/>
  <c r="CZ48" i="9"/>
  <c r="DA48" i="9"/>
  <c r="DB48" i="9"/>
  <c r="DC48" i="9"/>
  <c r="DD48" i="9"/>
  <c r="DE48" i="9"/>
  <c r="DF48" i="9"/>
  <c r="DG48" i="9"/>
  <c r="DH48" i="9"/>
  <c r="DI48" i="9"/>
  <c r="DJ48" i="9"/>
  <c r="DK48" i="9"/>
  <c r="DL48" i="9"/>
  <c r="DM48" i="9"/>
  <c r="DN48" i="9"/>
  <c r="DO48" i="9"/>
  <c r="DP48" i="9"/>
  <c r="DQ48" i="9"/>
  <c r="DR48" i="9"/>
  <c r="DS48" i="9"/>
  <c r="DT48" i="9"/>
  <c r="DU48" i="9"/>
  <c r="DV48" i="9"/>
  <c r="DW48" i="9"/>
  <c r="DX48" i="9"/>
  <c r="DY48" i="9"/>
  <c r="DZ48" i="9"/>
  <c r="EA48" i="9"/>
  <c r="EB48" i="9"/>
  <c r="EC48" i="9"/>
  <c r="ED48" i="9"/>
  <c r="EE48" i="9"/>
  <c r="EF48" i="9"/>
  <c r="EG48" i="9"/>
  <c r="EH48" i="9"/>
  <c r="EI48" i="9"/>
  <c r="EJ48" i="9"/>
  <c r="EK48" i="9"/>
  <c r="EL48" i="9"/>
  <c r="EM48" i="9"/>
  <c r="EN48" i="9"/>
  <c r="EO48" i="9"/>
  <c r="EP48" i="9"/>
  <c r="EQ48" i="9"/>
  <c r="ER48" i="9"/>
  <c r="ES48" i="9"/>
  <c r="ET48" i="9"/>
  <c r="EU48" i="9"/>
  <c r="EV48" i="9"/>
  <c r="EW48" i="9"/>
  <c r="EX48" i="9"/>
  <c r="EY48" i="9"/>
  <c r="EZ48" i="9"/>
  <c r="FA48" i="9"/>
  <c r="FB48" i="9"/>
  <c r="FC48" i="9"/>
  <c r="FD48" i="9"/>
  <c r="FE48" i="9"/>
  <c r="FF48" i="9"/>
  <c r="FG48" i="9"/>
  <c r="FH48" i="9"/>
  <c r="FI48" i="9"/>
  <c r="FJ48" i="9"/>
  <c r="FK48" i="9"/>
  <c r="FL48" i="9"/>
  <c r="FM48" i="9"/>
  <c r="FN48" i="9"/>
  <c r="FO48" i="9"/>
  <c r="FP48" i="9"/>
  <c r="FQ48" i="9"/>
  <c r="FR48" i="9"/>
  <c r="FS48" i="9"/>
  <c r="FT48" i="9"/>
  <c r="FU48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AJ49" i="9"/>
  <c r="AK49" i="9"/>
  <c r="AL49" i="9"/>
  <c r="AM49" i="9"/>
  <c r="AN49" i="9"/>
  <c r="AO49" i="9"/>
  <c r="AP49" i="9"/>
  <c r="AQ49" i="9"/>
  <c r="AR49" i="9"/>
  <c r="AS49" i="9"/>
  <c r="AT49" i="9"/>
  <c r="AU49" i="9"/>
  <c r="AV49" i="9"/>
  <c r="AW49" i="9"/>
  <c r="AX49" i="9"/>
  <c r="AY49" i="9"/>
  <c r="AZ49" i="9"/>
  <c r="BA49" i="9"/>
  <c r="BB49" i="9"/>
  <c r="BC49" i="9"/>
  <c r="BD49" i="9"/>
  <c r="BE49" i="9"/>
  <c r="BF49" i="9"/>
  <c r="BG49" i="9"/>
  <c r="BH49" i="9"/>
  <c r="BI49" i="9"/>
  <c r="BJ49" i="9"/>
  <c r="BK49" i="9"/>
  <c r="BL49" i="9"/>
  <c r="BM49" i="9"/>
  <c r="BN49" i="9"/>
  <c r="BO49" i="9"/>
  <c r="BP49" i="9"/>
  <c r="BQ49" i="9"/>
  <c r="BR49" i="9"/>
  <c r="BS49" i="9"/>
  <c r="BT49" i="9"/>
  <c r="BU49" i="9"/>
  <c r="BV49" i="9"/>
  <c r="BW49" i="9"/>
  <c r="BX49" i="9"/>
  <c r="BY49" i="9"/>
  <c r="BZ49" i="9"/>
  <c r="CA49" i="9"/>
  <c r="CB49" i="9"/>
  <c r="CC49" i="9"/>
  <c r="CD49" i="9"/>
  <c r="CE49" i="9"/>
  <c r="CF49" i="9"/>
  <c r="CG49" i="9"/>
  <c r="CH49" i="9"/>
  <c r="CI49" i="9"/>
  <c r="CJ49" i="9"/>
  <c r="CK49" i="9"/>
  <c r="CL49" i="9"/>
  <c r="CM49" i="9"/>
  <c r="CN49" i="9"/>
  <c r="CO49" i="9"/>
  <c r="CP49" i="9"/>
  <c r="CQ49" i="9"/>
  <c r="CR49" i="9"/>
  <c r="CS49" i="9"/>
  <c r="CT49" i="9"/>
  <c r="CU49" i="9"/>
  <c r="CV49" i="9"/>
  <c r="CW49" i="9"/>
  <c r="CX49" i="9"/>
  <c r="CY49" i="9"/>
  <c r="CZ49" i="9"/>
  <c r="DA49" i="9"/>
  <c r="DB49" i="9"/>
  <c r="DC49" i="9"/>
  <c r="DD49" i="9"/>
  <c r="DE49" i="9"/>
  <c r="DF49" i="9"/>
  <c r="DG49" i="9"/>
  <c r="DH49" i="9"/>
  <c r="DI49" i="9"/>
  <c r="DJ49" i="9"/>
  <c r="DK49" i="9"/>
  <c r="DL49" i="9"/>
  <c r="DM49" i="9"/>
  <c r="DN49" i="9"/>
  <c r="DO49" i="9"/>
  <c r="DP49" i="9"/>
  <c r="DQ49" i="9"/>
  <c r="DR49" i="9"/>
  <c r="DS49" i="9"/>
  <c r="DT49" i="9"/>
  <c r="DU49" i="9"/>
  <c r="DV49" i="9"/>
  <c r="DW49" i="9"/>
  <c r="DX49" i="9"/>
  <c r="DY49" i="9"/>
  <c r="DZ49" i="9"/>
  <c r="EA49" i="9"/>
  <c r="EB49" i="9"/>
  <c r="EC49" i="9"/>
  <c r="ED49" i="9"/>
  <c r="EE49" i="9"/>
  <c r="EF49" i="9"/>
  <c r="EG49" i="9"/>
  <c r="EH49" i="9"/>
  <c r="EI49" i="9"/>
  <c r="EJ49" i="9"/>
  <c r="EK49" i="9"/>
  <c r="EL49" i="9"/>
  <c r="EM49" i="9"/>
  <c r="EN49" i="9"/>
  <c r="EO49" i="9"/>
  <c r="EP49" i="9"/>
  <c r="EQ49" i="9"/>
  <c r="ER49" i="9"/>
  <c r="ES49" i="9"/>
  <c r="ET49" i="9"/>
  <c r="EU49" i="9"/>
  <c r="EV49" i="9"/>
  <c r="EW49" i="9"/>
  <c r="EX49" i="9"/>
  <c r="EY49" i="9"/>
  <c r="EZ49" i="9"/>
  <c r="FA49" i="9"/>
  <c r="FB49" i="9"/>
  <c r="FC49" i="9"/>
  <c r="FD49" i="9"/>
  <c r="FE49" i="9"/>
  <c r="FF49" i="9"/>
  <c r="FG49" i="9"/>
  <c r="FH49" i="9"/>
  <c r="FI49" i="9"/>
  <c r="FJ49" i="9"/>
  <c r="FK49" i="9"/>
  <c r="FL49" i="9"/>
  <c r="FM49" i="9"/>
  <c r="FN49" i="9"/>
  <c r="FO49" i="9"/>
  <c r="FP49" i="9"/>
  <c r="FQ49" i="9"/>
  <c r="FR49" i="9"/>
  <c r="FS49" i="9"/>
  <c r="FT49" i="9"/>
  <c r="FU49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AJ50" i="9"/>
  <c r="AK50" i="9"/>
  <c r="AL50" i="9"/>
  <c r="AM50" i="9"/>
  <c r="AN50" i="9"/>
  <c r="AO50" i="9"/>
  <c r="AP50" i="9"/>
  <c r="AQ50" i="9"/>
  <c r="AR50" i="9"/>
  <c r="AS50" i="9"/>
  <c r="AT50" i="9"/>
  <c r="AU50" i="9"/>
  <c r="AV50" i="9"/>
  <c r="AW50" i="9"/>
  <c r="AX50" i="9"/>
  <c r="AY50" i="9"/>
  <c r="AZ50" i="9"/>
  <c r="BA50" i="9"/>
  <c r="BB50" i="9"/>
  <c r="BC50" i="9"/>
  <c r="BD50" i="9"/>
  <c r="BE50" i="9"/>
  <c r="BF50" i="9"/>
  <c r="BG50" i="9"/>
  <c r="BH50" i="9"/>
  <c r="BI50" i="9"/>
  <c r="BJ50" i="9"/>
  <c r="BK50" i="9"/>
  <c r="BL50" i="9"/>
  <c r="BM50" i="9"/>
  <c r="BN50" i="9"/>
  <c r="BO50" i="9"/>
  <c r="BP50" i="9"/>
  <c r="BQ50" i="9"/>
  <c r="BR50" i="9"/>
  <c r="BS50" i="9"/>
  <c r="BT50" i="9"/>
  <c r="BU50" i="9"/>
  <c r="BV50" i="9"/>
  <c r="BW50" i="9"/>
  <c r="BX50" i="9"/>
  <c r="BY50" i="9"/>
  <c r="BZ50" i="9"/>
  <c r="CA50" i="9"/>
  <c r="CB50" i="9"/>
  <c r="CC50" i="9"/>
  <c r="CD50" i="9"/>
  <c r="CE50" i="9"/>
  <c r="CF50" i="9"/>
  <c r="CG50" i="9"/>
  <c r="CH50" i="9"/>
  <c r="CI50" i="9"/>
  <c r="CJ50" i="9"/>
  <c r="CK50" i="9"/>
  <c r="CL50" i="9"/>
  <c r="CM50" i="9"/>
  <c r="CN50" i="9"/>
  <c r="CO50" i="9"/>
  <c r="CP50" i="9"/>
  <c r="CQ50" i="9"/>
  <c r="CR50" i="9"/>
  <c r="CS50" i="9"/>
  <c r="CT50" i="9"/>
  <c r="CU50" i="9"/>
  <c r="CV50" i="9"/>
  <c r="CW50" i="9"/>
  <c r="CX50" i="9"/>
  <c r="CY50" i="9"/>
  <c r="CZ50" i="9"/>
  <c r="DA50" i="9"/>
  <c r="DB50" i="9"/>
  <c r="DC50" i="9"/>
  <c r="DD50" i="9"/>
  <c r="DE50" i="9"/>
  <c r="DF50" i="9"/>
  <c r="DG50" i="9"/>
  <c r="DH50" i="9"/>
  <c r="DI50" i="9"/>
  <c r="DJ50" i="9"/>
  <c r="DK50" i="9"/>
  <c r="DL50" i="9"/>
  <c r="DM50" i="9"/>
  <c r="DN50" i="9"/>
  <c r="DO50" i="9"/>
  <c r="DP50" i="9"/>
  <c r="DQ50" i="9"/>
  <c r="DR50" i="9"/>
  <c r="DS50" i="9"/>
  <c r="DT50" i="9"/>
  <c r="DU50" i="9"/>
  <c r="DV50" i="9"/>
  <c r="DW50" i="9"/>
  <c r="DX50" i="9"/>
  <c r="DY50" i="9"/>
  <c r="DZ50" i="9"/>
  <c r="EA50" i="9"/>
  <c r="EB50" i="9"/>
  <c r="EC50" i="9"/>
  <c r="ED50" i="9"/>
  <c r="EE50" i="9"/>
  <c r="EF50" i="9"/>
  <c r="EG50" i="9"/>
  <c r="EH50" i="9"/>
  <c r="EI50" i="9"/>
  <c r="EJ50" i="9"/>
  <c r="EK50" i="9"/>
  <c r="EL50" i="9"/>
  <c r="EM50" i="9"/>
  <c r="EN50" i="9"/>
  <c r="EO50" i="9"/>
  <c r="EP50" i="9"/>
  <c r="EQ50" i="9"/>
  <c r="ER50" i="9"/>
  <c r="ES50" i="9"/>
  <c r="ET50" i="9"/>
  <c r="EU50" i="9"/>
  <c r="EV50" i="9"/>
  <c r="EW50" i="9"/>
  <c r="EX50" i="9"/>
  <c r="EY50" i="9"/>
  <c r="EZ50" i="9"/>
  <c r="FA50" i="9"/>
  <c r="FB50" i="9"/>
  <c r="FC50" i="9"/>
  <c r="FD50" i="9"/>
  <c r="FE50" i="9"/>
  <c r="FF50" i="9"/>
  <c r="FG50" i="9"/>
  <c r="FH50" i="9"/>
  <c r="FI50" i="9"/>
  <c r="FJ50" i="9"/>
  <c r="FK50" i="9"/>
  <c r="FL50" i="9"/>
  <c r="FM50" i="9"/>
  <c r="FN50" i="9"/>
  <c r="FO50" i="9"/>
  <c r="FP50" i="9"/>
  <c r="FQ50" i="9"/>
  <c r="FR50" i="9"/>
  <c r="FS50" i="9"/>
  <c r="FT50" i="9"/>
  <c r="FU50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AN51" i="9"/>
  <c r="AO51" i="9"/>
  <c r="AP51" i="9"/>
  <c r="AQ51" i="9"/>
  <c r="AR51" i="9"/>
  <c r="AS51" i="9"/>
  <c r="AT51" i="9"/>
  <c r="AU51" i="9"/>
  <c r="AV51" i="9"/>
  <c r="AW51" i="9"/>
  <c r="AX51" i="9"/>
  <c r="AY51" i="9"/>
  <c r="AZ51" i="9"/>
  <c r="BA51" i="9"/>
  <c r="BB51" i="9"/>
  <c r="BC51" i="9"/>
  <c r="BD51" i="9"/>
  <c r="BE51" i="9"/>
  <c r="BF51" i="9"/>
  <c r="BG51" i="9"/>
  <c r="BH51" i="9"/>
  <c r="BI51" i="9"/>
  <c r="BJ51" i="9"/>
  <c r="BK51" i="9"/>
  <c r="BL51" i="9"/>
  <c r="BM51" i="9"/>
  <c r="BN51" i="9"/>
  <c r="BO51" i="9"/>
  <c r="BP51" i="9"/>
  <c r="BQ51" i="9"/>
  <c r="BR51" i="9"/>
  <c r="BS51" i="9"/>
  <c r="BT51" i="9"/>
  <c r="BU51" i="9"/>
  <c r="BV51" i="9"/>
  <c r="BW51" i="9"/>
  <c r="BX51" i="9"/>
  <c r="BY51" i="9"/>
  <c r="BZ51" i="9"/>
  <c r="CA51" i="9"/>
  <c r="CB51" i="9"/>
  <c r="CC51" i="9"/>
  <c r="CD51" i="9"/>
  <c r="CE51" i="9"/>
  <c r="CF51" i="9"/>
  <c r="CG51" i="9"/>
  <c r="CH51" i="9"/>
  <c r="CI51" i="9"/>
  <c r="CJ51" i="9"/>
  <c r="CK51" i="9"/>
  <c r="CL51" i="9"/>
  <c r="CM51" i="9"/>
  <c r="CN51" i="9"/>
  <c r="CO51" i="9"/>
  <c r="CP51" i="9"/>
  <c r="CQ51" i="9"/>
  <c r="CR51" i="9"/>
  <c r="CS51" i="9"/>
  <c r="CT51" i="9"/>
  <c r="CU51" i="9"/>
  <c r="CV51" i="9"/>
  <c r="CW51" i="9"/>
  <c r="CX51" i="9"/>
  <c r="CY51" i="9"/>
  <c r="CZ51" i="9"/>
  <c r="DA51" i="9"/>
  <c r="DB51" i="9"/>
  <c r="DC51" i="9"/>
  <c r="DD51" i="9"/>
  <c r="DE51" i="9"/>
  <c r="DF51" i="9"/>
  <c r="DG51" i="9"/>
  <c r="DH51" i="9"/>
  <c r="DI51" i="9"/>
  <c r="DJ51" i="9"/>
  <c r="DK51" i="9"/>
  <c r="DL51" i="9"/>
  <c r="DM51" i="9"/>
  <c r="DN51" i="9"/>
  <c r="DO51" i="9"/>
  <c r="DP51" i="9"/>
  <c r="DQ51" i="9"/>
  <c r="DR51" i="9"/>
  <c r="DS51" i="9"/>
  <c r="DT51" i="9"/>
  <c r="DU51" i="9"/>
  <c r="DV51" i="9"/>
  <c r="DW51" i="9"/>
  <c r="DX51" i="9"/>
  <c r="DY51" i="9"/>
  <c r="DZ51" i="9"/>
  <c r="EA51" i="9"/>
  <c r="EB51" i="9"/>
  <c r="EC51" i="9"/>
  <c r="ED51" i="9"/>
  <c r="EE51" i="9"/>
  <c r="EF51" i="9"/>
  <c r="EG51" i="9"/>
  <c r="EH51" i="9"/>
  <c r="EI51" i="9"/>
  <c r="EJ51" i="9"/>
  <c r="EK51" i="9"/>
  <c r="EL51" i="9"/>
  <c r="EM51" i="9"/>
  <c r="EN51" i="9"/>
  <c r="EO51" i="9"/>
  <c r="EP51" i="9"/>
  <c r="EQ51" i="9"/>
  <c r="ER51" i="9"/>
  <c r="ES51" i="9"/>
  <c r="ET51" i="9"/>
  <c r="EU51" i="9"/>
  <c r="EV51" i="9"/>
  <c r="EW51" i="9"/>
  <c r="EX51" i="9"/>
  <c r="EY51" i="9"/>
  <c r="EZ51" i="9"/>
  <c r="FA51" i="9"/>
  <c r="FB51" i="9"/>
  <c r="FC51" i="9"/>
  <c r="FD51" i="9"/>
  <c r="FE51" i="9"/>
  <c r="FF51" i="9"/>
  <c r="FG51" i="9"/>
  <c r="FH51" i="9"/>
  <c r="FI51" i="9"/>
  <c r="FJ51" i="9"/>
  <c r="FK51" i="9"/>
  <c r="FL51" i="9"/>
  <c r="FM51" i="9"/>
  <c r="FN51" i="9"/>
  <c r="FO51" i="9"/>
  <c r="FP51" i="9"/>
  <c r="FQ51" i="9"/>
  <c r="FR51" i="9"/>
  <c r="FS51" i="9"/>
  <c r="FT51" i="9"/>
  <c r="FU51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AM52" i="9"/>
  <c r="AN52" i="9"/>
  <c r="AO52" i="9"/>
  <c r="AP52" i="9"/>
  <c r="AQ52" i="9"/>
  <c r="AR52" i="9"/>
  <c r="AS52" i="9"/>
  <c r="AT52" i="9"/>
  <c r="AU52" i="9"/>
  <c r="AV52" i="9"/>
  <c r="AW52" i="9"/>
  <c r="AX52" i="9"/>
  <c r="AY52" i="9"/>
  <c r="AZ52" i="9"/>
  <c r="BA52" i="9"/>
  <c r="BB52" i="9"/>
  <c r="BC52" i="9"/>
  <c r="BD52" i="9"/>
  <c r="BE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DX52" i="9"/>
  <c r="DY52" i="9"/>
  <c r="DZ52" i="9"/>
  <c r="EA52" i="9"/>
  <c r="EB52" i="9"/>
  <c r="EC52" i="9"/>
  <c r="ED52" i="9"/>
  <c r="EE52" i="9"/>
  <c r="EF52" i="9"/>
  <c r="EG52" i="9"/>
  <c r="EH52" i="9"/>
  <c r="EI52" i="9"/>
  <c r="EJ52" i="9"/>
  <c r="EK52" i="9"/>
  <c r="EL52" i="9"/>
  <c r="EM52" i="9"/>
  <c r="EN52" i="9"/>
  <c r="EO52" i="9"/>
  <c r="EP52" i="9"/>
  <c r="EQ52" i="9"/>
  <c r="ER52" i="9"/>
  <c r="ES52" i="9"/>
  <c r="ET52" i="9"/>
  <c r="EU52" i="9"/>
  <c r="EV52" i="9"/>
  <c r="EW52" i="9"/>
  <c r="EX52" i="9"/>
  <c r="EY52" i="9"/>
  <c r="EZ52" i="9"/>
  <c r="FA52" i="9"/>
  <c r="FB52" i="9"/>
  <c r="FC52" i="9"/>
  <c r="FD52" i="9"/>
  <c r="FE52" i="9"/>
  <c r="FF52" i="9"/>
  <c r="FG52" i="9"/>
  <c r="FH52" i="9"/>
  <c r="FI52" i="9"/>
  <c r="FJ52" i="9"/>
  <c r="FK52" i="9"/>
  <c r="FL52" i="9"/>
  <c r="FM52" i="9"/>
  <c r="FN52" i="9"/>
  <c r="FO52" i="9"/>
  <c r="FP52" i="9"/>
  <c r="FQ52" i="9"/>
  <c r="FR52" i="9"/>
  <c r="FS52" i="9"/>
  <c r="FT52" i="9"/>
  <c r="FU52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AK53" i="9"/>
  <c r="AL53" i="9"/>
  <c r="AM53" i="9"/>
  <c r="AN53" i="9"/>
  <c r="AO53" i="9"/>
  <c r="AP53" i="9"/>
  <c r="AQ53" i="9"/>
  <c r="AR53" i="9"/>
  <c r="AS53" i="9"/>
  <c r="AT53" i="9"/>
  <c r="AU53" i="9"/>
  <c r="AV53" i="9"/>
  <c r="AW53" i="9"/>
  <c r="AX53" i="9"/>
  <c r="AY53" i="9"/>
  <c r="AZ53" i="9"/>
  <c r="BA53" i="9"/>
  <c r="BB53" i="9"/>
  <c r="BC53" i="9"/>
  <c r="BD53" i="9"/>
  <c r="BE53" i="9"/>
  <c r="BF53" i="9"/>
  <c r="BG53" i="9"/>
  <c r="BH53" i="9"/>
  <c r="BI53" i="9"/>
  <c r="BJ53" i="9"/>
  <c r="BK53" i="9"/>
  <c r="BL53" i="9"/>
  <c r="BM53" i="9"/>
  <c r="BN53" i="9"/>
  <c r="BO53" i="9"/>
  <c r="BP53" i="9"/>
  <c r="BQ53" i="9"/>
  <c r="BR53" i="9"/>
  <c r="BS53" i="9"/>
  <c r="BT53" i="9"/>
  <c r="BU53" i="9"/>
  <c r="BV53" i="9"/>
  <c r="BW53" i="9"/>
  <c r="BX53" i="9"/>
  <c r="BY53" i="9"/>
  <c r="BZ53" i="9"/>
  <c r="CA53" i="9"/>
  <c r="CB53" i="9"/>
  <c r="CC53" i="9"/>
  <c r="CD53" i="9"/>
  <c r="CE53" i="9"/>
  <c r="CF53" i="9"/>
  <c r="CG53" i="9"/>
  <c r="CH53" i="9"/>
  <c r="CI53" i="9"/>
  <c r="CJ53" i="9"/>
  <c r="CK53" i="9"/>
  <c r="CL53" i="9"/>
  <c r="CM53" i="9"/>
  <c r="CN53" i="9"/>
  <c r="CO53" i="9"/>
  <c r="CP53" i="9"/>
  <c r="CQ53" i="9"/>
  <c r="CR53" i="9"/>
  <c r="CS53" i="9"/>
  <c r="CT53" i="9"/>
  <c r="CU53" i="9"/>
  <c r="CV53" i="9"/>
  <c r="CW53" i="9"/>
  <c r="CX53" i="9"/>
  <c r="CY53" i="9"/>
  <c r="CZ53" i="9"/>
  <c r="DA53" i="9"/>
  <c r="DB53" i="9"/>
  <c r="DC53" i="9"/>
  <c r="DD53" i="9"/>
  <c r="DE53" i="9"/>
  <c r="DF53" i="9"/>
  <c r="DG53" i="9"/>
  <c r="DH53" i="9"/>
  <c r="DI53" i="9"/>
  <c r="DJ53" i="9"/>
  <c r="DK53" i="9"/>
  <c r="DL53" i="9"/>
  <c r="DM53" i="9"/>
  <c r="DN53" i="9"/>
  <c r="DO53" i="9"/>
  <c r="DP53" i="9"/>
  <c r="DQ53" i="9"/>
  <c r="DR53" i="9"/>
  <c r="DS53" i="9"/>
  <c r="DT53" i="9"/>
  <c r="DU53" i="9"/>
  <c r="DV53" i="9"/>
  <c r="DW53" i="9"/>
  <c r="DX53" i="9"/>
  <c r="DY53" i="9"/>
  <c r="DZ53" i="9"/>
  <c r="EA53" i="9"/>
  <c r="EB53" i="9"/>
  <c r="EC53" i="9"/>
  <c r="ED53" i="9"/>
  <c r="EE53" i="9"/>
  <c r="EF53" i="9"/>
  <c r="EG53" i="9"/>
  <c r="EH53" i="9"/>
  <c r="EI53" i="9"/>
  <c r="EJ53" i="9"/>
  <c r="EK53" i="9"/>
  <c r="EL53" i="9"/>
  <c r="EM53" i="9"/>
  <c r="EN53" i="9"/>
  <c r="EO53" i="9"/>
  <c r="EP53" i="9"/>
  <c r="EQ53" i="9"/>
  <c r="ER53" i="9"/>
  <c r="ES53" i="9"/>
  <c r="ET53" i="9"/>
  <c r="EU53" i="9"/>
  <c r="EV53" i="9"/>
  <c r="EW53" i="9"/>
  <c r="EX53" i="9"/>
  <c r="EY53" i="9"/>
  <c r="EZ53" i="9"/>
  <c r="FA53" i="9"/>
  <c r="FB53" i="9"/>
  <c r="FC53" i="9"/>
  <c r="FD53" i="9"/>
  <c r="FE53" i="9"/>
  <c r="FF53" i="9"/>
  <c r="FG53" i="9"/>
  <c r="FH53" i="9"/>
  <c r="FI53" i="9"/>
  <c r="FJ53" i="9"/>
  <c r="FK53" i="9"/>
  <c r="FL53" i="9"/>
  <c r="FM53" i="9"/>
  <c r="FN53" i="9"/>
  <c r="FO53" i="9"/>
  <c r="FP53" i="9"/>
  <c r="FQ53" i="9"/>
  <c r="FR53" i="9"/>
  <c r="FS53" i="9"/>
  <c r="FT53" i="9"/>
  <c r="FU53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AJ54" i="9"/>
  <c r="AK54" i="9"/>
  <c r="AL54" i="9"/>
  <c r="AM54" i="9"/>
  <c r="AN54" i="9"/>
  <c r="AO54" i="9"/>
  <c r="AP54" i="9"/>
  <c r="AQ54" i="9"/>
  <c r="AR54" i="9"/>
  <c r="AS54" i="9"/>
  <c r="AT54" i="9"/>
  <c r="AU54" i="9"/>
  <c r="AV54" i="9"/>
  <c r="AW54" i="9"/>
  <c r="AX54" i="9"/>
  <c r="AY54" i="9"/>
  <c r="AZ54" i="9"/>
  <c r="BA54" i="9"/>
  <c r="BB54" i="9"/>
  <c r="BC54" i="9"/>
  <c r="BD54" i="9"/>
  <c r="BE54" i="9"/>
  <c r="BF54" i="9"/>
  <c r="BG54" i="9"/>
  <c r="BH54" i="9"/>
  <c r="BI54" i="9"/>
  <c r="BJ54" i="9"/>
  <c r="BK54" i="9"/>
  <c r="BL54" i="9"/>
  <c r="BM54" i="9"/>
  <c r="BN54" i="9"/>
  <c r="BO54" i="9"/>
  <c r="BP54" i="9"/>
  <c r="BQ54" i="9"/>
  <c r="BR54" i="9"/>
  <c r="BS54" i="9"/>
  <c r="BT54" i="9"/>
  <c r="BU54" i="9"/>
  <c r="BV54" i="9"/>
  <c r="BW54" i="9"/>
  <c r="BX54" i="9"/>
  <c r="BY54" i="9"/>
  <c r="BZ54" i="9"/>
  <c r="CA54" i="9"/>
  <c r="CB54" i="9"/>
  <c r="CC54" i="9"/>
  <c r="CD54" i="9"/>
  <c r="CE54" i="9"/>
  <c r="CF54" i="9"/>
  <c r="CG54" i="9"/>
  <c r="CH54" i="9"/>
  <c r="CI54" i="9"/>
  <c r="CJ54" i="9"/>
  <c r="CK54" i="9"/>
  <c r="CL54" i="9"/>
  <c r="CM54" i="9"/>
  <c r="CN54" i="9"/>
  <c r="CO54" i="9"/>
  <c r="CP54" i="9"/>
  <c r="CQ54" i="9"/>
  <c r="CR54" i="9"/>
  <c r="CS54" i="9"/>
  <c r="CT54" i="9"/>
  <c r="CU54" i="9"/>
  <c r="CV54" i="9"/>
  <c r="CW54" i="9"/>
  <c r="CX54" i="9"/>
  <c r="CY54" i="9"/>
  <c r="CZ54" i="9"/>
  <c r="DA54" i="9"/>
  <c r="DB54" i="9"/>
  <c r="DC54" i="9"/>
  <c r="DD54" i="9"/>
  <c r="DE54" i="9"/>
  <c r="DF54" i="9"/>
  <c r="DG54" i="9"/>
  <c r="DH54" i="9"/>
  <c r="DI54" i="9"/>
  <c r="DJ54" i="9"/>
  <c r="DK54" i="9"/>
  <c r="DL54" i="9"/>
  <c r="DM54" i="9"/>
  <c r="DN54" i="9"/>
  <c r="DO54" i="9"/>
  <c r="DP54" i="9"/>
  <c r="DQ54" i="9"/>
  <c r="DR54" i="9"/>
  <c r="DS54" i="9"/>
  <c r="DT54" i="9"/>
  <c r="DU54" i="9"/>
  <c r="DV54" i="9"/>
  <c r="DW54" i="9"/>
  <c r="DX54" i="9"/>
  <c r="DY54" i="9"/>
  <c r="DZ54" i="9"/>
  <c r="EA54" i="9"/>
  <c r="EB54" i="9"/>
  <c r="EC54" i="9"/>
  <c r="ED54" i="9"/>
  <c r="EE54" i="9"/>
  <c r="EF54" i="9"/>
  <c r="EG54" i="9"/>
  <c r="EH54" i="9"/>
  <c r="EI54" i="9"/>
  <c r="EJ54" i="9"/>
  <c r="EK54" i="9"/>
  <c r="EL54" i="9"/>
  <c r="EM54" i="9"/>
  <c r="EN54" i="9"/>
  <c r="EO54" i="9"/>
  <c r="EP54" i="9"/>
  <c r="EQ54" i="9"/>
  <c r="ER54" i="9"/>
  <c r="ES54" i="9"/>
  <c r="ET54" i="9"/>
  <c r="EU54" i="9"/>
  <c r="EV54" i="9"/>
  <c r="EW54" i="9"/>
  <c r="EX54" i="9"/>
  <c r="EY54" i="9"/>
  <c r="EZ54" i="9"/>
  <c r="FA54" i="9"/>
  <c r="FB54" i="9"/>
  <c r="FC54" i="9"/>
  <c r="FD54" i="9"/>
  <c r="FE54" i="9"/>
  <c r="FF54" i="9"/>
  <c r="FG54" i="9"/>
  <c r="FH54" i="9"/>
  <c r="FI54" i="9"/>
  <c r="FJ54" i="9"/>
  <c r="FK54" i="9"/>
  <c r="FL54" i="9"/>
  <c r="FM54" i="9"/>
  <c r="FN54" i="9"/>
  <c r="FO54" i="9"/>
  <c r="FP54" i="9"/>
  <c r="FQ54" i="9"/>
  <c r="FR54" i="9"/>
  <c r="FS54" i="9"/>
  <c r="FT54" i="9"/>
  <c r="FU54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AN55" i="9"/>
  <c r="AO55" i="9"/>
  <c r="AP55" i="9"/>
  <c r="AQ55" i="9"/>
  <c r="AR55" i="9"/>
  <c r="AS55" i="9"/>
  <c r="AT55" i="9"/>
  <c r="AU55" i="9"/>
  <c r="AV55" i="9"/>
  <c r="AW55" i="9"/>
  <c r="AX55" i="9"/>
  <c r="AY55" i="9"/>
  <c r="AZ55" i="9"/>
  <c r="BA55" i="9"/>
  <c r="BB55" i="9"/>
  <c r="BC55" i="9"/>
  <c r="BD55" i="9"/>
  <c r="BE55" i="9"/>
  <c r="BF55" i="9"/>
  <c r="BG55" i="9"/>
  <c r="BH55" i="9"/>
  <c r="BI55" i="9"/>
  <c r="BJ55" i="9"/>
  <c r="BK55" i="9"/>
  <c r="BL55" i="9"/>
  <c r="BM55" i="9"/>
  <c r="BN55" i="9"/>
  <c r="BO55" i="9"/>
  <c r="BP55" i="9"/>
  <c r="BQ55" i="9"/>
  <c r="BR55" i="9"/>
  <c r="BS55" i="9"/>
  <c r="BT55" i="9"/>
  <c r="BU55" i="9"/>
  <c r="BV55" i="9"/>
  <c r="BW55" i="9"/>
  <c r="BX55" i="9"/>
  <c r="BY55" i="9"/>
  <c r="BZ55" i="9"/>
  <c r="CA55" i="9"/>
  <c r="CB55" i="9"/>
  <c r="CC55" i="9"/>
  <c r="CD55" i="9"/>
  <c r="CE55" i="9"/>
  <c r="CF55" i="9"/>
  <c r="CG55" i="9"/>
  <c r="CH55" i="9"/>
  <c r="CI55" i="9"/>
  <c r="CJ55" i="9"/>
  <c r="CK55" i="9"/>
  <c r="CL55" i="9"/>
  <c r="CM55" i="9"/>
  <c r="CN55" i="9"/>
  <c r="CO55" i="9"/>
  <c r="CP55" i="9"/>
  <c r="CQ55" i="9"/>
  <c r="CR55" i="9"/>
  <c r="CS55" i="9"/>
  <c r="CT55" i="9"/>
  <c r="CU55" i="9"/>
  <c r="CV55" i="9"/>
  <c r="CW55" i="9"/>
  <c r="CX55" i="9"/>
  <c r="CY55" i="9"/>
  <c r="CZ55" i="9"/>
  <c r="DA55" i="9"/>
  <c r="DB55" i="9"/>
  <c r="DC55" i="9"/>
  <c r="DD55" i="9"/>
  <c r="DE55" i="9"/>
  <c r="DF55" i="9"/>
  <c r="DG55" i="9"/>
  <c r="DH55" i="9"/>
  <c r="DI55" i="9"/>
  <c r="DJ55" i="9"/>
  <c r="DK55" i="9"/>
  <c r="DL55" i="9"/>
  <c r="DM55" i="9"/>
  <c r="DN55" i="9"/>
  <c r="DO55" i="9"/>
  <c r="DP55" i="9"/>
  <c r="DQ55" i="9"/>
  <c r="DR55" i="9"/>
  <c r="DS55" i="9"/>
  <c r="DT55" i="9"/>
  <c r="DU55" i="9"/>
  <c r="DV55" i="9"/>
  <c r="DW55" i="9"/>
  <c r="DX55" i="9"/>
  <c r="DY55" i="9"/>
  <c r="DZ55" i="9"/>
  <c r="EA55" i="9"/>
  <c r="EB55" i="9"/>
  <c r="EC55" i="9"/>
  <c r="ED55" i="9"/>
  <c r="EE55" i="9"/>
  <c r="EF55" i="9"/>
  <c r="EG55" i="9"/>
  <c r="EH55" i="9"/>
  <c r="EI55" i="9"/>
  <c r="EJ55" i="9"/>
  <c r="EK55" i="9"/>
  <c r="EL55" i="9"/>
  <c r="EM55" i="9"/>
  <c r="EN55" i="9"/>
  <c r="EO55" i="9"/>
  <c r="EP55" i="9"/>
  <c r="EQ55" i="9"/>
  <c r="ER55" i="9"/>
  <c r="ES55" i="9"/>
  <c r="ET55" i="9"/>
  <c r="EU55" i="9"/>
  <c r="EV55" i="9"/>
  <c r="EW55" i="9"/>
  <c r="EX55" i="9"/>
  <c r="EY55" i="9"/>
  <c r="EZ55" i="9"/>
  <c r="FA55" i="9"/>
  <c r="FB55" i="9"/>
  <c r="FC55" i="9"/>
  <c r="FD55" i="9"/>
  <c r="FE55" i="9"/>
  <c r="FF55" i="9"/>
  <c r="FG55" i="9"/>
  <c r="FH55" i="9"/>
  <c r="FI55" i="9"/>
  <c r="FJ55" i="9"/>
  <c r="FK55" i="9"/>
  <c r="FL55" i="9"/>
  <c r="FM55" i="9"/>
  <c r="FN55" i="9"/>
  <c r="FO55" i="9"/>
  <c r="FP55" i="9"/>
  <c r="FQ55" i="9"/>
  <c r="FR55" i="9"/>
  <c r="FS55" i="9"/>
  <c r="FT55" i="9"/>
  <c r="FU55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AJ56" i="9"/>
  <c r="AK56" i="9"/>
  <c r="AL56" i="9"/>
  <c r="AM56" i="9"/>
  <c r="AN56" i="9"/>
  <c r="AO56" i="9"/>
  <c r="AP56" i="9"/>
  <c r="AQ56" i="9"/>
  <c r="AR56" i="9"/>
  <c r="AS56" i="9"/>
  <c r="AT56" i="9"/>
  <c r="AU56" i="9"/>
  <c r="AV56" i="9"/>
  <c r="AW56" i="9"/>
  <c r="AX56" i="9"/>
  <c r="AY56" i="9"/>
  <c r="AZ56" i="9"/>
  <c r="BA56" i="9"/>
  <c r="BB56" i="9"/>
  <c r="BC56" i="9"/>
  <c r="BD56" i="9"/>
  <c r="BE56" i="9"/>
  <c r="BF56" i="9"/>
  <c r="BG56" i="9"/>
  <c r="BH56" i="9"/>
  <c r="BI56" i="9"/>
  <c r="BJ56" i="9"/>
  <c r="BK56" i="9"/>
  <c r="BL56" i="9"/>
  <c r="BM56" i="9"/>
  <c r="BN56" i="9"/>
  <c r="BO56" i="9"/>
  <c r="BP56" i="9"/>
  <c r="BQ56" i="9"/>
  <c r="BR56" i="9"/>
  <c r="BS56" i="9"/>
  <c r="BT56" i="9"/>
  <c r="BU56" i="9"/>
  <c r="BV56" i="9"/>
  <c r="BW56" i="9"/>
  <c r="BX56" i="9"/>
  <c r="BY56" i="9"/>
  <c r="BZ56" i="9"/>
  <c r="CA56" i="9"/>
  <c r="CB56" i="9"/>
  <c r="CC56" i="9"/>
  <c r="CD56" i="9"/>
  <c r="CE56" i="9"/>
  <c r="CF56" i="9"/>
  <c r="CG56" i="9"/>
  <c r="CH56" i="9"/>
  <c r="CI56" i="9"/>
  <c r="CJ56" i="9"/>
  <c r="CK56" i="9"/>
  <c r="CL56" i="9"/>
  <c r="CM56" i="9"/>
  <c r="CN56" i="9"/>
  <c r="CO56" i="9"/>
  <c r="CP56" i="9"/>
  <c r="CQ56" i="9"/>
  <c r="CR56" i="9"/>
  <c r="CS56" i="9"/>
  <c r="CT56" i="9"/>
  <c r="CU56" i="9"/>
  <c r="CV56" i="9"/>
  <c r="CW56" i="9"/>
  <c r="CX56" i="9"/>
  <c r="CY56" i="9"/>
  <c r="CZ56" i="9"/>
  <c r="DA56" i="9"/>
  <c r="DB56" i="9"/>
  <c r="DC56" i="9"/>
  <c r="DD56" i="9"/>
  <c r="DE56" i="9"/>
  <c r="DF56" i="9"/>
  <c r="DG56" i="9"/>
  <c r="DH56" i="9"/>
  <c r="DI56" i="9"/>
  <c r="DJ56" i="9"/>
  <c r="DK56" i="9"/>
  <c r="DL56" i="9"/>
  <c r="DM56" i="9"/>
  <c r="DN56" i="9"/>
  <c r="DO56" i="9"/>
  <c r="DP56" i="9"/>
  <c r="DQ56" i="9"/>
  <c r="DR56" i="9"/>
  <c r="DS56" i="9"/>
  <c r="DT56" i="9"/>
  <c r="DU56" i="9"/>
  <c r="DV56" i="9"/>
  <c r="DW56" i="9"/>
  <c r="DX56" i="9"/>
  <c r="DY56" i="9"/>
  <c r="DZ56" i="9"/>
  <c r="EA56" i="9"/>
  <c r="EB56" i="9"/>
  <c r="EC56" i="9"/>
  <c r="ED56" i="9"/>
  <c r="EE56" i="9"/>
  <c r="EF56" i="9"/>
  <c r="EG56" i="9"/>
  <c r="EH56" i="9"/>
  <c r="EI56" i="9"/>
  <c r="EJ56" i="9"/>
  <c r="EK56" i="9"/>
  <c r="EL56" i="9"/>
  <c r="EM56" i="9"/>
  <c r="EN56" i="9"/>
  <c r="EO56" i="9"/>
  <c r="EP56" i="9"/>
  <c r="EQ56" i="9"/>
  <c r="ER56" i="9"/>
  <c r="ES56" i="9"/>
  <c r="ET56" i="9"/>
  <c r="EU56" i="9"/>
  <c r="EV56" i="9"/>
  <c r="EW56" i="9"/>
  <c r="EX56" i="9"/>
  <c r="EY56" i="9"/>
  <c r="EZ56" i="9"/>
  <c r="FA56" i="9"/>
  <c r="FB56" i="9"/>
  <c r="FC56" i="9"/>
  <c r="FD56" i="9"/>
  <c r="FE56" i="9"/>
  <c r="FF56" i="9"/>
  <c r="FG56" i="9"/>
  <c r="FH56" i="9"/>
  <c r="FI56" i="9"/>
  <c r="FJ56" i="9"/>
  <c r="FK56" i="9"/>
  <c r="FL56" i="9"/>
  <c r="FM56" i="9"/>
  <c r="FN56" i="9"/>
  <c r="FO56" i="9"/>
  <c r="FP56" i="9"/>
  <c r="FQ56" i="9"/>
  <c r="FR56" i="9"/>
  <c r="FS56" i="9"/>
  <c r="FT56" i="9"/>
  <c r="FU56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AJ57" i="9"/>
  <c r="AK57" i="9"/>
  <c r="AL57" i="9"/>
  <c r="AM57" i="9"/>
  <c r="AN57" i="9"/>
  <c r="AO57" i="9"/>
  <c r="AP57" i="9"/>
  <c r="AQ57" i="9"/>
  <c r="AR57" i="9"/>
  <c r="AS57" i="9"/>
  <c r="AT57" i="9"/>
  <c r="AU57" i="9"/>
  <c r="AV57" i="9"/>
  <c r="AW57" i="9"/>
  <c r="AX57" i="9"/>
  <c r="AY57" i="9"/>
  <c r="AZ57" i="9"/>
  <c r="BA57" i="9"/>
  <c r="BB57" i="9"/>
  <c r="BC57" i="9"/>
  <c r="BD57" i="9"/>
  <c r="BE57" i="9"/>
  <c r="BF57" i="9"/>
  <c r="BG57" i="9"/>
  <c r="BH57" i="9"/>
  <c r="BI57" i="9"/>
  <c r="BJ57" i="9"/>
  <c r="BK57" i="9"/>
  <c r="BL57" i="9"/>
  <c r="BM57" i="9"/>
  <c r="BN57" i="9"/>
  <c r="BO57" i="9"/>
  <c r="BP57" i="9"/>
  <c r="BQ57" i="9"/>
  <c r="BR57" i="9"/>
  <c r="BS57" i="9"/>
  <c r="BT57" i="9"/>
  <c r="BU57" i="9"/>
  <c r="BV57" i="9"/>
  <c r="BW57" i="9"/>
  <c r="BX57" i="9"/>
  <c r="BY57" i="9"/>
  <c r="BZ57" i="9"/>
  <c r="CA57" i="9"/>
  <c r="CB57" i="9"/>
  <c r="CC57" i="9"/>
  <c r="CD57" i="9"/>
  <c r="CE57" i="9"/>
  <c r="CF57" i="9"/>
  <c r="CG57" i="9"/>
  <c r="CH57" i="9"/>
  <c r="CI57" i="9"/>
  <c r="CJ57" i="9"/>
  <c r="CK57" i="9"/>
  <c r="CL57" i="9"/>
  <c r="CM57" i="9"/>
  <c r="CN57" i="9"/>
  <c r="CO57" i="9"/>
  <c r="CP57" i="9"/>
  <c r="CQ57" i="9"/>
  <c r="CR57" i="9"/>
  <c r="CS57" i="9"/>
  <c r="CT57" i="9"/>
  <c r="CU57" i="9"/>
  <c r="CV57" i="9"/>
  <c r="CW57" i="9"/>
  <c r="CX57" i="9"/>
  <c r="CY57" i="9"/>
  <c r="CZ57" i="9"/>
  <c r="DA57" i="9"/>
  <c r="DB57" i="9"/>
  <c r="DC57" i="9"/>
  <c r="DD57" i="9"/>
  <c r="DE57" i="9"/>
  <c r="DF57" i="9"/>
  <c r="DG57" i="9"/>
  <c r="DH57" i="9"/>
  <c r="DI57" i="9"/>
  <c r="DJ57" i="9"/>
  <c r="DK57" i="9"/>
  <c r="DL57" i="9"/>
  <c r="DM57" i="9"/>
  <c r="DN57" i="9"/>
  <c r="DO57" i="9"/>
  <c r="DP57" i="9"/>
  <c r="DQ57" i="9"/>
  <c r="DR57" i="9"/>
  <c r="DS57" i="9"/>
  <c r="DT57" i="9"/>
  <c r="DU57" i="9"/>
  <c r="DV57" i="9"/>
  <c r="DW57" i="9"/>
  <c r="DX57" i="9"/>
  <c r="DY57" i="9"/>
  <c r="DZ57" i="9"/>
  <c r="EA57" i="9"/>
  <c r="EB57" i="9"/>
  <c r="EC57" i="9"/>
  <c r="ED57" i="9"/>
  <c r="EE57" i="9"/>
  <c r="EF57" i="9"/>
  <c r="EG57" i="9"/>
  <c r="EH57" i="9"/>
  <c r="EI57" i="9"/>
  <c r="EJ57" i="9"/>
  <c r="EK57" i="9"/>
  <c r="EL57" i="9"/>
  <c r="EM57" i="9"/>
  <c r="EN57" i="9"/>
  <c r="EO57" i="9"/>
  <c r="EP57" i="9"/>
  <c r="EQ57" i="9"/>
  <c r="ER57" i="9"/>
  <c r="ES57" i="9"/>
  <c r="ET57" i="9"/>
  <c r="EU57" i="9"/>
  <c r="EV57" i="9"/>
  <c r="EW57" i="9"/>
  <c r="EX57" i="9"/>
  <c r="EY57" i="9"/>
  <c r="EZ57" i="9"/>
  <c r="FA57" i="9"/>
  <c r="FB57" i="9"/>
  <c r="FC57" i="9"/>
  <c r="FD57" i="9"/>
  <c r="FE57" i="9"/>
  <c r="FF57" i="9"/>
  <c r="FG57" i="9"/>
  <c r="FH57" i="9"/>
  <c r="FI57" i="9"/>
  <c r="FJ57" i="9"/>
  <c r="FK57" i="9"/>
  <c r="FL57" i="9"/>
  <c r="FM57" i="9"/>
  <c r="FN57" i="9"/>
  <c r="FO57" i="9"/>
  <c r="FP57" i="9"/>
  <c r="FQ57" i="9"/>
  <c r="FR57" i="9"/>
  <c r="FS57" i="9"/>
  <c r="FT57" i="9"/>
  <c r="FU57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AJ58" i="9"/>
  <c r="AK58" i="9"/>
  <c r="AL58" i="9"/>
  <c r="AM58" i="9"/>
  <c r="AN58" i="9"/>
  <c r="AO58" i="9"/>
  <c r="AP58" i="9"/>
  <c r="AQ58" i="9"/>
  <c r="AR58" i="9"/>
  <c r="AS58" i="9"/>
  <c r="AT58" i="9"/>
  <c r="AU58" i="9"/>
  <c r="AV58" i="9"/>
  <c r="AW58" i="9"/>
  <c r="AX58" i="9"/>
  <c r="AY58" i="9"/>
  <c r="AZ58" i="9"/>
  <c r="BA58" i="9"/>
  <c r="BB58" i="9"/>
  <c r="BC58" i="9"/>
  <c r="BD58" i="9"/>
  <c r="BE58" i="9"/>
  <c r="BF58" i="9"/>
  <c r="BG58" i="9"/>
  <c r="BH58" i="9"/>
  <c r="BI58" i="9"/>
  <c r="BJ58" i="9"/>
  <c r="BK58" i="9"/>
  <c r="BL58" i="9"/>
  <c r="BM58" i="9"/>
  <c r="BN58" i="9"/>
  <c r="BO58" i="9"/>
  <c r="BP58" i="9"/>
  <c r="BQ58" i="9"/>
  <c r="BR58" i="9"/>
  <c r="BS58" i="9"/>
  <c r="BT58" i="9"/>
  <c r="BU58" i="9"/>
  <c r="BV58" i="9"/>
  <c r="BW58" i="9"/>
  <c r="BX58" i="9"/>
  <c r="BY58" i="9"/>
  <c r="BZ58" i="9"/>
  <c r="CA58" i="9"/>
  <c r="CB58" i="9"/>
  <c r="CC58" i="9"/>
  <c r="CD58" i="9"/>
  <c r="CE58" i="9"/>
  <c r="CF58" i="9"/>
  <c r="CG58" i="9"/>
  <c r="CH58" i="9"/>
  <c r="CI58" i="9"/>
  <c r="CJ58" i="9"/>
  <c r="CK58" i="9"/>
  <c r="CL58" i="9"/>
  <c r="CM58" i="9"/>
  <c r="CN58" i="9"/>
  <c r="CO58" i="9"/>
  <c r="CP58" i="9"/>
  <c r="CQ58" i="9"/>
  <c r="CR58" i="9"/>
  <c r="CS58" i="9"/>
  <c r="CT58" i="9"/>
  <c r="CU58" i="9"/>
  <c r="CV58" i="9"/>
  <c r="CW58" i="9"/>
  <c r="CX58" i="9"/>
  <c r="CY58" i="9"/>
  <c r="CZ58" i="9"/>
  <c r="DA58" i="9"/>
  <c r="DB58" i="9"/>
  <c r="DC58" i="9"/>
  <c r="DD58" i="9"/>
  <c r="DE58" i="9"/>
  <c r="DF58" i="9"/>
  <c r="DG58" i="9"/>
  <c r="DH58" i="9"/>
  <c r="DI58" i="9"/>
  <c r="DJ58" i="9"/>
  <c r="DK58" i="9"/>
  <c r="DL58" i="9"/>
  <c r="DM58" i="9"/>
  <c r="DN58" i="9"/>
  <c r="DO58" i="9"/>
  <c r="DP58" i="9"/>
  <c r="DQ58" i="9"/>
  <c r="DR58" i="9"/>
  <c r="DS58" i="9"/>
  <c r="DT58" i="9"/>
  <c r="DU58" i="9"/>
  <c r="DV58" i="9"/>
  <c r="DW58" i="9"/>
  <c r="DX58" i="9"/>
  <c r="DY58" i="9"/>
  <c r="DZ58" i="9"/>
  <c r="EA58" i="9"/>
  <c r="EB58" i="9"/>
  <c r="EC58" i="9"/>
  <c r="ED58" i="9"/>
  <c r="EE58" i="9"/>
  <c r="EF58" i="9"/>
  <c r="EG58" i="9"/>
  <c r="EH58" i="9"/>
  <c r="EI58" i="9"/>
  <c r="EJ58" i="9"/>
  <c r="EK58" i="9"/>
  <c r="EL58" i="9"/>
  <c r="EM58" i="9"/>
  <c r="EN58" i="9"/>
  <c r="EO58" i="9"/>
  <c r="EP58" i="9"/>
  <c r="EQ58" i="9"/>
  <c r="ER58" i="9"/>
  <c r="ES58" i="9"/>
  <c r="ET58" i="9"/>
  <c r="EU58" i="9"/>
  <c r="EV58" i="9"/>
  <c r="EW58" i="9"/>
  <c r="EX58" i="9"/>
  <c r="EY58" i="9"/>
  <c r="EZ58" i="9"/>
  <c r="FA58" i="9"/>
  <c r="FB58" i="9"/>
  <c r="FC58" i="9"/>
  <c r="FD58" i="9"/>
  <c r="FE58" i="9"/>
  <c r="FF58" i="9"/>
  <c r="FG58" i="9"/>
  <c r="FH58" i="9"/>
  <c r="FI58" i="9"/>
  <c r="FJ58" i="9"/>
  <c r="FK58" i="9"/>
  <c r="FL58" i="9"/>
  <c r="FM58" i="9"/>
  <c r="FN58" i="9"/>
  <c r="FO58" i="9"/>
  <c r="FP58" i="9"/>
  <c r="FQ58" i="9"/>
  <c r="FR58" i="9"/>
  <c r="FS58" i="9"/>
  <c r="FT58" i="9"/>
  <c r="FU58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AG59" i="9"/>
  <c r="AH59" i="9"/>
  <c r="AI59" i="9"/>
  <c r="AJ59" i="9"/>
  <c r="AK59" i="9"/>
  <c r="AL59" i="9"/>
  <c r="AM59" i="9"/>
  <c r="AN59" i="9"/>
  <c r="AO59" i="9"/>
  <c r="AP59" i="9"/>
  <c r="AQ59" i="9"/>
  <c r="AR59" i="9"/>
  <c r="AS59" i="9"/>
  <c r="AT59" i="9"/>
  <c r="AU59" i="9"/>
  <c r="AV59" i="9"/>
  <c r="AW59" i="9"/>
  <c r="AX59" i="9"/>
  <c r="AY59" i="9"/>
  <c r="AZ59" i="9"/>
  <c r="BA59" i="9"/>
  <c r="BB59" i="9"/>
  <c r="BC59" i="9"/>
  <c r="BD59" i="9"/>
  <c r="BE59" i="9"/>
  <c r="BF59" i="9"/>
  <c r="BG59" i="9"/>
  <c r="BH59" i="9"/>
  <c r="BI59" i="9"/>
  <c r="BJ59" i="9"/>
  <c r="BK59" i="9"/>
  <c r="BL59" i="9"/>
  <c r="BM59" i="9"/>
  <c r="BN59" i="9"/>
  <c r="BO59" i="9"/>
  <c r="BP59" i="9"/>
  <c r="BQ59" i="9"/>
  <c r="BR59" i="9"/>
  <c r="BS59" i="9"/>
  <c r="BT59" i="9"/>
  <c r="BU59" i="9"/>
  <c r="BV59" i="9"/>
  <c r="BW59" i="9"/>
  <c r="BX59" i="9"/>
  <c r="BY59" i="9"/>
  <c r="BZ59" i="9"/>
  <c r="CA59" i="9"/>
  <c r="CB59" i="9"/>
  <c r="CC59" i="9"/>
  <c r="CD59" i="9"/>
  <c r="CE59" i="9"/>
  <c r="CF59" i="9"/>
  <c r="CG59" i="9"/>
  <c r="CH59" i="9"/>
  <c r="CI59" i="9"/>
  <c r="CJ59" i="9"/>
  <c r="CK59" i="9"/>
  <c r="CL59" i="9"/>
  <c r="CM59" i="9"/>
  <c r="CN59" i="9"/>
  <c r="CO59" i="9"/>
  <c r="CP59" i="9"/>
  <c r="CQ59" i="9"/>
  <c r="CR59" i="9"/>
  <c r="CS59" i="9"/>
  <c r="CT59" i="9"/>
  <c r="CU59" i="9"/>
  <c r="CV59" i="9"/>
  <c r="CW59" i="9"/>
  <c r="CX59" i="9"/>
  <c r="CY59" i="9"/>
  <c r="CZ59" i="9"/>
  <c r="DA59" i="9"/>
  <c r="DB59" i="9"/>
  <c r="DC59" i="9"/>
  <c r="DD59" i="9"/>
  <c r="DE59" i="9"/>
  <c r="DF59" i="9"/>
  <c r="DG59" i="9"/>
  <c r="DH59" i="9"/>
  <c r="DI59" i="9"/>
  <c r="DJ59" i="9"/>
  <c r="DK59" i="9"/>
  <c r="DL59" i="9"/>
  <c r="DM59" i="9"/>
  <c r="DN59" i="9"/>
  <c r="DO59" i="9"/>
  <c r="DP59" i="9"/>
  <c r="DQ59" i="9"/>
  <c r="DR59" i="9"/>
  <c r="DS59" i="9"/>
  <c r="DT59" i="9"/>
  <c r="DU59" i="9"/>
  <c r="DV59" i="9"/>
  <c r="DW59" i="9"/>
  <c r="DX59" i="9"/>
  <c r="DY59" i="9"/>
  <c r="DZ59" i="9"/>
  <c r="EA59" i="9"/>
  <c r="EB59" i="9"/>
  <c r="EC59" i="9"/>
  <c r="ED59" i="9"/>
  <c r="EE59" i="9"/>
  <c r="EF59" i="9"/>
  <c r="EG59" i="9"/>
  <c r="EH59" i="9"/>
  <c r="EI59" i="9"/>
  <c r="EJ59" i="9"/>
  <c r="EK59" i="9"/>
  <c r="EL59" i="9"/>
  <c r="EM59" i="9"/>
  <c r="EN59" i="9"/>
  <c r="EO59" i="9"/>
  <c r="EP59" i="9"/>
  <c r="EQ59" i="9"/>
  <c r="ER59" i="9"/>
  <c r="ES59" i="9"/>
  <c r="ET59" i="9"/>
  <c r="EU59" i="9"/>
  <c r="EV59" i="9"/>
  <c r="EW59" i="9"/>
  <c r="EX59" i="9"/>
  <c r="EY59" i="9"/>
  <c r="EZ59" i="9"/>
  <c r="FA59" i="9"/>
  <c r="FB59" i="9"/>
  <c r="FC59" i="9"/>
  <c r="FD59" i="9"/>
  <c r="FE59" i="9"/>
  <c r="FF59" i="9"/>
  <c r="FG59" i="9"/>
  <c r="FH59" i="9"/>
  <c r="FI59" i="9"/>
  <c r="FJ59" i="9"/>
  <c r="FK59" i="9"/>
  <c r="FL59" i="9"/>
  <c r="FM59" i="9"/>
  <c r="FN59" i="9"/>
  <c r="FO59" i="9"/>
  <c r="FP59" i="9"/>
  <c r="FQ59" i="9"/>
  <c r="FR59" i="9"/>
  <c r="FS59" i="9"/>
  <c r="FT59" i="9"/>
  <c r="FU59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AJ60" i="9"/>
  <c r="AK60" i="9"/>
  <c r="AL60" i="9"/>
  <c r="AM60" i="9"/>
  <c r="AN60" i="9"/>
  <c r="AO60" i="9"/>
  <c r="AP60" i="9"/>
  <c r="AQ60" i="9"/>
  <c r="AR60" i="9"/>
  <c r="AS60" i="9"/>
  <c r="AT60" i="9"/>
  <c r="AU60" i="9"/>
  <c r="AV60" i="9"/>
  <c r="AW60" i="9"/>
  <c r="AX60" i="9"/>
  <c r="AY60" i="9"/>
  <c r="AZ60" i="9"/>
  <c r="BA60" i="9"/>
  <c r="BB60" i="9"/>
  <c r="BC60" i="9"/>
  <c r="BD60" i="9"/>
  <c r="BE60" i="9"/>
  <c r="BF60" i="9"/>
  <c r="BG60" i="9"/>
  <c r="BH60" i="9"/>
  <c r="BI60" i="9"/>
  <c r="BJ60" i="9"/>
  <c r="BK60" i="9"/>
  <c r="BL60" i="9"/>
  <c r="BM60" i="9"/>
  <c r="BN60" i="9"/>
  <c r="BO60" i="9"/>
  <c r="BP60" i="9"/>
  <c r="BQ60" i="9"/>
  <c r="BR60" i="9"/>
  <c r="BS60" i="9"/>
  <c r="BT60" i="9"/>
  <c r="BU60" i="9"/>
  <c r="BV60" i="9"/>
  <c r="BW60" i="9"/>
  <c r="BX60" i="9"/>
  <c r="BY60" i="9"/>
  <c r="BZ60" i="9"/>
  <c r="CA60" i="9"/>
  <c r="CB60" i="9"/>
  <c r="CC60" i="9"/>
  <c r="CD60" i="9"/>
  <c r="CE60" i="9"/>
  <c r="CF60" i="9"/>
  <c r="CG60" i="9"/>
  <c r="CH60" i="9"/>
  <c r="CI60" i="9"/>
  <c r="CJ60" i="9"/>
  <c r="CK60" i="9"/>
  <c r="CL60" i="9"/>
  <c r="CM60" i="9"/>
  <c r="CN60" i="9"/>
  <c r="CO60" i="9"/>
  <c r="CP60" i="9"/>
  <c r="CQ60" i="9"/>
  <c r="CR60" i="9"/>
  <c r="CS60" i="9"/>
  <c r="CT60" i="9"/>
  <c r="CU60" i="9"/>
  <c r="CV60" i="9"/>
  <c r="CW60" i="9"/>
  <c r="CX60" i="9"/>
  <c r="CY60" i="9"/>
  <c r="CZ60" i="9"/>
  <c r="DA60" i="9"/>
  <c r="DB60" i="9"/>
  <c r="DC60" i="9"/>
  <c r="DD60" i="9"/>
  <c r="DE60" i="9"/>
  <c r="DF60" i="9"/>
  <c r="DG60" i="9"/>
  <c r="DH60" i="9"/>
  <c r="DI60" i="9"/>
  <c r="DJ60" i="9"/>
  <c r="DK60" i="9"/>
  <c r="DL60" i="9"/>
  <c r="DM60" i="9"/>
  <c r="DN60" i="9"/>
  <c r="DO60" i="9"/>
  <c r="DP60" i="9"/>
  <c r="DQ60" i="9"/>
  <c r="DR60" i="9"/>
  <c r="DS60" i="9"/>
  <c r="DT60" i="9"/>
  <c r="DU60" i="9"/>
  <c r="DV60" i="9"/>
  <c r="DW60" i="9"/>
  <c r="DX60" i="9"/>
  <c r="DY60" i="9"/>
  <c r="DZ60" i="9"/>
  <c r="EA60" i="9"/>
  <c r="EB60" i="9"/>
  <c r="EC60" i="9"/>
  <c r="ED60" i="9"/>
  <c r="EE60" i="9"/>
  <c r="EF60" i="9"/>
  <c r="EG60" i="9"/>
  <c r="EH60" i="9"/>
  <c r="EI60" i="9"/>
  <c r="EJ60" i="9"/>
  <c r="EK60" i="9"/>
  <c r="EL60" i="9"/>
  <c r="EM60" i="9"/>
  <c r="EN60" i="9"/>
  <c r="EO60" i="9"/>
  <c r="EP60" i="9"/>
  <c r="EQ60" i="9"/>
  <c r="ER60" i="9"/>
  <c r="ES60" i="9"/>
  <c r="ET60" i="9"/>
  <c r="EU60" i="9"/>
  <c r="EV60" i="9"/>
  <c r="EW60" i="9"/>
  <c r="EX60" i="9"/>
  <c r="EY60" i="9"/>
  <c r="EZ60" i="9"/>
  <c r="FA60" i="9"/>
  <c r="FB60" i="9"/>
  <c r="FC60" i="9"/>
  <c r="FD60" i="9"/>
  <c r="FE60" i="9"/>
  <c r="FF60" i="9"/>
  <c r="FG60" i="9"/>
  <c r="FH60" i="9"/>
  <c r="FI60" i="9"/>
  <c r="FJ60" i="9"/>
  <c r="FK60" i="9"/>
  <c r="FL60" i="9"/>
  <c r="FM60" i="9"/>
  <c r="FN60" i="9"/>
  <c r="FO60" i="9"/>
  <c r="FP60" i="9"/>
  <c r="FQ60" i="9"/>
  <c r="FR60" i="9"/>
  <c r="FS60" i="9"/>
  <c r="FT60" i="9"/>
  <c r="FU60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BN61" i="9"/>
  <c r="BO61" i="9"/>
  <c r="BP61" i="9"/>
  <c r="BQ61" i="9"/>
  <c r="BR61" i="9"/>
  <c r="BS61" i="9"/>
  <c r="BT61" i="9"/>
  <c r="BU61" i="9"/>
  <c r="BV61" i="9"/>
  <c r="BW61" i="9"/>
  <c r="BX61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CQ61" i="9"/>
  <c r="CR61" i="9"/>
  <c r="CS61" i="9"/>
  <c r="CT61" i="9"/>
  <c r="CU61" i="9"/>
  <c r="CV61" i="9"/>
  <c r="CW61" i="9"/>
  <c r="CX61" i="9"/>
  <c r="CY61" i="9"/>
  <c r="CZ61" i="9"/>
  <c r="DA61" i="9"/>
  <c r="DB61" i="9"/>
  <c r="DC61" i="9"/>
  <c r="DD61" i="9"/>
  <c r="DE61" i="9"/>
  <c r="DF61" i="9"/>
  <c r="DG61" i="9"/>
  <c r="DH61" i="9"/>
  <c r="DI61" i="9"/>
  <c r="DJ61" i="9"/>
  <c r="DK61" i="9"/>
  <c r="DL61" i="9"/>
  <c r="DM61" i="9"/>
  <c r="DN61" i="9"/>
  <c r="DO61" i="9"/>
  <c r="DP61" i="9"/>
  <c r="DQ61" i="9"/>
  <c r="DR61" i="9"/>
  <c r="DS61" i="9"/>
  <c r="DT61" i="9"/>
  <c r="DU61" i="9"/>
  <c r="DV61" i="9"/>
  <c r="DW61" i="9"/>
  <c r="DX61" i="9"/>
  <c r="DY61" i="9"/>
  <c r="DZ61" i="9"/>
  <c r="EA61" i="9"/>
  <c r="EB61" i="9"/>
  <c r="EC61" i="9"/>
  <c r="ED61" i="9"/>
  <c r="EE61" i="9"/>
  <c r="EF61" i="9"/>
  <c r="EG61" i="9"/>
  <c r="EH61" i="9"/>
  <c r="EI61" i="9"/>
  <c r="EJ61" i="9"/>
  <c r="EK61" i="9"/>
  <c r="EL61" i="9"/>
  <c r="EM61" i="9"/>
  <c r="EN61" i="9"/>
  <c r="EO61" i="9"/>
  <c r="EP61" i="9"/>
  <c r="EQ61" i="9"/>
  <c r="ER61" i="9"/>
  <c r="ES61" i="9"/>
  <c r="ET61" i="9"/>
  <c r="EU61" i="9"/>
  <c r="EV61" i="9"/>
  <c r="EW61" i="9"/>
  <c r="EX61" i="9"/>
  <c r="EY61" i="9"/>
  <c r="EZ61" i="9"/>
  <c r="FA61" i="9"/>
  <c r="FB61" i="9"/>
  <c r="FC61" i="9"/>
  <c r="FD61" i="9"/>
  <c r="FE61" i="9"/>
  <c r="FF61" i="9"/>
  <c r="FG61" i="9"/>
  <c r="FH61" i="9"/>
  <c r="FI61" i="9"/>
  <c r="FJ61" i="9"/>
  <c r="FK61" i="9"/>
  <c r="FL61" i="9"/>
  <c r="FM61" i="9"/>
  <c r="FN61" i="9"/>
  <c r="FO61" i="9"/>
  <c r="FP61" i="9"/>
  <c r="FQ61" i="9"/>
  <c r="FR61" i="9"/>
  <c r="FS61" i="9"/>
  <c r="FT61" i="9"/>
  <c r="FU61" i="9"/>
  <c r="F62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AJ62" i="9"/>
  <c r="AK62" i="9"/>
  <c r="AL62" i="9"/>
  <c r="AM62" i="9"/>
  <c r="AN62" i="9"/>
  <c r="AO62" i="9"/>
  <c r="AP62" i="9"/>
  <c r="AQ62" i="9"/>
  <c r="AR62" i="9"/>
  <c r="AS62" i="9"/>
  <c r="AT62" i="9"/>
  <c r="AU62" i="9"/>
  <c r="AV62" i="9"/>
  <c r="AW62" i="9"/>
  <c r="AX62" i="9"/>
  <c r="AY62" i="9"/>
  <c r="AZ62" i="9"/>
  <c r="BA62" i="9"/>
  <c r="BB62" i="9"/>
  <c r="BC62" i="9"/>
  <c r="BD62" i="9"/>
  <c r="BE62" i="9"/>
  <c r="BF62" i="9"/>
  <c r="BG62" i="9"/>
  <c r="BH62" i="9"/>
  <c r="BI62" i="9"/>
  <c r="BJ62" i="9"/>
  <c r="BK62" i="9"/>
  <c r="BL62" i="9"/>
  <c r="BM62" i="9"/>
  <c r="BN62" i="9"/>
  <c r="BO62" i="9"/>
  <c r="BP62" i="9"/>
  <c r="BQ62" i="9"/>
  <c r="BR62" i="9"/>
  <c r="BS62" i="9"/>
  <c r="BT62" i="9"/>
  <c r="BU62" i="9"/>
  <c r="BV62" i="9"/>
  <c r="BW62" i="9"/>
  <c r="BX62" i="9"/>
  <c r="BY62" i="9"/>
  <c r="BZ62" i="9"/>
  <c r="CA62" i="9"/>
  <c r="CB62" i="9"/>
  <c r="CC62" i="9"/>
  <c r="CD62" i="9"/>
  <c r="CE62" i="9"/>
  <c r="CF62" i="9"/>
  <c r="CG62" i="9"/>
  <c r="CH62" i="9"/>
  <c r="CI62" i="9"/>
  <c r="CJ62" i="9"/>
  <c r="CK62" i="9"/>
  <c r="CL62" i="9"/>
  <c r="CM62" i="9"/>
  <c r="CN62" i="9"/>
  <c r="CO62" i="9"/>
  <c r="CP62" i="9"/>
  <c r="CQ62" i="9"/>
  <c r="CR62" i="9"/>
  <c r="CS62" i="9"/>
  <c r="CT62" i="9"/>
  <c r="CU62" i="9"/>
  <c r="CV62" i="9"/>
  <c r="CW62" i="9"/>
  <c r="CX62" i="9"/>
  <c r="CY62" i="9"/>
  <c r="CZ62" i="9"/>
  <c r="DA62" i="9"/>
  <c r="DB62" i="9"/>
  <c r="DC62" i="9"/>
  <c r="DD62" i="9"/>
  <c r="DE62" i="9"/>
  <c r="DF62" i="9"/>
  <c r="DG62" i="9"/>
  <c r="DH62" i="9"/>
  <c r="DI62" i="9"/>
  <c r="DJ62" i="9"/>
  <c r="DK62" i="9"/>
  <c r="DL62" i="9"/>
  <c r="DM62" i="9"/>
  <c r="DN62" i="9"/>
  <c r="DO62" i="9"/>
  <c r="DP62" i="9"/>
  <c r="DQ62" i="9"/>
  <c r="DR62" i="9"/>
  <c r="DS62" i="9"/>
  <c r="DT62" i="9"/>
  <c r="DU62" i="9"/>
  <c r="DV62" i="9"/>
  <c r="DW62" i="9"/>
  <c r="DX62" i="9"/>
  <c r="DY62" i="9"/>
  <c r="DZ62" i="9"/>
  <c r="EA62" i="9"/>
  <c r="EB62" i="9"/>
  <c r="EC62" i="9"/>
  <c r="ED62" i="9"/>
  <c r="EE62" i="9"/>
  <c r="EF62" i="9"/>
  <c r="EG62" i="9"/>
  <c r="EH62" i="9"/>
  <c r="EI62" i="9"/>
  <c r="EJ62" i="9"/>
  <c r="EK62" i="9"/>
  <c r="EL62" i="9"/>
  <c r="EM62" i="9"/>
  <c r="EN62" i="9"/>
  <c r="EO62" i="9"/>
  <c r="EP62" i="9"/>
  <c r="EQ62" i="9"/>
  <c r="ER62" i="9"/>
  <c r="ES62" i="9"/>
  <c r="ET62" i="9"/>
  <c r="EU62" i="9"/>
  <c r="EV62" i="9"/>
  <c r="EW62" i="9"/>
  <c r="EX62" i="9"/>
  <c r="EY62" i="9"/>
  <c r="EZ62" i="9"/>
  <c r="FA62" i="9"/>
  <c r="FB62" i="9"/>
  <c r="FC62" i="9"/>
  <c r="FD62" i="9"/>
  <c r="FE62" i="9"/>
  <c r="FF62" i="9"/>
  <c r="FG62" i="9"/>
  <c r="FH62" i="9"/>
  <c r="FI62" i="9"/>
  <c r="FJ62" i="9"/>
  <c r="FK62" i="9"/>
  <c r="FL62" i="9"/>
  <c r="FM62" i="9"/>
  <c r="FN62" i="9"/>
  <c r="FO62" i="9"/>
  <c r="FP62" i="9"/>
  <c r="FQ62" i="9"/>
  <c r="FR62" i="9"/>
  <c r="FS62" i="9"/>
  <c r="FT62" i="9"/>
  <c r="FU62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M63" i="9"/>
  <c r="AN63" i="9"/>
  <c r="AO63" i="9"/>
  <c r="AP63" i="9"/>
  <c r="AQ63" i="9"/>
  <c r="AR63" i="9"/>
  <c r="AS63" i="9"/>
  <c r="AT63" i="9"/>
  <c r="AU63" i="9"/>
  <c r="AV63" i="9"/>
  <c r="AW63" i="9"/>
  <c r="AX63" i="9"/>
  <c r="AY63" i="9"/>
  <c r="AZ63" i="9"/>
  <c r="BA63" i="9"/>
  <c r="BB63" i="9"/>
  <c r="BC63" i="9"/>
  <c r="BD63" i="9"/>
  <c r="BE63" i="9"/>
  <c r="BF63" i="9"/>
  <c r="BG63" i="9"/>
  <c r="BH63" i="9"/>
  <c r="BI63" i="9"/>
  <c r="BJ63" i="9"/>
  <c r="BK63" i="9"/>
  <c r="BL63" i="9"/>
  <c r="BM63" i="9"/>
  <c r="BN63" i="9"/>
  <c r="BO63" i="9"/>
  <c r="BP63" i="9"/>
  <c r="BQ63" i="9"/>
  <c r="BR63" i="9"/>
  <c r="BS63" i="9"/>
  <c r="BT63" i="9"/>
  <c r="BU63" i="9"/>
  <c r="BV63" i="9"/>
  <c r="BW63" i="9"/>
  <c r="BX63" i="9"/>
  <c r="BY63" i="9"/>
  <c r="BZ63" i="9"/>
  <c r="CA63" i="9"/>
  <c r="CB63" i="9"/>
  <c r="CC63" i="9"/>
  <c r="CD63" i="9"/>
  <c r="CE63" i="9"/>
  <c r="CF63" i="9"/>
  <c r="CG63" i="9"/>
  <c r="CH63" i="9"/>
  <c r="CI63" i="9"/>
  <c r="CJ63" i="9"/>
  <c r="CK63" i="9"/>
  <c r="CL63" i="9"/>
  <c r="CM63" i="9"/>
  <c r="CN63" i="9"/>
  <c r="CO63" i="9"/>
  <c r="CP63" i="9"/>
  <c r="CQ63" i="9"/>
  <c r="CR63" i="9"/>
  <c r="CS63" i="9"/>
  <c r="CT63" i="9"/>
  <c r="CU63" i="9"/>
  <c r="CV63" i="9"/>
  <c r="CW63" i="9"/>
  <c r="CX63" i="9"/>
  <c r="CY63" i="9"/>
  <c r="CZ63" i="9"/>
  <c r="DA63" i="9"/>
  <c r="DB63" i="9"/>
  <c r="DC63" i="9"/>
  <c r="DD63" i="9"/>
  <c r="DE63" i="9"/>
  <c r="DF63" i="9"/>
  <c r="DG63" i="9"/>
  <c r="DH63" i="9"/>
  <c r="DI63" i="9"/>
  <c r="DJ63" i="9"/>
  <c r="DK63" i="9"/>
  <c r="DL63" i="9"/>
  <c r="DM63" i="9"/>
  <c r="DN63" i="9"/>
  <c r="DO63" i="9"/>
  <c r="DP63" i="9"/>
  <c r="DQ63" i="9"/>
  <c r="DR63" i="9"/>
  <c r="DS63" i="9"/>
  <c r="DT63" i="9"/>
  <c r="DU63" i="9"/>
  <c r="DV63" i="9"/>
  <c r="DW63" i="9"/>
  <c r="DX63" i="9"/>
  <c r="DY63" i="9"/>
  <c r="DZ63" i="9"/>
  <c r="EA63" i="9"/>
  <c r="EB63" i="9"/>
  <c r="EC63" i="9"/>
  <c r="ED63" i="9"/>
  <c r="EE63" i="9"/>
  <c r="EF63" i="9"/>
  <c r="EG63" i="9"/>
  <c r="EH63" i="9"/>
  <c r="EI63" i="9"/>
  <c r="EJ63" i="9"/>
  <c r="EK63" i="9"/>
  <c r="EL63" i="9"/>
  <c r="EM63" i="9"/>
  <c r="EN63" i="9"/>
  <c r="EO63" i="9"/>
  <c r="EP63" i="9"/>
  <c r="EQ63" i="9"/>
  <c r="ER63" i="9"/>
  <c r="ES63" i="9"/>
  <c r="ET63" i="9"/>
  <c r="EU63" i="9"/>
  <c r="EV63" i="9"/>
  <c r="EW63" i="9"/>
  <c r="EX63" i="9"/>
  <c r="EY63" i="9"/>
  <c r="EZ63" i="9"/>
  <c r="FA63" i="9"/>
  <c r="FB63" i="9"/>
  <c r="FC63" i="9"/>
  <c r="FD63" i="9"/>
  <c r="FE63" i="9"/>
  <c r="FF63" i="9"/>
  <c r="FG63" i="9"/>
  <c r="FH63" i="9"/>
  <c r="FI63" i="9"/>
  <c r="FJ63" i="9"/>
  <c r="FK63" i="9"/>
  <c r="FL63" i="9"/>
  <c r="FM63" i="9"/>
  <c r="FN63" i="9"/>
  <c r="FO63" i="9"/>
  <c r="FP63" i="9"/>
  <c r="FQ63" i="9"/>
  <c r="FR63" i="9"/>
  <c r="FS63" i="9"/>
  <c r="FT63" i="9"/>
  <c r="FU63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AK64" i="9"/>
  <c r="AL64" i="9"/>
  <c r="AM64" i="9"/>
  <c r="AN64" i="9"/>
  <c r="AO64" i="9"/>
  <c r="AP64" i="9"/>
  <c r="AQ64" i="9"/>
  <c r="AR64" i="9"/>
  <c r="AS64" i="9"/>
  <c r="AT64" i="9"/>
  <c r="AU64" i="9"/>
  <c r="AV64" i="9"/>
  <c r="AW64" i="9"/>
  <c r="AX64" i="9"/>
  <c r="AY64" i="9"/>
  <c r="AZ64" i="9"/>
  <c r="BA64" i="9"/>
  <c r="BB64" i="9"/>
  <c r="BC64" i="9"/>
  <c r="BD64" i="9"/>
  <c r="BE64" i="9"/>
  <c r="BF64" i="9"/>
  <c r="BG64" i="9"/>
  <c r="BH64" i="9"/>
  <c r="BI64" i="9"/>
  <c r="BJ64" i="9"/>
  <c r="BK64" i="9"/>
  <c r="BL64" i="9"/>
  <c r="BM64" i="9"/>
  <c r="BN64" i="9"/>
  <c r="BO64" i="9"/>
  <c r="BP64" i="9"/>
  <c r="BQ64" i="9"/>
  <c r="BR64" i="9"/>
  <c r="BS64" i="9"/>
  <c r="BT64" i="9"/>
  <c r="BU64" i="9"/>
  <c r="BV64" i="9"/>
  <c r="BW64" i="9"/>
  <c r="BX64" i="9"/>
  <c r="BY64" i="9"/>
  <c r="BZ64" i="9"/>
  <c r="CA64" i="9"/>
  <c r="CB64" i="9"/>
  <c r="CC64" i="9"/>
  <c r="CD64" i="9"/>
  <c r="CE64" i="9"/>
  <c r="CF64" i="9"/>
  <c r="CG64" i="9"/>
  <c r="CH64" i="9"/>
  <c r="CI64" i="9"/>
  <c r="CJ64" i="9"/>
  <c r="CK64" i="9"/>
  <c r="CL64" i="9"/>
  <c r="CM64" i="9"/>
  <c r="CN64" i="9"/>
  <c r="CO64" i="9"/>
  <c r="CP64" i="9"/>
  <c r="CQ64" i="9"/>
  <c r="CR64" i="9"/>
  <c r="CS64" i="9"/>
  <c r="CT64" i="9"/>
  <c r="CU64" i="9"/>
  <c r="CV64" i="9"/>
  <c r="CW64" i="9"/>
  <c r="CX64" i="9"/>
  <c r="CY64" i="9"/>
  <c r="CZ64" i="9"/>
  <c r="DA64" i="9"/>
  <c r="DB64" i="9"/>
  <c r="DC64" i="9"/>
  <c r="DD64" i="9"/>
  <c r="DE64" i="9"/>
  <c r="DF64" i="9"/>
  <c r="DG64" i="9"/>
  <c r="DH64" i="9"/>
  <c r="DI64" i="9"/>
  <c r="DJ64" i="9"/>
  <c r="DK64" i="9"/>
  <c r="DL64" i="9"/>
  <c r="DM64" i="9"/>
  <c r="DN64" i="9"/>
  <c r="DO64" i="9"/>
  <c r="DP64" i="9"/>
  <c r="DQ64" i="9"/>
  <c r="DR64" i="9"/>
  <c r="DS64" i="9"/>
  <c r="DT64" i="9"/>
  <c r="DU64" i="9"/>
  <c r="DV64" i="9"/>
  <c r="DW64" i="9"/>
  <c r="DX64" i="9"/>
  <c r="DY64" i="9"/>
  <c r="DZ64" i="9"/>
  <c r="EA64" i="9"/>
  <c r="EB64" i="9"/>
  <c r="EC64" i="9"/>
  <c r="ED64" i="9"/>
  <c r="EE64" i="9"/>
  <c r="EF64" i="9"/>
  <c r="EG64" i="9"/>
  <c r="EH64" i="9"/>
  <c r="EI64" i="9"/>
  <c r="EJ64" i="9"/>
  <c r="EK64" i="9"/>
  <c r="EL64" i="9"/>
  <c r="EM64" i="9"/>
  <c r="EN64" i="9"/>
  <c r="EO64" i="9"/>
  <c r="EP64" i="9"/>
  <c r="EQ64" i="9"/>
  <c r="ER64" i="9"/>
  <c r="ES64" i="9"/>
  <c r="ET64" i="9"/>
  <c r="EU64" i="9"/>
  <c r="EV64" i="9"/>
  <c r="EW64" i="9"/>
  <c r="EX64" i="9"/>
  <c r="EY64" i="9"/>
  <c r="EZ64" i="9"/>
  <c r="FA64" i="9"/>
  <c r="FB64" i="9"/>
  <c r="FC64" i="9"/>
  <c r="FD64" i="9"/>
  <c r="FE64" i="9"/>
  <c r="FF64" i="9"/>
  <c r="FG64" i="9"/>
  <c r="FH64" i="9"/>
  <c r="FI64" i="9"/>
  <c r="FJ64" i="9"/>
  <c r="FK64" i="9"/>
  <c r="FL64" i="9"/>
  <c r="FM64" i="9"/>
  <c r="FN64" i="9"/>
  <c r="FO64" i="9"/>
  <c r="FP64" i="9"/>
  <c r="FQ64" i="9"/>
  <c r="FR64" i="9"/>
  <c r="FS64" i="9"/>
  <c r="FT64" i="9"/>
  <c r="FU64" i="9"/>
  <c r="F65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AK65" i="9"/>
  <c r="AL65" i="9"/>
  <c r="AM65" i="9"/>
  <c r="AN65" i="9"/>
  <c r="AO65" i="9"/>
  <c r="AP65" i="9"/>
  <c r="AQ65" i="9"/>
  <c r="AR65" i="9"/>
  <c r="AS65" i="9"/>
  <c r="AT65" i="9"/>
  <c r="AU65" i="9"/>
  <c r="AV65" i="9"/>
  <c r="AW65" i="9"/>
  <c r="AX65" i="9"/>
  <c r="AY65" i="9"/>
  <c r="AZ65" i="9"/>
  <c r="BA65" i="9"/>
  <c r="BB65" i="9"/>
  <c r="BC65" i="9"/>
  <c r="BD65" i="9"/>
  <c r="BE65" i="9"/>
  <c r="BF65" i="9"/>
  <c r="BG65" i="9"/>
  <c r="BH65" i="9"/>
  <c r="BI65" i="9"/>
  <c r="BJ65" i="9"/>
  <c r="BK65" i="9"/>
  <c r="BL65" i="9"/>
  <c r="BM65" i="9"/>
  <c r="BN65" i="9"/>
  <c r="BO65" i="9"/>
  <c r="BP65" i="9"/>
  <c r="BQ65" i="9"/>
  <c r="BR65" i="9"/>
  <c r="BS65" i="9"/>
  <c r="BT65" i="9"/>
  <c r="BU65" i="9"/>
  <c r="BV65" i="9"/>
  <c r="BW65" i="9"/>
  <c r="BX65" i="9"/>
  <c r="BY65" i="9"/>
  <c r="BZ65" i="9"/>
  <c r="CA65" i="9"/>
  <c r="CB65" i="9"/>
  <c r="CC65" i="9"/>
  <c r="CD65" i="9"/>
  <c r="CE65" i="9"/>
  <c r="CF65" i="9"/>
  <c r="CG65" i="9"/>
  <c r="CH65" i="9"/>
  <c r="CI65" i="9"/>
  <c r="CJ65" i="9"/>
  <c r="CK65" i="9"/>
  <c r="CL65" i="9"/>
  <c r="CM65" i="9"/>
  <c r="CN65" i="9"/>
  <c r="CO65" i="9"/>
  <c r="CP65" i="9"/>
  <c r="CQ65" i="9"/>
  <c r="CR65" i="9"/>
  <c r="CS65" i="9"/>
  <c r="CT65" i="9"/>
  <c r="CU65" i="9"/>
  <c r="CV65" i="9"/>
  <c r="CW65" i="9"/>
  <c r="CX65" i="9"/>
  <c r="CY65" i="9"/>
  <c r="CZ65" i="9"/>
  <c r="DA65" i="9"/>
  <c r="DB65" i="9"/>
  <c r="DC65" i="9"/>
  <c r="DD65" i="9"/>
  <c r="DE65" i="9"/>
  <c r="DF65" i="9"/>
  <c r="DG65" i="9"/>
  <c r="DH65" i="9"/>
  <c r="DI65" i="9"/>
  <c r="DJ65" i="9"/>
  <c r="DK65" i="9"/>
  <c r="DL65" i="9"/>
  <c r="DM65" i="9"/>
  <c r="DN65" i="9"/>
  <c r="DO65" i="9"/>
  <c r="DP65" i="9"/>
  <c r="DQ65" i="9"/>
  <c r="DR65" i="9"/>
  <c r="DS65" i="9"/>
  <c r="DT65" i="9"/>
  <c r="DU65" i="9"/>
  <c r="DV65" i="9"/>
  <c r="DW65" i="9"/>
  <c r="DX65" i="9"/>
  <c r="DY65" i="9"/>
  <c r="DZ65" i="9"/>
  <c r="EA65" i="9"/>
  <c r="EB65" i="9"/>
  <c r="EC65" i="9"/>
  <c r="ED65" i="9"/>
  <c r="EE65" i="9"/>
  <c r="EF65" i="9"/>
  <c r="EG65" i="9"/>
  <c r="EH65" i="9"/>
  <c r="EI65" i="9"/>
  <c r="EJ65" i="9"/>
  <c r="EK65" i="9"/>
  <c r="EL65" i="9"/>
  <c r="EM65" i="9"/>
  <c r="EN65" i="9"/>
  <c r="EO65" i="9"/>
  <c r="EP65" i="9"/>
  <c r="EQ65" i="9"/>
  <c r="ER65" i="9"/>
  <c r="ES65" i="9"/>
  <c r="ET65" i="9"/>
  <c r="EU65" i="9"/>
  <c r="EV65" i="9"/>
  <c r="EW65" i="9"/>
  <c r="EX65" i="9"/>
  <c r="EY65" i="9"/>
  <c r="EZ65" i="9"/>
  <c r="FA65" i="9"/>
  <c r="FB65" i="9"/>
  <c r="FC65" i="9"/>
  <c r="FD65" i="9"/>
  <c r="FE65" i="9"/>
  <c r="FF65" i="9"/>
  <c r="FG65" i="9"/>
  <c r="FH65" i="9"/>
  <c r="FI65" i="9"/>
  <c r="FJ65" i="9"/>
  <c r="FK65" i="9"/>
  <c r="FL65" i="9"/>
  <c r="FM65" i="9"/>
  <c r="FN65" i="9"/>
  <c r="FO65" i="9"/>
  <c r="FP65" i="9"/>
  <c r="FQ65" i="9"/>
  <c r="FR65" i="9"/>
  <c r="FS65" i="9"/>
  <c r="FT65" i="9"/>
  <c r="FU65" i="9"/>
  <c r="F6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AJ66" i="9"/>
  <c r="AK66" i="9"/>
  <c r="AL66" i="9"/>
  <c r="AM66" i="9"/>
  <c r="AN66" i="9"/>
  <c r="AO66" i="9"/>
  <c r="AP66" i="9"/>
  <c r="AQ66" i="9"/>
  <c r="AR66" i="9"/>
  <c r="AS66" i="9"/>
  <c r="AT66" i="9"/>
  <c r="AU66" i="9"/>
  <c r="AV66" i="9"/>
  <c r="AW66" i="9"/>
  <c r="AX66" i="9"/>
  <c r="AY66" i="9"/>
  <c r="AZ66" i="9"/>
  <c r="BA66" i="9"/>
  <c r="BB66" i="9"/>
  <c r="BC66" i="9"/>
  <c r="BD66" i="9"/>
  <c r="BE66" i="9"/>
  <c r="BF66" i="9"/>
  <c r="BG66" i="9"/>
  <c r="BH66" i="9"/>
  <c r="BI66" i="9"/>
  <c r="BJ66" i="9"/>
  <c r="BK66" i="9"/>
  <c r="BL66" i="9"/>
  <c r="BM66" i="9"/>
  <c r="BN66" i="9"/>
  <c r="BO66" i="9"/>
  <c r="BP66" i="9"/>
  <c r="BQ66" i="9"/>
  <c r="BR66" i="9"/>
  <c r="BS66" i="9"/>
  <c r="BT66" i="9"/>
  <c r="BU66" i="9"/>
  <c r="BV66" i="9"/>
  <c r="BW66" i="9"/>
  <c r="BX66" i="9"/>
  <c r="BY66" i="9"/>
  <c r="BZ66" i="9"/>
  <c r="CA66" i="9"/>
  <c r="CB66" i="9"/>
  <c r="CC66" i="9"/>
  <c r="CD66" i="9"/>
  <c r="CE66" i="9"/>
  <c r="CF66" i="9"/>
  <c r="CG66" i="9"/>
  <c r="CH66" i="9"/>
  <c r="CI66" i="9"/>
  <c r="CJ66" i="9"/>
  <c r="CK66" i="9"/>
  <c r="CL66" i="9"/>
  <c r="CM66" i="9"/>
  <c r="CN66" i="9"/>
  <c r="CO66" i="9"/>
  <c r="CP66" i="9"/>
  <c r="CQ66" i="9"/>
  <c r="CR66" i="9"/>
  <c r="CS66" i="9"/>
  <c r="CT66" i="9"/>
  <c r="CU66" i="9"/>
  <c r="CV66" i="9"/>
  <c r="CW66" i="9"/>
  <c r="CX66" i="9"/>
  <c r="CY66" i="9"/>
  <c r="CZ66" i="9"/>
  <c r="DA66" i="9"/>
  <c r="DB66" i="9"/>
  <c r="DC66" i="9"/>
  <c r="DD66" i="9"/>
  <c r="DE66" i="9"/>
  <c r="DF66" i="9"/>
  <c r="DG66" i="9"/>
  <c r="DH66" i="9"/>
  <c r="DI66" i="9"/>
  <c r="DJ66" i="9"/>
  <c r="DK66" i="9"/>
  <c r="DL66" i="9"/>
  <c r="DM66" i="9"/>
  <c r="DN66" i="9"/>
  <c r="DO66" i="9"/>
  <c r="DP66" i="9"/>
  <c r="DQ66" i="9"/>
  <c r="DR66" i="9"/>
  <c r="DS66" i="9"/>
  <c r="DT66" i="9"/>
  <c r="DU66" i="9"/>
  <c r="DV66" i="9"/>
  <c r="DW66" i="9"/>
  <c r="DX66" i="9"/>
  <c r="DY66" i="9"/>
  <c r="DZ66" i="9"/>
  <c r="EA66" i="9"/>
  <c r="EB66" i="9"/>
  <c r="EC66" i="9"/>
  <c r="ED66" i="9"/>
  <c r="EE66" i="9"/>
  <c r="EF66" i="9"/>
  <c r="EG66" i="9"/>
  <c r="EH66" i="9"/>
  <c r="EI66" i="9"/>
  <c r="EJ66" i="9"/>
  <c r="EK66" i="9"/>
  <c r="EL66" i="9"/>
  <c r="EM66" i="9"/>
  <c r="EN66" i="9"/>
  <c r="EO66" i="9"/>
  <c r="EP66" i="9"/>
  <c r="EQ66" i="9"/>
  <c r="ER66" i="9"/>
  <c r="ES66" i="9"/>
  <c r="ET66" i="9"/>
  <c r="EU66" i="9"/>
  <c r="EV66" i="9"/>
  <c r="EW66" i="9"/>
  <c r="EX66" i="9"/>
  <c r="EY66" i="9"/>
  <c r="EZ66" i="9"/>
  <c r="FA66" i="9"/>
  <c r="FB66" i="9"/>
  <c r="FC66" i="9"/>
  <c r="FD66" i="9"/>
  <c r="FE66" i="9"/>
  <c r="FF66" i="9"/>
  <c r="FG66" i="9"/>
  <c r="FH66" i="9"/>
  <c r="FI66" i="9"/>
  <c r="FJ66" i="9"/>
  <c r="FK66" i="9"/>
  <c r="FL66" i="9"/>
  <c r="FM66" i="9"/>
  <c r="FN66" i="9"/>
  <c r="FO66" i="9"/>
  <c r="FP66" i="9"/>
  <c r="FQ66" i="9"/>
  <c r="FR66" i="9"/>
  <c r="FS66" i="9"/>
  <c r="FT66" i="9"/>
  <c r="FU66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AM67" i="9"/>
  <c r="AN67" i="9"/>
  <c r="AO67" i="9"/>
  <c r="AP67" i="9"/>
  <c r="AQ67" i="9"/>
  <c r="AR67" i="9"/>
  <c r="AS67" i="9"/>
  <c r="AT67" i="9"/>
  <c r="AU67" i="9"/>
  <c r="AV67" i="9"/>
  <c r="AW67" i="9"/>
  <c r="AX67" i="9"/>
  <c r="AY67" i="9"/>
  <c r="AZ67" i="9"/>
  <c r="BA67" i="9"/>
  <c r="BB67" i="9"/>
  <c r="BC67" i="9"/>
  <c r="BD67" i="9"/>
  <c r="BE67" i="9"/>
  <c r="BF67" i="9"/>
  <c r="BG67" i="9"/>
  <c r="BH67" i="9"/>
  <c r="BI67" i="9"/>
  <c r="BJ67" i="9"/>
  <c r="BK67" i="9"/>
  <c r="BL67" i="9"/>
  <c r="BM67" i="9"/>
  <c r="BN67" i="9"/>
  <c r="BO67" i="9"/>
  <c r="BP67" i="9"/>
  <c r="BQ67" i="9"/>
  <c r="BR67" i="9"/>
  <c r="BS67" i="9"/>
  <c r="BT67" i="9"/>
  <c r="BU67" i="9"/>
  <c r="BV67" i="9"/>
  <c r="BW67" i="9"/>
  <c r="BX67" i="9"/>
  <c r="BY67" i="9"/>
  <c r="BZ67" i="9"/>
  <c r="CA67" i="9"/>
  <c r="CB67" i="9"/>
  <c r="CC67" i="9"/>
  <c r="CD67" i="9"/>
  <c r="CE67" i="9"/>
  <c r="CF67" i="9"/>
  <c r="CG67" i="9"/>
  <c r="CH67" i="9"/>
  <c r="CI67" i="9"/>
  <c r="CJ67" i="9"/>
  <c r="CK67" i="9"/>
  <c r="CL67" i="9"/>
  <c r="CM67" i="9"/>
  <c r="CN67" i="9"/>
  <c r="CO67" i="9"/>
  <c r="CP67" i="9"/>
  <c r="CQ67" i="9"/>
  <c r="CR67" i="9"/>
  <c r="CS67" i="9"/>
  <c r="CT67" i="9"/>
  <c r="CU67" i="9"/>
  <c r="CV67" i="9"/>
  <c r="CW67" i="9"/>
  <c r="CX67" i="9"/>
  <c r="CY67" i="9"/>
  <c r="CZ67" i="9"/>
  <c r="DA67" i="9"/>
  <c r="DB67" i="9"/>
  <c r="DC67" i="9"/>
  <c r="DD67" i="9"/>
  <c r="DE67" i="9"/>
  <c r="DF67" i="9"/>
  <c r="DG67" i="9"/>
  <c r="DH67" i="9"/>
  <c r="DI67" i="9"/>
  <c r="DJ67" i="9"/>
  <c r="DK67" i="9"/>
  <c r="DL67" i="9"/>
  <c r="DM67" i="9"/>
  <c r="DN67" i="9"/>
  <c r="DO67" i="9"/>
  <c r="DP67" i="9"/>
  <c r="DQ67" i="9"/>
  <c r="DR67" i="9"/>
  <c r="DS67" i="9"/>
  <c r="DT67" i="9"/>
  <c r="DU67" i="9"/>
  <c r="DV67" i="9"/>
  <c r="DW67" i="9"/>
  <c r="DX67" i="9"/>
  <c r="DY67" i="9"/>
  <c r="DZ67" i="9"/>
  <c r="EA67" i="9"/>
  <c r="EB67" i="9"/>
  <c r="EC67" i="9"/>
  <c r="ED67" i="9"/>
  <c r="EE67" i="9"/>
  <c r="EF67" i="9"/>
  <c r="EG67" i="9"/>
  <c r="EH67" i="9"/>
  <c r="EI67" i="9"/>
  <c r="EJ67" i="9"/>
  <c r="EK67" i="9"/>
  <c r="EL67" i="9"/>
  <c r="EM67" i="9"/>
  <c r="EN67" i="9"/>
  <c r="EO67" i="9"/>
  <c r="EP67" i="9"/>
  <c r="EQ67" i="9"/>
  <c r="ER67" i="9"/>
  <c r="ES67" i="9"/>
  <c r="ET67" i="9"/>
  <c r="EU67" i="9"/>
  <c r="EV67" i="9"/>
  <c r="EW67" i="9"/>
  <c r="EX67" i="9"/>
  <c r="EY67" i="9"/>
  <c r="EZ67" i="9"/>
  <c r="FA67" i="9"/>
  <c r="FB67" i="9"/>
  <c r="FC67" i="9"/>
  <c r="FD67" i="9"/>
  <c r="FE67" i="9"/>
  <c r="FF67" i="9"/>
  <c r="FG67" i="9"/>
  <c r="FH67" i="9"/>
  <c r="FI67" i="9"/>
  <c r="FJ67" i="9"/>
  <c r="FK67" i="9"/>
  <c r="FL67" i="9"/>
  <c r="FM67" i="9"/>
  <c r="FN67" i="9"/>
  <c r="FO67" i="9"/>
  <c r="FP67" i="9"/>
  <c r="FQ67" i="9"/>
  <c r="FR67" i="9"/>
  <c r="FS67" i="9"/>
  <c r="FT67" i="9"/>
  <c r="FU67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AJ68" i="9"/>
  <c r="AK68" i="9"/>
  <c r="AL68" i="9"/>
  <c r="AM68" i="9"/>
  <c r="AN68" i="9"/>
  <c r="AO68" i="9"/>
  <c r="AP68" i="9"/>
  <c r="AQ68" i="9"/>
  <c r="AR68" i="9"/>
  <c r="AS68" i="9"/>
  <c r="AT68" i="9"/>
  <c r="AU68" i="9"/>
  <c r="AV68" i="9"/>
  <c r="AW68" i="9"/>
  <c r="AX68" i="9"/>
  <c r="AY68" i="9"/>
  <c r="AZ68" i="9"/>
  <c r="BA68" i="9"/>
  <c r="BB68" i="9"/>
  <c r="BC68" i="9"/>
  <c r="BD68" i="9"/>
  <c r="BE68" i="9"/>
  <c r="BF68" i="9"/>
  <c r="BG68" i="9"/>
  <c r="BH68" i="9"/>
  <c r="BI68" i="9"/>
  <c r="BJ68" i="9"/>
  <c r="BK68" i="9"/>
  <c r="BL68" i="9"/>
  <c r="BM68" i="9"/>
  <c r="BN68" i="9"/>
  <c r="BO68" i="9"/>
  <c r="BP68" i="9"/>
  <c r="BQ68" i="9"/>
  <c r="BR68" i="9"/>
  <c r="BS68" i="9"/>
  <c r="BT68" i="9"/>
  <c r="BU68" i="9"/>
  <c r="BV68" i="9"/>
  <c r="BW68" i="9"/>
  <c r="BX68" i="9"/>
  <c r="BY68" i="9"/>
  <c r="BZ68" i="9"/>
  <c r="CA68" i="9"/>
  <c r="CB68" i="9"/>
  <c r="CC68" i="9"/>
  <c r="CD68" i="9"/>
  <c r="CE68" i="9"/>
  <c r="CF68" i="9"/>
  <c r="CG68" i="9"/>
  <c r="CH68" i="9"/>
  <c r="CI68" i="9"/>
  <c r="CJ68" i="9"/>
  <c r="CK68" i="9"/>
  <c r="CL68" i="9"/>
  <c r="CM68" i="9"/>
  <c r="CN68" i="9"/>
  <c r="CO68" i="9"/>
  <c r="CP68" i="9"/>
  <c r="CQ68" i="9"/>
  <c r="CR68" i="9"/>
  <c r="CS68" i="9"/>
  <c r="CT68" i="9"/>
  <c r="CU68" i="9"/>
  <c r="CV68" i="9"/>
  <c r="CW68" i="9"/>
  <c r="CX68" i="9"/>
  <c r="CY68" i="9"/>
  <c r="CZ68" i="9"/>
  <c r="DA68" i="9"/>
  <c r="DB68" i="9"/>
  <c r="DC68" i="9"/>
  <c r="DD68" i="9"/>
  <c r="DE68" i="9"/>
  <c r="DF68" i="9"/>
  <c r="DG68" i="9"/>
  <c r="DH68" i="9"/>
  <c r="DI68" i="9"/>
  <c r="DJ68" i="9"/>
  <c r="DK68" i="9"/>
  <c r="DL68" i="9"/>
  <c r="DM68" i="9"/>
  <c r="DN68" i="9"/>
  <c r="DO68" i="9"/>
  <c r="DP68" i="9"/>
  <c r="DQ68" i="9"/>
  <c r="DR68" i="9"/>
  <c r="DS68" i="9"/>
  <c r="DT68" i="9"/>
  <c r="DU68" i="9"/>
  <c r="DV68" i="9"/>
  <c r="DW68" i="9"/>
  <c r="DX68" i="9"/>
  <c r="DY68" i="9"/>
  <c r="DZ68" i="9"/>
  <c r="EA68" i="9"/>
  <c r="EB68" i="9"/>
  <c r="EC68" i="9"/>
  <c r="ED68" i="9"/>
  <c r="EE68" i="9"/>
  <c r="EF68" i="9"/>
  <c r="EG68" i="9"/>
  <c r="EH68" i="9"/>
  <c r="EI68" i="9"/>
  <c r="EJ68" i="9"/>
  <c r="EK68" i="9"/>
  <c r="EL68" i="9"/>
  <c r="EM68" i="9"/>
  <c r="EN68" i="9"/>
  <c r="EO68" i="9"/>
  <c r="EP68" i="9"/>
  <c r="EQ68" i="9"/>
  <c r="ER68" i="9"/>
  <c r="ES68" i="9"/>
  <c r="ET68" i="9"/>
  <c r="EU68" i="9"/>
  <c r="EV68" i="9"/>
  <c r="EW68" i="9"/>
  <c r="EX68" i="9"/>
  <c r="EY68" i="9"/>
  <c r="EZ68" i="9"/>
  <c r="FA68" i="9"/>
  <c r="FB68" i="9"/>
  <c r="FC68" i="9"/>
  <c r="FD68" i="9"/>
  <c r="FE68" i="9"/>
  <c r="FF68" i="9"/>
  <c r="FG68" i="9"/>
  <c r="FH68" i="9"/>
  <c r="FI68" i="9"/>
  <c r="FJ68" i="9"/>
  <c r="FK68" i="9"/>
  <c r="FL68" i="9"/>
  <c r="FM68" i="9"/>
  <c r="FN68" i="9"/>
  <c r="FO68" i="9"/>
  <c r="FP68" i="9"/>
  <c r="FQ68" i="9"/>
  <c r="FR68" i="9"/>
  <c r="FS68" i="9"/>
  <c r="FT68" i="9"/>
  <c r="FU68" i="9"/>
  <c r="F69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AJ69" i="9"/>
  <c r="AK69" i="9"/>
  <c r="AL69" i="9"/>
  <c r="AM69" i="9"/>
  <c r="AN69" i="9"/>
  <c r="AO69" i="9"/>
  <c r="AP69" i="9"/>
  <c r="AQ69" i="9"/>
  <c r="AR69" i="9"/>
  <c r="AS69" i="9"/>
  <c r="AT69" i="9"/>
  <c r="AU69" i="9"/>
  <c r="AV69" i="9"/>
  <c r="AW69" i="9"/>
  <c r="AX69" i="9"/>
  <c r="AY69" i="9"/>
  <c r="AZ69" i="9"/>
  <c r="BA69" i="9"/>
  <c r="BB69" i="9"/>
  <c r="BC69" i="9"/>
  <c r="BD69" i="9"/>
  <c r="BE69" i="9"/>
  <c r="BF69" i="9"/>
  <c r="BG69" i="9"/>
  <c r="BH69" i="9"/>
  <c r="BI69" i="9"/>
  <c r="BJ69" i="9"/>
  <c r="BK69" i="9"/>
  <c r="BL69" i="9"/>
  <c r="BM69" i="9"/>
  <c r="BN69" i="9"/>
  <c r="BO69" i="9"/>
  <c r="BP69" i="9"/>
  <c r="BQ69" i="9"/>
  <c r="BR69" i="9"/>
  <c r="BS69" i="9"/>
  <c r="BT69" i="9"/>
  <c r="BU69" i="9"/>
  <c r="BV69" i="9"/>
  <c r="BW69" i="9"/>
  <c r="BX69" i="9"/>
  <c r="BY69" i="9"/>
  <c r="BZ69" i="9"/>
  <c r="CA69" i="9"/>
  <c r="CB69" i="9"/>
  <c r="CC69" i="9"/>
  <c r="CD69" i="9"/>
  <c r="CE69" i="9"/>
  <c r="CF69" i="9"/>
  <c r="CG69" i="9"/>
  <c r="CH69" i="9"/>
  <c r="CI69" i="9"/>
  <c r="CJ69" i="9"/>
  <c r="CK69" i="9"/>
  <c r="CL69" i="9"/>
  <c r="CM69" i="9"/>
  <c r="CN69" i="9"/>
  <c r="CO69" i="9"/>
  <c r="CP69" i="9"/>
  <c r="CQ69" i="9"/>
  <c r="CR69" i="9"/>
  <c r="CS69" i="9"/>
  <c r="CT69" i="9"/>
  <c r="CU69" i="9"/>
  <c r="CV69" i="9"/>
  <c r="CW69" i="9"/>
  <c r="CX69" i="9"/>
  <c r="CY69" i="9"/>
  <c r="CZ69" i="9"/>
  <c r="DA69" i="9"/>
  <c r="DB69" i="9"/>
  <c r="DC69" i="9"/>
  <c r="DD69" i="9"/>
  <c r="DE69" i="9"/>
  <c r="DF69" i="9"/>
  <c r="DG69" i="9"/>
  <c r="DH69" i="9"/>
  <c r="DI69" i="9"/>
  <c r="DJ69" i="9"/>
  <c r="DK69" i="9"/>
  <c r="DL69" i="9"/>
  <c r="DM69" i="9"/>
  <c r="DN69" i="9"/>
  <c r="DO69" i="9"/>
  <c r="DP69" i="9"/>
  <c r="DQ69" i="9"/>
  <c r="DR69" i="9"/>
  <c r="DS69" i="9"/>
  <c r="DT69" i="9"/>
  <c r="DU69" i="9"/>
  <c r="DV69" i="9"/>
  <c r="DW69" i="9"/>
  <c r="DX69" i="9"/>
  <c r="DY69" i="9"/>
  <c r="DZ69" i="9"/>
  <c r="EA69" i="9"/>
  <c r="EB69" i="9"/>
  <c r="EC69" i="9"/>
  <c r="ED69" i="9"/>
  <c r="EE69" i="9"/>
  <c r="EF69" i="9"/>
  <c r="EG69" i="9"/>
  <c r="EH69" i="9"/>
  <c r="EI69" i="9"/>
  <c r="EJ69" i="9"/>
  <c r="EK69" i="9"/>
  <c r="EL69" i="9"/>
  <c r="EM69" i="9"/>
  <c r="EN69" i="9"/>
  <c r="EO69" i="9"/>
  <c r="EP69" i="9"/>
  <c r="EQ69" i="9"/>
  <c r="ER69" i="9"/>
  <c r="ES69" i="9"/>
  <c r="ET69" i="9"/>
  <c r="EU69" i="9"/>
  <c r="EV69" i="9"/>
  <c r="EW69" i="9"/>
  <c r="EX69" i="9"/>
  <c r="EY69" i="9"/>
  <c r="EZ69" i="9"/>
  <c r="FA69" i="9"/>
  <c r="FB69" i="9"/>
  <c r="FC69" i="9"/>
  <c r="FD69" i="9"/>
  <c r="FE69" i="9"/>
  <c r="FF69" i="9"/>
  <c r="FG69" i="9"/>
  <c r="FH69" i="9"/>
  <c r="FI69" i="9"/>
  <c r="FJ69" i="9"/>
  <c r="FK69" i="9"/>
  <c r="FL69" i="9"/>
  <c r="FM69" i="9"/>
  <c r="FN69" i="9"/>
  <c r="FO69" i="9"/>
  <c r="FP69" i="9"/>
  <c r="FQ69" i="9"/>
  <c r="FR69" i="9"/>
  <c r="FS69" i="9"/>
  <c r="FT69" i="9"/>
  <c r="FU69" i="9"/>
  <c r="F7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AJ70" i="9"/>
  <c r="AK70" i="9"/>
  <c r="AL70" i="9"/>
  <c r="AM70" i="9"/>
  <c r="AN70" i="9"/>
  <c r="AO70" i="9"/>
  <c r="AP70" i="9"/>
  <c r="AQ70" i="9"/>
  <c r="AR70" i="9"/>
  <c r="AS70" i="9"/>
  <c r="AT70" i="9"/>
  <c r="AU70" i="9"/>
  <c r="AV70" i="9"/>
  <c r="AW70" i="9"/>
  <c r="AX70" i="9"/>
  <c r="AY70" i="9"/>
  <c r="AZ70" i="9"/>
  <c r="BA70" i="9"/>
  <c r="BB70" i="9"/>
  <c r="BC70" i="9"/>
  <c r="BD70" i="9"/>
  <c r="BE70" i="9"/>
  <c r="BF70" i="9"/>
  <c r="BG70" i="9"/>
  <c r="BH70" i="9"/>
  <c r="BI70" i="9"/>
  <c r="BJ70" i="9"/>
  <c r="BK70" i="9"/>
  <c r="BL70" i="9"/>
  <c r="BM70" i="9"/>
  <c r="BN70" i="9"/>
  <c r="BO70" i="9"/>
  <c r="BP70" i="9"/>
  <c r="BQ70" i="9"/>
  <c r="BR70" i="9"/>
  <c r="BS70" i="9"/>
  <c r="BT70" i="9"/>
  <c r="BU70" i="9"/>
  <c r="BV70" i="9"/>
  <c r="BW70" i="9"/>
  <c r="BX70" i="9"/>
  <c r="BY70" i="9"/>
  <c r="BZ70" i="9"/>
  <c r="CA70" i="9"/>
  <c r="CB70" i="9"/>
  <c r="CC70" i="9"/>
  <c r="CD70" i="9"/>
  <c r="CE70" i="9"/>
  <c r="CF70" i="9"/>
  <c r="CG70" i="9"/>
  <c r="CH70" i="9"/>
  <c r="CI70" i="9"/>
  <c r="CJ70" i="9"/>
  <c r="CK70" i="9"/>
  <c r="CL70" i="9"/>
  <c r="CM70" i="9"/>
  <c r="CN70" i="9"/>
  <c r="CO70" i="9"/>
  <c r="CP70" i="9"/>
  <c r="CQ70" i="9"/>
  <c r="CR70" i="9"/>
  <c r="CS70" i="9"/>
  <c r="CT70" i="9"/>
  <c r="CU70" i="9"/>
  <c r="CV70" i="9"/>
  <c r="CW70" i="9"/>
  <c r="CX70" i="9"/>
  <c r="CY70" i="9"/>
  <c r="CZ70" i="9"/>
  <c r="DA70" i="9"/>
  <c r="DB70" i="9"/>
  <c r="DC70" i="9"/>
  <c r="DD70" i="9"/>
  <c r="DE70" i="9"/>
  <c r="DF70" i="9"/>
  <c r="DG70" i="9"/>
  <c r="DH70" i="9"/>
  <c r="DI70" i="9"/>
  <c r="DJ70" i="9"/>
  <c r="DK70" i="9"/>
  <c r="DL70" i="9"/>
  <c r="DM70" i="9"/>
  <c r="DN70" i="9"/>
  <c r="DO70" i="9"/>
  <c r="DP70" i="9"/>
  <c r="DQ70" i="9"/>
  <c r="DR70" i="9"/>
  <c r="DS70" i="9"/>
  <c r="DT70" i="9"/>
  <c r="DU70" i="9"/>
  <c r="DV70" i="9"/>
  <c r="DW70" i="9"/>
  <c r="DX70" i="9"/>
  <c r="DY70" i="9"/>
  <c r="DZ70" i="9"/>
  <c r="EA70" i="9"/>
  <c r="EB70" i="9"/>
  <c r="EC70" i="9"/>
  <c r="ED70" i="9"/>
  <c r="EE70" i="9"/>
  <c r="EF70" i="9"/>
  <c r="EG70" i="9"/>
  <c r="EH70" i="9"/>
  <c r="EI70" i="9"/>
  <c r="EJ70" i="9"/>
  <c r="EK70" i="9"/>
  <c r="EL70" i="9"/>
  <c r="EM70" i="9"/>
  <c r="EN70" i="9"/>
  <c r="EO70" i="9"/>
  <c r="EP70" i="9"/>
  <c r="EQ70" i="9"/>
  <c r="ER70" i="9"/>
  <c r="ES70" i="9"/>
  <c r="ET70" i="9"/>
  <c r="EU70" i="9"/>
  <c r="EV70" i="9"/>
  <c r="EW70" i="9"/>
  <c r="EX70" i="9"/>
  <c r="EY70" i="9"/>
  <c r="EZ70" i="9"/>
  <c r="FA70" i="9"/>
  <c r="FB70" i="9"/>
  <c r="FC70" i="9"/>
  <c r="FD70" i="9"/>
  <c r="FE70" i="9"/>
  <c r="FF70" i="9"/>
  <c r="FG70" i="9"/>
  <c r="FH70" i="9"/>
  <c r="FI70" i="9"/>
  <c r="FJ70" i="9"/>
  <c r="FK70" i="9"/>
  <c r="FL70" i="9"/>
  <c r="FM70" i="9"/>
  <c r="FN70" i="9"/>
  <c r="FO70" i="9"/>
  <c r="FP70" i="9"/>
  <c r="FQ70" i="9"/>
  <c r="FR70" i="9"/>
  <c r="FS70" i="9"/>
  <c r="FT70" i="9"/>
  <c r="FU70" i="9"/>
  <c r="F71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AJ71" i="9"/>
  <c r="AK71" i="9"/>
  <c r="AL71" i="9"/>
  <c r="AM71" i="9"/>
  <c r="AN71" i="9"/>
  <c r="AO71" i="9"/>
  <c r="AP71" i="9"/>
  <c r="AQ71" i="9"/>
  <c r="AR71" i="9"/>
  <c r="AS71" i="9"/>
  <c r="AT71" i="9"/>
  <c r="AU71" i="9"/>
  <c r="AV71" i="9"/>
  <c r="AW71" i="9"/>
  <c r="AX71" i="9"/>
  <c r="AY71" i="9"/>
  <c r="AZ71" i="9"/>
  <c r="BA71" i="9"/>
  <c r="BB71" i="9"/>
  <c r="BC71" i="9"/>
  <c r="BD71" i="9"/>
  <c r="BE71" i="9"/>
  <c r="BF71" i="9"/>
  <c r="BG71" i="9"/>
  <c r="BH71" i="9"/>
  <c r="BI71" i="9"/>
  <c r="BJ71" i="9"/>
  <c r="BK71" i="9"/>
  <c r="BL71" i="9"/>
  <c r="BM71" i="9"/>
  <c r="BN71" i="9"/>
  <c r="BO71" i="9"/>
  <c r="BP71" i="9"/>
  <c r="BQ71" i="9"/>
  <c r="BR71" i="9"/>
  <c r="BS71" i="9"/>
  <c r="BT71" i="9"/>
  <c r="BU71" i="9"/>
  <c r="BV71" i="9"/>
  <c r="BW71" i="9"/>
  <c r="BX71" i="9"/>
  <c r="BY71" i="9"/>
  <c r="BZ71" i="9"/>
  <c r="CA71" i="9"/>
  <c r="CB71" i="9"/>
  <c r="CC71" i="9"/>
  <c r="CD71" i="9"/>
  <c r="CE71" i="9"/>
  <c r="CF71" i="9"/>
  <c r="CG71" i="9"/>
  <c r="CH71" i="9"/>
  <c r="CI71" i="9"/>
  <c r="CJ71" i="9"/>
  <c r="CK71" i="9"/>
  <c r="CL71" i="9"/>
  <c r="CM71" i="9"/>
  <c r="CN71" i="9"/>
  <c r="CO71" i="9"/>
  <c r="CP71" i="9"/>
  <c r="CQ71" i="9"/>
  <c r="CR71" i="9"/>
  <c r="CS71" i="9"/>
  <c r="CT71" i="9"/>
  <c r="CU71" i="9"/>
  <c r="CV71" i="9"/>
  <c r="CW71" i="9"/>
  <c r="CX71" i="9"/>
  <c r="CY71" i="9"/>
  <c r="CZ71" i="9"/>
  <c r="DA71" i="9"/>
  <c r="DB71" i="9"/>
  <c r="DC71" i="9"/>
  <c r="DD71" i="9"/>
  <c r="DE71" i="9"/>
  <c r="DF71" i="9"/>
  <c r="DG71" i="9"/>
  <c r="DH71" i="9"/>
  <c r="DI71" i="9"/>
  <c r="DJ71" i="9"/>
  <c r="DK71" i="9"/>
  <c r="DL71" i="9"/>
  <c r="DM71" i="9"/>
  <c r="DN71" i="9"/>
  <c r="DO71" i="9"/>
  <c r="DP71" i="9"/>
  <c r="DQ71" i="9"/>
  <c r="DR71" i="9"/>
  <c r="DS71" i="9"/>
  <c r="DT71" i="9"/>
  <c r="DU71" i="9"/>
  <c r="DV71" i="9"/>
  <c r="DW71" i="9"/>
  <c r="DX71" i="9"/>
  <c r="DY71" i="9"/>
  <c r="DZ71" i="9"/>
  <c r="EA71" i="9"/>
  <c r="EB71" i="9"/>
  <c r="EC71" i="9"/>
  <c r="ED71" i="9"/>
  <c r="EE71" i="9"/>
  <c r="EF71" i="9"/>
  <c r="EG71" i="9"/>
  <c r="EH71" i="9"/>
  <c r="EI71" i="9"/>
  <c r="EJ71" i="9"/>
  <c r="EK71" i="9"/>
  <c r="EL71" i="9"/>
  <c r="EM71" i="9"/>
  <c r="EN71" i="9"/>
  <c r="EO71" i="9"/>
  <c r="EP71" i="9"/>
  <c r="EQ71" i="9"/>
  <c r="ER71" i="9"/>
  <c r="ES71" i="9"/>
  <c r="ET71" i="9"/>
  <c r="EU71" i="9"/>
  <c r="EV71" i="9"/>
  <c r="EW71" i="9"/>
  <c r="EX71" i="9"/>
  <c r="EY71" i="9"/>
  <c r="EZ71" i="9"/>
  <c r="FA71" i="9"/>
  <c r="FB71" i="9"/>
  <c r="FC71" i="9"/>
  <c r="FD71" i="9"/>
  <c r="FE71" i="9"/>
  <c r="FF71" i="9"/>
  <c r="FG71" i="9"/>
  <c r="FH71" i="9"/>
  <c r="FI71" i="9"/>
  <c r="FJ71" i="9"/>
  <c r="FK71" i="9"/>
  <c r="FL71" i="9"/>
  <c r="FM71" i="9"/>
  <c r="FN71" i="9"/>
  <c r="FO71" i="9"/>
  <c r="FP71" i="9"/>
  <c r="FQ71" i="9"/>
  <c r="FR71" i="9"/>
  <c r="FS71" i="9"/>
  <c r="FT71" i="9"/>
  <c r="FU71" i="9"/>
  <c r="F72" i="9"/>
  <c r="G72" i="9"/>
  <c r="H72" i="9"/>
  <c r="I72" i="9"/>
  <c r="J72" i="9"/>
  <c r="K72" i="9"/>
  <c r="K77" i="9" s="1"/>
  <c r="L72" i="9"/>
  <c r="M72" i="9"/>
  <c r="N72" i="9"/>
  <c r="O72" i="9"/>
  <c r="P72" i="9"/>
  <c r="Q72" i="9"/>
  <c r="R72" i="9"/>
  <c r="S72" i="9"/>
  <c r="T72" i="9"/>
  <c r="U72" i="9"/>
  <c r="V72" i="9"/>
  <c r="W72" i="9"/>
  <c r="X72" i="9"/>
  <c r="Y72" i="9"/>
  <c r="Z72" i="9"/>
  <c r="AA72" i="9"/>
  <c r="AA77" i="9" s="1"/>
  <c r="AB72" i="9"/>
  <c r="AC72" i="9"/>
  <c r="AD72" i="9"/>
  <c r="AE72" i="9"/>
  <c r="AF72" i="9"/>
  <c r="AG72" i="9"/>
  <c r="AH72" i="9"/>
  <c r="AI72" i="9"/>
  <c r="AJ72" i="9"/>
  <c r="AK72" i="9"/>
  <c r="AL72" i="9"/>
  <c r="AM72" i="9"/>
  <c r="AN72" i="9"/>
  <c r="AO72" i="9"/>
  <c r="AP72" i="9"/>
  <c r="AQ72" i="9"/>
  <c r="AQ77" i="9" s="1"/>
  <c r="AR72" i="9"/>
  <c r="AS72" i="9"/>
  <c r="AT72" i="9"/>
  <c r="AU72" i="9"/>
  <c r="AV72" i="9"/>
  <c r="AW72" i="9"/>
  <c r="AX72" i="9"/>
  <c r="AY72" i="9"/>
  <c r="AZ72" i="9"/>
  <c r="BA72" i="9"/>
  <c r="BB72" i="9"/>
  <c r="BC72" i="9"/>
  <c r="BD72" i="9"/>
  <c r="BE72" i="9"/>
  <c r="BF72" i="9"/>
  <c r="BG72" i="9"/>
  <c r="BG77" i="9" s="1"/>
  <c r="BH72" i="9"/>
  <c r="BI72" i="9"/>
  <c r="BJ72" i="9"/>
  <c r="BK72" i="9"/>
  <c r="BL72" i="9"/>
  <c r="BM72" i="9"/>
  <c r="BN72" i="9"/>
  <c r="BO72" i="9"/>
  <c r="BP72" i="9"/>
  <c r="BQ72" i="9"/>
  <c r="BR72" i="9"/>
  <c r="BS72" i="9"/>
  <c r="BT72" i="9"/>
  <c r="BU72" i="9"/>
  <c r="BV72" i="9"/>
  <c r="BW72" i="9"/>
  <c r="BW77" i="9" s="1"/>
  <c r="BX72" i="9"/>
  <c r="BY72" i="9"/>
  <c r="BZ72" i="9"/>
  <c r="CA72" i="9"/>
  <c r="CB72" i="9"/>
  <c r="CC72" i="9"/>
  <c r="CD72" i="9"/>
  <c r="CE72" i="9"/>
  <c r="CF72" i="9"/>
  <c r="CG72" i="9"/>
  <c r="CH72" i="9"/>
  <c r="CI72" i="9"/>
  <c r="CJ72" i="9"/>
  <c r="CK72" i="9"/>
  <c r="CL72" i="9"/>
  <c r="CM72" i="9"/>
  <c r="CM77" i="9" s="1"/>
  <c r="CN72" i="9"/>
  <c r="CO72" i="9"/>
  <c r="CP72" i="9"/>
  <c r="CQ72" i="9"/>
  <c r="CR72" i="9"/>
  <c r="CS72" i="9"/>
  <c r="CT72" i="9"/>
  <c r="CU72" i="9"/>
  <c r="CV72" i="9"/>
  <c r="CW72" i="9"/>
  <c r="CX72" i="9"/>
  <c r="CY72" i="9"/>
  <c r="CZ72" i="9"/>
  <c r="DA72" i="9"/>
  <c r="DB72" i="9"/>
  <c r="DC72" i="9"/>
  <c r="DD72" i="9"/>
  <c r="DE72" i="9"/>
  <c r="DF72" i="9"/>
  <c r="DG72" i="9"/>
  <c r="DH72" i="9"/>
  <c r="DI72" i="9"/>
  <c r="DJ72" i="9"/>
  <c r="DK72" i="9"/>
  <c r="DL72" i="9"/>
  <c r="DM72" i="9"/>
  <c r="DN72" i="9"/>
  <c r="DO72" i="9"/>
  <c r="DP72" i="9"/>
  <c r="DQ72" i="9"/>
  <c r="DR72" i="9"/>
  <c r="DS72" i="9"/>
  <c r="DS77" i="9" s="1"/>
  <c r="DT72" i="9"/>
  <c r="DU72" i="9"/>
  <c r="DV72" i="9"/>
  <c r="DW72" i="9"/>
  <c r="DX72" i="9"/>
  <c r="DY72" i="9"/>
  <c r="DZ72" i="9"/>
  <c r="EA72" i="9"/>
  <c r="EB72" i="9"/>
  <c r="EC72" i="9"/>
  <c r="ED72" i="9"/>
  <c r="EE72" i="9"/>
  <c r="EF72" i="9"/>
  <c r="EG72" i="9"/>
  <c r="EH72" i="9"/>
  <c r="EI72" i="9"/>
  <c r="EJ72" i="9"/>
  <c r="EK72" i="9"/>
  <c r="EL72" i="9"/>
  <c r="EM72" i="9"/>
  <c r="EN72" i="9"/>
  <c r="EO72" i="9"/>
  <c r="EP72" i="9"/>
  <c r="EQ72" i="9"/>
  <c r="ER72" i="9"/>
  <c r="ES72" i="9"/>
  <c r="ET72" i="9"/>
  <c r="EU72" i="9"/>
  <c r="EV72" i="9"/>
  <c r="EW72" i="9"/>
  <c r="EX72" i="9"/>
  <c r="EY72" i="9"/>
  <c r="EZ72" i="9"/>
  <c r="FA72" i="9"/>
  <c r="FB72" i="9"/>
  <c r="FC72" i="9"/>
  <c r="FD72" i="9"/>
  <c r="FE72" i="9"/>
  <c r="FF72" i="9"/>
  <c r="FG72" i="9"/>
  <c r="FH72" i="9"/>
  <c r="FI72" i="9"/>
  <c r="FJ72" i="9"/>
  <c r="FK72" i="9"/>
  <c r="FL72" i="9"/>
  <c r="FM72" i="9"/>
  <c r="FN72" i="9"/>
  <c r="FO72" i="9"/>
  <c r="FP72" i="9"/>
  <c r="FQ72" i="9"/>
  <c r="FR72" i="9"/>
  <c r="FS72" i="9"/>
  <c r="FT72" i="9"/>
  <c r="FU72" i="9"/>
  <c r="F73" i="9"/>
  <c r="G73" i="9"/>
  <c r="H73" i="9"/>
  <c r="I73" i="9"/>
  <c r="J73" i="9"/>
  <c r="K73" i="9"/>
  <c r="L73" i="9"/>
  <c r="M73" i="9"/>
  <c r="N73" i="9"/>
  <c r="O73" i="9"/>
  <c r="O77" i="9" s="1"/>
  <c r="P73" i="9"/>
  <c r="Q73" i="9"/>
  <c r="R73" i="9"/>
  <c r="S73" i="9"/>
  <c r="T73" i="9"/>
  <c r="U73" i="9"/>
  <c r="V73" i="9"/>
  <c r="W73" i="9"/>
  <c r="X73" i="9"/>
  <c r="Y73" i="9"/>
  <c r="Z73" i="9"/>
  <c r="AA73" i="9"/>
  <c r="AB73" i="9"/>
  <c r="AC73" i="9"/>
  <c r="AD73" i="9"/>
  <c r="AE73" i="9"/>
  <c r="AE77" i="9" s="1"/>
  <c r="AF73" i="9"/>
  <c r="AG73" i="9"/>
  <c r="AH73" i="9"/>
  <c r="AI73" i="9"/>
  <c r="AJ73" i="9"/>
  <c r="AK73" i="9"/>
  <c r="AL73" i="9"/>
  <c r="AM73" i="9"/>
  <c r="AN73" i="9"/>
  <c r="AO73" i="9"/>
  <c r="AP73" i="9"/>
  <c r="AQ73" i="9"/>
  <c r="AR73" i="9"/>
  <c r="AS73" i="9"/>
  <c r="AT73" i="9"/>
  <c r="AU73" i="9"/>
  <c r="AU77" i="9" s="1"/>
  <c r="AV73" i="9"/>
  <c r="AW73" i="9"/>
  <c r="AX73" i="9"/>
  <c r="AY73" i="9"/>
  <c r="AZ73" i="9"/>
  <c r="BA73" i="9"/>
  <c r="BB73" i="9"/>
  <c r="BC73" i="9"/>
  <c r="BD73" i="9"/>
  <c r="BE73" i="9"/>
  <c r="BF73" i="9"/>
  <c r="BG73" i="9"/>
  <c r="BH73" i="9"/>
  <c r="BI73" i="9"/>
  <c r="BJ73" i="9"/>
  <c r="BK73" i="9"/>
  <c r="BK77" i="9" s="1"/>
  <c r="BL73" i="9"/>
  <c r="BM73" i="9"/>
  <c r="BN73" i="9"/>
  <c r="BO73" i="9"/>
  <c r="BP73" i="9"/>
  <c r="BQ73" i="9"/>
  <c r="BR73" i="9"/>
  <c r="BS73" i="9"/>
  <c r="BT73" i="9"/>
  <c r="BU73" i="9"/>
  <c r="BV73" i="9"/>
  <c r="BW73" i="9"/>
  <c r="BX73" i="9"/>
  <c r="BY73" i="9"/>
  <c r="BZ73" i="9"/>
  <c r="CA73" i="9"/>
  <c r="CA77" i="9" s="1"/>
  <c r="CB73" i="9"/>
  <c r="CC73" i="9"/>
  <c r="CD73" i="9"/>
  <c r="CE73" i="9"/>
  <c r="CF73" i="9"/>
  <c r="CG73" i="9"/>
  <c r="CH73" i="9"/>
  <c r="CI73" i="9"/>
  <c r="CJ73" i="9"/>
  <c r="CK73" i="9"/>
  <c r="CL73" i="9"/>
  <c r="CM73" i="9"/>
  <c r="CN73" i="9"/>
  <c r="CO73" i="9"/>
  <c r="CP73" i="9"/>
  <c r="CQ73" i="9"/>
  <c r="CQ77" i="9" s="1"/>
  <c r="CR73" i="9"/>
  <c r="CS73" i="9"/>
  <c r="CT73" i="9"/>
  <c r="CU73" i="9"/>
  <c r="CV73" i="9"/>
  <c r="CW73" i="9"/>
  <c r="CX73" i="9"/>
  <c r="CY73" i="9"/>
  <c r="CZ73" i="9"/>
  <c r="DA73" i="9"/>
  <c r="DB73" i="9"/>
  <c r="DC73" i="9"/>
  <c r="DD73" i="9"/>
  <c r="DE73" i="9"/>
  <c r="DF73" i="9"/>
  <c r="DG73" i="9"/>
  <c r="DG77" i="9" s="1"/>
  <c r="DH73" i="9"/>
  <c r="DI73" i="9"/>
  <c r="DJ73" i="9"/>
  <c r="DK73" i="9"/>
  <c r="DL73" i="9"/>
  <c r="DM73" i="9"/>
  <c r="DN73" i="9"/>
  <c r="DO73" i="9"/>
  <c r="DP73" i="9"/>
  <c r="DQ73" i="9"/>
  <c r="DR73" i="9"/>
  <c r="DS73" i="9"/>
  <c r="DT73" i="9"/>
  <c r="DU73" i="9"/>
  <c r="DV73" i="9"/>
  <c r="DW73" i="9"/>
  <c r="DW77" i="9" s="1"/>
  <c r="DX73" i="9"/>
  <c r="DY73" i="9"/>
  <c r="DZ73" i="9"/>
  <c r="EA73" i="9"/>
  <c r="EB73" i="9"/>
  <c r="EC73" i="9"/>
  <c r="ED73" i="9"/>
  <c r="EE73" i="9"/>
  <c r="EF73" i="9"/>
  <c r="EG73" i="9"/>
  <c r="EH73" i="9"/>
  <c r="EI73" i="9"/>
  <c r="EJ73" i="9"/>
  <c r="EK73" i="9"/>
  <c r="EL73" i="9"/>
  <c r="EM73" i="9"/>
  <c r="EM77" i="9" s="1"/>
  <c r="EN73" i="9"/>
  <c r="EO73" i="9"/>
  <c r="EP73" i="9"/>
  <c r="EQ73" i="9"/>
  <c r="ER73" i="9"/>
  <c r="ES73" i="9"/>
  <c r="ET73" i="9"/>
  <c r="EU73" i="9"/>
  <c r="EV73" i="9"/>
  <c r="EW73" i="9"/>
  <c r="EX73" i="9"/>
  <c r="EY73" i="9"/>
  <c r="EZ73" i="9"/>
  <c r="FA73" i="9"/>
  <c r="FB73" i="9"/>
  <c r="FC73" i="9"/>
  <c r="FC77" i="9" s="1"/>
  <c r="FD73" i="9"/>
  <c r="FE73" i="9"/>
  <c r="FF73" i="9"/>
  <c r="FG73" i="9"/>
  <c r="FH73" i="9"/>
  <c r="FI73" i="9"/>
  <c r="FJ73" i="9"/>
  <c r="FK73" i="9"/>
  <c r="FL73" i="9"/>
  <c r="FM73" i="9"/>
  <c r="FN73" i="9"/>
  <c r="FO73" i="9"/>
  <c r="FP73" i="9"/>
  <c r="FQ73" i="9"/>
  <c r="FR73" i="9"/>
  <c r="FS73" i="9"/>
  <c r="FS77" i="9" s="1"/>
  <c r="FT73" i="9"/>
  <c r="FU73" i="9"/>
  <c r="F74" i="9"/>
  <c r="G74" i="9"/>
  <c r="H74" i="9"/>
  <c r="I74" i="9"/>
  <c r="J74" i="9"/>
  <c r="K74" i="9"/>
  <c r="L74" i="9"/>
  <c r="M74" i="9"/>
  <c r="N74" i="9"/>
  <c r="O74" i="9"/>
  <c r="P74" i="9"/>
  <c r="Q74" i="9"/>
  <c r="R74" i="9"/>
  <c r="S74" i="9"/>
  <c r="S77" i="9" s="1"/>
  <c r="T74" i="9"/>
  <c r="T77" i="9" s="1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AI77" i="9" s="1"/>
  <c r="AJ74" i="9"/>
  <c r="AK74" i="9"/>
  <c r="AL74" i="9"/>
  <c r="AM74" i="9"/>
  <c r="AN74" i="9"/>
  <c r="AO74" i="9"/>
  <c r="AP74" i="9"/>
  <c r="AQ74" i="9"/>
  <c r="AR74" i="9"/>
  <c r="AS74" i="9"/>
  <c r="AT74" i="9"/>
  <c r="AU74" i="9"/>
  <c r="AV74" i="9"/>
  <c r="AW74" i="9"/>
  <c r="AX74" i="9"/>
  <c r="AY74" i="9"/>
  <c r="AY77" i="9" s="1"/>
  <c r="AZ74" i="9"/>
  <c r="BA74" i="9"/>
  <c r="BB74" i="9"/>
  <c r="BC74" i="9"/>
  <c r="BD74" i="9"/>
  <c r="BE74" i="9"/>
  <c r="BF74" i="9"/>
  <c r="BG74" i="9"/>
  <c r="BH74" i="9"/>
  <c r="BI74" i="9"/>
  <c r="BJ74" i="9"/>
  <c r="BK74" i="9"/>
  <c r="BL74" i="9"/>
  <c r="BM74" i="9"/>
  <c r="BN74" i="9"/>
  <c r="BO74" i="9"/>
  <c r="BO77" i="9" s="1"/>
  <c r="BP74" i="9"/>
  <c r="BQ74" i="9"/>
  <c r="BR74" i="9"/>
  <c r="BS74" i="9"/>
  <c r="BT74" i="9"/>
  <c r="BU74" i="9"/>
  <c r="BV74" i="9"/>
  <c r="BW74" i="9"/>
  <c r="BX74" i="9"/>
  <c r="BY74" i="9"/>
  <c r="BZ74" i="9"/>
  <c r="CA74" i="9"/>
  <c r="CB74" i="9"/>
  <c r="CC74" i="9"/>
  <c r="CD74" i="9"/>
  <c r="CE74" i="9"/>
  <c r="CE77" i="9" s="1"/>
  <c r="CF74" i="9"/>
  <c r="CG74" i="9"/>
  <c r="CH74" i="9"/>
  <c r="CI74" i="9"/>
  <c r="CJ74" i="9"/>
  <c r="CK74" i="9"/>
  <c r="CL74" i="9"/>
  <c r="CM74" i="9"/>
  <c r="CN74" i="9"/>
  <c r="CO74" i="9"/>
  <c r="CP74" i="9"/>
  <c r="CQ74" i="9"/>
  <c r="CR74" i="9"/>
  <c r="CS74" i="9"/>
  <c r="CT74" i="9"/>
  <c r="CU74" i="9"/>
  <c r="CU77" i="9" s="1"/>
  <c r="CV74" i="9"/>
  <c r="CW74" i="9"/>
  <c r="CX74" i="9"/>
  <c r="CY74" i="9"/>
  <c r="CZ74" i="9"/>
  <c r="DA74" i="9"/>
  <c r="DB74" i="9"/>
  <c r="DC74" i="9"/>
  <c r="DD74" i="9"/>
  <c r="DE74" i="9"/>
  <c r="DF74" i="9"/>
  <c r="DG74" i="9"/>
  <c r="DH74" i="9"/>
  <c r="DI74" i="9"/>
  <c r="DJ74" i="9"/>
  <c r="DK74" i="9"/>
  <c r="DK77" i="9" s="1"/>
  <c r="DL74" i="9"/>
  <c r="DM74" i="9"/>
  <c r="DN74" i="9"/>
  <c r="DO74" i="9"/>
  <c r="DP74" i="9"/>
  <c r="DQ74" i="9"/>
  <c r="DR74" i="9"/>
  <c r="DS74" i="9"/>
  <c r="DT74" i="9"/>
  <c r="DU74" i="9"/>
  <c r="DV74" i="9"/>
  <c r="DW74" i="9"/>
  <c r="DX74" i="9"/>
  <c r="DY74" i="9"/>
  <c r="DZ74" i="9"/>
  <c r="EA74" i="9"/>
  <c r="EA77" i="9" s="1"/>
  <c r="EB74" i="9"/>
  <c r="EC74" i="9"/>
  <c r="ED74" i="9"/>
  <c r="EE74" i="9"/>
  <c r="EF74" i="9"/>
  <c r="EG74" i="9"/>
  <c r="EH74" i="9"/>
  <c r="EI74" i="9"/>
  <c r="EJ74" i="9"/>
  <c r="EK74" i="9"/>
  <c r="EL74" i="9"/>
  <c r="EM74" i="9"/>
  <c r="EN74" i="9"/>
  <c r="EO74" i="9"/>
  <c r="EP74" i="9"/>
  <c r="EQ74" i="9"/>
  <c r="EQ77" i="9" s="1"/>
  <c r="ER74" i="9"/>
  <c r="ES74" i="9"/>
  <c r="ET74" i="9"/>
  <c r="EU74" i="9"/>
  <c r="EV74" i="9"/>
  <c r="EW74" i="9"/>
  <c r="EX74" i="9"/>
  <c r="EY74" i="9"/>
  <c r="EZ74" i="9"/>
  <c r="FA74" i="9"/>
  <c r="FB74" i="9"/>
  <c r="FC74" i="9"/>
  <c r="FD74" i="9"/>
  <c r="FE74" i="9"/>
  <c r="FF74" i="9"/>
  <c r="FG74" i="9"/>
  <c r="FG77" i="9" s="1"/>
  <c r="FH74" i="9"/>
  <c r="FI74" i="9"/>
  <c r="FJ74" i="9"/>
  <c r="FK74" i="9"/>
  <c r="FL74" i="9"/>
  <c r="FM74" i="9"/>
  <c r="FN74" i="9"/>
  <c r="FO74" i="9"/>
  <c r="FP74" i="9"/>
  <c r="FQ74" i="9"/>
  <c r="FR74" i="9"/>
  <c r="FS74" i="9"/>
  <c r="FT74" i="9"/>
  <c r="FU74" i="9"/>
  <c r="F77" i="9"/>
  <c r="G77" i="9"/>
  <c r="H77" i="9"/>
  <c r="I77" i="9"/>
  <c r="J77" i="9"/>
  <c r="L77" i="9"/>
  <c r="N77" i="9"/>
  <c r="P77" i="9"/>
  <c r="R77" i="9"/>
  <c r="V77" i="9"/>
  <c r="W77" i="9"/>
  <c r="X77" i="9"/>
  <c r="Y77" i="9"/>
  <c r="Z77" i="9"/>
  <c r="AB77" i="9"/>
  <c r="AD77" i="9"/>
  <c r="AF77" i="9"/>
  <c r="AH77" i="9"/>
  <c r="AJ77" i="9"/>
  <c r="AL77" i="9"/>
  <c r="AM77" i="9"/>
  <c r="AN77" i="9"/>
  <c r="AO77" i="9"/>
  <c r="AP77" i="9"/>
  <c r="AR77" i="9"/>
  <c r="AT77" i="9"/>
  <c r="AV77" i="9"/>
  <c r="AX77" i="9"/>
  <c r="AZ77" i="9"/>
  <c r="BB77" i="9"/>
  <c r="BC77" i="9"/>
  <c r="BD77" i="9"/>
  <c r="BE77" i="9"/>
  <c r="BF77" i="9"/>
  <c r="BH77" i="9"/>
  <c r="BJ77" i="9"/>
  <c r="BL77" i="9"/>
  <c r="BN77" i="9"/>
  <c r="BP77" i="9"/>
  <c r="BR77" i="9"/>
  <c r="BS77" i="9"/>
  <c r="BT77" i="9"/>
  <c r="BU77" i="9"/>
  <c r="BV77" i="9"/>
  <c r="BX77" i="9"/>
  <c r="BZ77" i="9"/>
  <c r="CB77" i="9"/>
  <c r="CD77" i="9"/>
  <c r="CF77" i="9"/>
  <c r="CH77" i="9"/>
  <c r="CI77" i="9"/>
  <c r="CJ77" i="9"/>
  <c r="CK77" i="9"/>
  <c r="CL77" i="9"/>
  <c r="CN77" i="9"/>
  <c r="CP77" i="9"/>
  <c r="CR77" i="9"/>
  <c r="CT77" i="9"/>
  <c r="CV77" i="9"/>
  <c r="CX77" i="9"/>
  <c r="CY77" i="9"/>
  <c r="CZ77" i="9"/>
  <c r="DA77" i="9"/>
  <c r="DB77" i="9"/>
  <c r="DC77" i="9"/>
  <c r="DD77" i="9"/>
  <c r="DF77" i="9"/>
  <c r="DH77" i="9"/>
  <c r="DJ77" i="9"/>
  <c r="DL77" i="9"/>
  <c r="DN77" i="9"/>
  <c r="DO77" i="9"/>
  <c r="DP77" i="9"/>
  <c r="DQ77" i="9"/>
  <c r="DR77" i="9"/>
  <c r="DT77" i="9"/>
  <c r="DV77" i="9"/>
  <c r="DX77" i="9"/>
  <c r="DZ77" i="9"/>
  <c r="EB77" i="9"/>
  <c r="ED77" i="9"/>
  <c r="EE77" i="9"/>
  <c r="EF77" i="9"/>
  <c r="EG77" i="9"/>
  <c r="EH77" i="9"/>
  <c r="EI77" i="9"/>
  <c r="EJ77" i="9"/>
  <c r="EL77" i="9"/>
  <c r="EN77" i="9"/>
  <c r="EP77" i="9"/>
  <c r="ER77" i="9"/>
  <c r="ET77" i="9"/>
  <c r="EU77" i="9"/>
  <c r="EV77" i="9"/>
  <c r="EW77" i="9"/>
  <c r="EX77" i="9"/>
  <c r="EY77" i="9"/>
  <c r="EZ77" i="9"/>
  <c r="FB77" i="9"/>
  <c r="FD77" i="9"/>
  <c r="FF77" i="9"/>
  <c r="FH77" i="9"/>
  <c r="FJ77" i="9"/>
  <c r="FK77" i="9"/>
  <c r="FL77" i="9"/>
  <c r="FM77" i="9"/>
  <c r="FN77" i="9"/>
  <c r="FO77" i="9"/>
  <c r="FP77" i="9"/>
  <c r="FR77" i="9"/>
  <c r="FT77" i="9"/>
  <c r="E77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44" i="9"/>
  <c r="E43" i="9"/>
  <c r="A45" i="9"/>
  <c r="B45" i="9"/>
  <c r="C45" i="9"/>
  <c r="D45" i="9"/>
  <c r="A46" i="9"/>
  <c r="B46" i="9"/>
  <c r="C46" i="9"/>
  <c r="D46" i="9"/>
  <c r="A47" i="9"/>
  <c r="B47" i="9"/>
  <c r="C47" i="9"/>
  <c r="D47" i="9"/>
  <c r="A48" i="9"/>
  <c r="B48" i="9"/>
  <c r="C48" i="9"/>
  <c r="D48" i="9"/>
  <c r="A49" i="9"/>
  <c r="B49" i="9"/>
  <c r="C49" i="9"/>
  <c r="D49" i="9"/>
  <c r="A50" i="9"/>
  <c r="B50" i="9"/>
  <c r="C50" i="9"/>
  <c r="D50" i="9"/>
  <c r="A51" i="9"/>
  <c r="B51" i="9"/>
  <c r="C51" i="9"/>
  <c r="D51" i="9"/>
  <c r="A52" i="9"/>
  <c r="B52" i="9"/>
  <c r="C52" i="9"/>
  <c r="D52" i="9"/>
  <c r="A53" i="9"/>
  <c r="B53" i="9"/>
  <c r="C53" i="9"/>
  <c r="D53" i="9"/>
  <c r="A54" i="9"/>
  <c r="B54" i="9"/>
  <c r="C54" i="9"/>
  <c r="D54" i="9"/>
  <c r="A55" i="9"/>
  <c r="B55" i="9"/>
  <c r="C55" i="9"/>
  <c r="D55" i="9"/>
  <c r="A56" i="9"/>
  <c r="B56" i="9"/>
  <c r="C56" i="9"/>
  <c r="D56" i="9"/>
  <c r="A57" i="9"/>
  <c r="B57" i="9"/>
  <c r="C57" i="9"/>
  <c r="D57" i="9"/>
  <c r="A58" i="9"/>
  <c r="B58" i="9"/>
  <c r="C58" i="9"/>
  <c r="D58" i="9"/>
  <c r="A59" i="9"/>
  <c r="B59" i="9"/>
  <c r="C59" i="9"/>
  <c r="D59" i="9"/>
  <c r="A60" i="9"/>
  <c r="B60" i="9"/>
  <c r="C60" i="9"/>
  <c r="D60" i="9"/>
  <c r="A61" i="9"/>
  <c r="B61" i="9"/>
  <c r="C61" i="9"/>
  <c r="D61" i="9"/>
  <c r="A62" i="9"/>
  <c r="B62" i="9"/>
  <c r="C62" i="9"/>
  <c r="D62" i="9"/>
  <c r="A63" i="9"/>
  <c r="B63" i="9"/>
  <c r="C63" i="9"/>
  <c r="D63" i="9"/>
  <c r="A64" i="9"/>
  <c r="B64" i="9"/>
  <c r="C64" i="9"/>
  <c r="D64" i="9"/>
  <c r="A65" i="9"/>
  <c r="B65" i="9"/>
  <c r="C65" i="9"/>
  <c r="D65" i="9"/>
  <c r="A66" i="9"/>
  <c r="B66" i="9"/>
  <c r="C66" i="9"/>
  <c r="D66" i="9"/>
  <c r="A67" i="9"/>
  <c r="B67" i="9"/>
  <c r="C67" i="9"/>
  <c r="D67" i="9"/>
  <c r="A68" i="9"/>
  <c r="B68" i="9"/>
  <c r="C68" i="9"/>
  <c r="D68" i="9"/>
  <c r="A69" i="9"/>
  <c r="B69" i="9"/>
  <c r="C69" i="9"/>
  <c r="D69" i="9"/>
  <c r="A70" i="9"/>
  <c r="B70" i="9"/>
  <c r="C70" i="9"/>
  <c r="D70" i="9"/>
  <c r="A71" i="9"/>
  <c r="B71" i="9"/>
  <c r="C71" i="9"/>
  <c r="D71" i="9"/>
  <c r="A72" i="9"/>
  <c r="B72" i="9"/>
  <c r="C72" i="9"/>
  <c r="D72" i="9"/>
  <c r="A73" i="9"/>
  <c r="B73" i="9"/>
  <c r="C73" i="9"/>
  <c r="D73" i="9"/>
  <c r="A74" i="9"/>
  <c r="B74" i="9"/>
  <c r="C74" i="9"/>
  <c r="D74" i="9"/>
  <c r="B44" i="9"/>
  <c r="C44" i="9"/>
  <c r="D44" i="9"/>
  <c r="A44" i="9"/>
  <c r="E37" i="9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BE20" i="8"/>
  <c r="BF20" i="8"/>
  <c r="BG20" i="8"/>
  <c r="BH20" i="8"/>
  <c r="BI20" i="8"/>
  <c r="BJ20" i="8"/>
  <c r="BK20" i="8"/>
  <c r="BL20" i="8"/>
  <c r="BM20" i="8"/>
  <c r="BN20" i="8"/>
  <c r="BO20" i="8"/>
  <c r="BP20" i="8"/>
  <c r="BQ20" i="8"/>
  <c r="BR20" i="8"/>
  <c r="BS20" i="8"/>
  <c r="BT20" i="8"/>
  <c r="BU20" i="8"/>
  <c r="BV20" i="8"/>
  <c r="BW20" i="8"/>
  <c r="BX20" i="8"/>
  <c r="BY20" i="8"/>
  <c r="BZ20" i="8"/>
  <c r="CA20" i="8"/>
  <c r="CB20" i="8"/>
  <c r="CC20" i="8"/>
  <c r="CD20" i="8"/>
  <c r="CE20" i="8"/>
  <c r="CF20" i="8"/>
  <c r="CG20" i="8"/>
  <c r="CH20" i="8"/>
  <c r="CI20" i="8"/>
  <c r="CJ20" i="8"/>
  <c r="CK20" i="8"/>
  <c r="CL20" i="8"/>
  <c r="CM20" i="8"/>
  <c r="CN20" i="8"/>
  <c r="CO20" i="8"/>
  <c r="CP20" i="8"/>
  <c r="CQ20" i="8"/>
  <c r="CR20" i="8"/>
  <c r="CS20" i="8"/>
  <c r="CT20" i="8"/>
  <c r="CU20" i="8"/>
  <c r="CV20" i="8"/>
  <c r="CW20" i="8"/>
  <c r="CX20" i="8"/>
  <c r="CY20" i="8"/>
  <c r="CZ20" i="8"/>
  <c r="DA20" i="8"/>
  <c r="DB20" i="8"/>
  <c r="DC20" i="8"/>
  <c r="DD20" i="8"/>
  <c r="DE20" i="8"/>
  <c r="DF20" i="8"/>
  <c r="DG20" i="8"/>
  <c r="DH20" i="8"/>
  <c r="DI20" i="8"/>
  <c r="DJ20" i="8"/>
  <c r="DK20" i="8"/>
  <c r="DL20" i="8"/>
  <c r="DM20" i="8"/>
  <c r="DN20" i="8"/>
  <c r="DO20" i="8"/>
  <c r="DP20" i="8"/>
  <c r="DQ20" i="8"/>
  <c r="DR20" i="8"/>
  <c r="DS20" i="8"/>
  <c r="DT20" i="8"/>
  <c r="DU20" i="8"/>
  <c r="DV20" i="8"/>
  <c r="DW20" i="8"/>
  <c r="DX20" i="8"/>
  <c r="DY20" i="8"/>
  <c r="DZ20" i="8"/>
  <c r="EA20" i="8"/>
  <c r="EB20" i="8"/>
  <c r="EC20" i="8"/>
  <c r="ED20" i="8"/>
  <c r="EE20" i="8"/>
  <c r="EF20" i="8"/>
  <c r="EG20" i="8"/>
  <c r="EH20" i="8"/>
  <c r="EI20" i="8"/>
  <c r="EJ20" i="8"/>
  <c r="EK20" i="8"/>
  <c r="EL20" i="8"/>
  <c r="EM20" i="8"/>
  <c r="EN20" i="8"/>
  <c r="EO20" i="8"/>
  <c r="EP20" i="8"/>
  <c r="EQ20" i="8"/>
  <c r="ER20" i="8"/>
  <c r="ES20" i="8"/>
  <c r="ET20" i="8"/>
  <c r="EU20" i="8"/>
  <c r="EV20" i="8"/>
  <c r="EW20" i="8"/>
  <c r="EX20" i="8"/>
  <c r="EY20" i="8"/>
  <c r="EZ20" i="8"/>
  <c r="FA20" i="8"/>
  <c r="FB20" i="8"/>
  <c r="FC20" i="8"/>
  <c r="FD20" i="8"/>
  <c r="FE20" i="8"/>
  <c r="FF20" i="8"/>
  <c r="FG20" i="8"/>
  <c r="FH20" i="8"/>
  <c r="FI20" i="8"/>
  <c r="FJ20" i="8"/>
  <c r="FK20" i="8"/>
  <c r="FL20" i="8"/>
  <c r="FM20" i="8"/>
  <c r="FN20" i="8"/>
  <c r="FO20" i="8"/>
  <c r="FP20" i="8"/>
  <c r="FQ20" i="8"/>
  <c r="FR20" i="8"/>
  <c r="FS20" i="8"/>
  <c r="FT20" i="8"/>
  <c r="FU20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BJ25" i="8"/>
  <c r="BK25" i="8"/>
  <c r="BL25" i="8"/>
  <c r="BM25" i="8"/>
  <c r="BN25" i="8"/>
  <c r="BO25" i="8"/>
  <c r="BP25" i="8"/>
  <c r="BQ25" i="8"/>
  <c r="BR25" i="8"/>
  <c r="BS25" i="8"/>
  <c r="BT25" i="8"/>
  <c r="BU25" i="8"/>
  <c r="BV25" i="8"/>
  <c r="BW25" i="8"/>
  <c r="BX25" i="8"/>
  <c r="BY25" i="8"/>
  <c r="BZ25" i="8"/>
  <c r="CA25" i="8"/>
  <c r="CB25" i="8"/>
  <c r="CC25" i="8"/>
  <c r="CD25" i="8"/>
  <c r="CE25" i="8"/>
  <c r="CF25" i="8"/>
  <c r="CG25" i="8"/>
  <c r="CH25" i="8"/>
  <c r="CI25" i="8"/>
  <c r="CJ25" i="8"/>
  <c r="CK25" i="8"/>
  <c r="CL25" i="8"/>
  <c r="CM25" i="8"/>
  <c r="CN25" i="8"/>
  <c r="CO25" i="8"/>
  <c r="CP25" i="8"/>
  <c r="CQ25" i="8"/>
  <c r="CR25" i="8"/>
  <c r="CS25" i="8"/>
  <c r="CT25" i="8"/>
  <c r="CU25" i="8"/>
  <c r="CV25" i="8"/>
  <c r="CW25" i="8"/>
  <c r="CX25" i="8"/>
  <c r="CY25" i="8"/>
  <c r="CZ25" i="8"/>
  <c r="DA25" i="8"/>
  <c r="DB25" i="8"/>
  <c r="DC25" i="8"/>
  <c r="DD25" i="8"/>
  <c r="DE25" i="8"/>
  <c r="DF25" i="8"/>
  <c r="DG25" i="8"/>
  <c r="DH25" i="8"/>
  <c r="DI25" i="8"/>
  <c r="DJ25" i="8"/>
  <c r="DK25" i="8"/>
  <c r="DL25" i="8"/>
  <c r="DM25" i="8"/>
  <c r="DN25" i="8"/>
  <c r="DO25" i="8"/>
  <c r="DP25" i="8"/>
  <c r="DQ25" i="8"/>
  <c r="DR25" i="8"/>
  <c r="DS25" i="8"/>
  <c r="DT25" i="8"/>
  <c r="DU25" i="8"/>
  <c r="DV25" i="8"/>
  <c r="DW25" i="8"/>
  <c r="DX25" i="8"/>
  <c r="DY25" i="8"/>
  <c r="DZ25" i="8"/>
  <c r="EA25" i="8"/>
  <c r="EB25" i="8"/>
  <c r="EC25" i="8"/>
  <c r="ED25" i="8"/>
  <c r="EE25" i="8"/>
  <c r="EF25" i="8"/>
  <c r="EG25" i="8"/>
  <c r="EH25" i="8"/>
  <c r="EI25" i="8"/>
  <c r="EJ25" i="8"/>
  <c r="EK25" i="8"/>
  <c r="EL25" i="8"/>
  <c r="EM25" i="8"/>
  <c r="EN25" i="8"/>
  <c r="EO25" i="8"/>
  <c r="EP25" i="8"/>
  <c r="EQ25" i="8"/>
  <c r="ER25" i="8"/>
  <c r="ES25" i="8"/>
  <c r="ET25" i="8"/>
  <c r="EU25" i="8"/>
  <c r="EV25" i="8"/>
  <c r="EW25" i="8"/>
  <c r="EX25" i="8"/>
  <c r="EY25" i="8"/>
  <c r="EZ25" i="8"/>
  <c r="FA25" i="8"/>
  <c r="FB25" i="8"/>
  <c r="FC25" i="8"/>
  <c r="FD25" i="8"/>
  <c r="FE25" i="8"/>
  <c r="FF25" i="8"/>
  <c r="FG25" i="8"/>
  <c r="FH25" i="8"/>
  <c r="FI25" i="8"/>
  <c r="FJ25" i="8"/>
  <c r="FK25" i="8"/>
  <c r="FL25" i="8"/>
  <c r="FM25" i="8"/>
  <c r="FN25" i="8"/>
  <c r="FO25" i="8"/>
  <c r="FP25" i="8"/>
  <c r="FQ25" i="8"/>
  <c r="FR25" i="8"/>
  <c r="FS25" i="8"/>
  <c r="FT25" i="8"/>
  <c r="FU25" i="8"/>
  <c r="F26" i="8"/>
  <c r="G26" i="8"/>
  <c r="H26" i="8"/>
  <c r="I26" i="8"/>
  <c r="J26" i="8"/>
  <c r="K26" i="8"/>
  <c r="L26" i="8"/>
  <c r="M26" i="8"/>
  <c r="M42" i="8" s="1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C42" i="8" s="1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AR26" i="8"/>
  <c r="AS26" i="8"/>
  <c r="AS42" i="8" s="1"/>
  <c r="AT26" i="8"/>
  <c r="AU26" i="8"/>
  <c r="AV26" i="8"/>
  <c r="AW26" i="8"/>
  <c r="AX26" i="8"/>
  <c r="AY26" i="8"/>
  <c r="AZ26" i="8"/>
  <c r="BA26" i="8"/>
  <c r="BB26" i="8"/>
  <c r="BC26" i="8"/>
  <c r="BD26" i="8"/>
  <c r="BE26" i="8"/>
  <c r="BF26" i="8"/>
  <c r="BG26" i="8"/>
  <c r="BH26" i="8"/>
  <c r="BI26" i="8"/>
  <c r="BI42" i="8" s="1"/>
  <c r="BJ26" i="8"/>
  <c r="BK26" i="8"/>
  <c r="BL26" i="8"/>
  <c r="BM26" i="8"/>
  <c r="BN26" i="8"/>
  <c r="BO26" i="8"/>
  <c r="BP26" i="8"/>
  <c r="BQ26" i="8"/>
  <c r="BR26" i="8"/>
  <c r="BS26" i="8"/>
  <c r="BT26" i="8"/>
  <c r="BU26" i="8"/>
  <c r="BV26" i="8"/>
  <c r="BW26" i="8"/>
  <c r="BX26" i="8"/>
  <c r="BY26" i="8"/>
  <c r="BY42" i="8" s="1"/>
  <c r="BZ26" i="8"/>
  <c r="CA26" i="8"/>
  <c r="CB26" i="8"/>
  <c r="CC26" i="8"/>
  <c r="CD26" i="8"/>
  <c r="CE26" i="8"/>
  <c r="CF26" i="8"/>
  <c r="CG26" i="8"/>
  <c r="CH26" i="8"/>
  <c r="CI26" i="8"/>
  <c r="CJ26" i="8"/>
  <c r="CK26" i="8"/>
  <c r="CL26" i="8"/>
  <c r="CM26" i="8"/>
  <c r="CN26" i="8"/>
  <c r="CO26" i="8"/>
  <c r="CO42" i="8" s="1"/>
  <c r="CP26" i="8"/>
  <c r="CQ26" i="8"/>
  <c r="CR26" i="8"/>
  <c r="CS26" i="8"/>
  <c r="CT26" i="8"/>
  <c r="CU26" i="8"/>
  <c r="CV26" i="8"/>
  <c r="CW26" i="8"/>
  <c r="CX26" i="8"/>
  <c r="CY26" i="8"/>
  <c r="CZ26" i="8"/>
  <c r="DA26" i="8"/>
  <c r="DB26" i="8"/>
  <c r="DC26" i="8"/>
  <c r="DD26" i="8"/>
  <c r="DE26" i="8"/>
  <c r="DE42" i="8" s="1"/>
  <c r="DF26" i="8"/>
  <c r="DG26" i="8"/>
  <c r="DH26" i="8"/>
  <c r="DI26" i="8"/>
  <c r="DJ26" i="8"/>
  <c r="DK26" i="8"/>
  <c r="DL26" i="8"/>
  <c r="DM26" i="8"/>
  <c r="DN26" i="8"/>
  <c r="DO26" i="8"/>
  <c r="DP26" i="8"/>
  <c r="DQ26" i="8"/>
  <c r="DR26" i="8"/>
  <c r="DS26" i="8"/>
  <c r="DT26" i="8"/>
  <c r="DU26" i="8"/>
  <c r="DU42" i="8" s="1"/>
  <c r="DV26" i="8"/>
  <c r="DW26" i="8"/>
  <c r="DX26" i="8"/>
  <c r="DY26" i="8"/>
  <c r="DZ26" i="8"/>
  <c r="EA26" i="8"/>
  <c r="EB26" i="8"/>
  <c r="EC26" i="8"/>
  <c r="ED26" i="8"/>
  <c r="EE26" i="8"/>
  <c r="EF26" i="8"/>
  <c r="EG26" i="8"/>
  <c r="EH26" i="8"/>
  <c r="EI26" i="8"/>
  <c r="EJ26" i="8"/>
  <c r="EK26" i="8"/>
  <c r="EK42" i="8" s="1"/>
  <c r="EL26" i="8"/>
  <c r="EM26" i="8"/>
  <c r="EN26" i="8"/>
  <c r="EO26" i="8"/>
  <c r="EP26" i="8"/>
  <c r="EQ26" i="8"/>
  <c r="ER26" i="8"/>
  <c r="ES26" i="8"/>
  <c r="ET26" i="8"/>
  <c r="EU26" i="8"/>
  <c r="EV26" i="8"/>
  <c r="EW26" i="8"/>
  <c r="EX26" i="8"/>
  <c r="EY26" i="8"/>
  <c r="EZ26" i="8"/>
  <c r="FA26" i="8"/>
  <c r="FA42" i="8" s="1"/>
  <c r="FB26" i="8"/>
  <c r="FC26" i="8"/>
  <c r="FD26" i="8"/>
  <c r="FE26" i="8"/>
  <c r="FF26" i="8"/>
  <c r="FG26" i="8"/>
  <c r="FH26" i="8"/>
  <c r="FI26" i="8"/>
  <c r="FJ26" i="8"/>
  <c r="FK26" i="8"/>
  <c r="FL26" i="8"/>
  <c r="FM26" i="8"/>
  <c r="FN26" i="8"/>
  <c r="FO26" i="8"/>
  <c r="FP26" i="8"/>
  <c r="FQ26" i="8"/>
  <c r="FQ42" i="8" s="1"/>
  <c r="FR26" i="8"/>
  <c r="FS26" i="8"/>
  <c r="FT26" i="8"/>
  <c r="FU26" i="8"/>
  <c r="F27" i="8"/>
  <c r="G27" i="8"/>
  <c r="H27" i="8"/>
  <c r="I27" i="8"/>
  <c r="J27" i="8"/>
  <c r="K27" i="8"/>
  <c r="L27" i="8"/>
  <c r="M27" i="8"/>
  <c r="N27" i="8"/>
  <c r="O27" i="8"/>
  <c r="P27" i="8"/>
  <c r="Q27" i="8"/>
  <c r="Q42" i="8" s="1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G42" i="8" s="1"/>
  <c r="AH27" i="8"/>
  <c r="AI27" i="8"/>
  <c r="AJ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W42" i="8" s="1"/>
  <c r="AX27" i="8"/>
  <c r="AY27" i="8"/>
  <c r="AZ27" i="8"/>
  <c r="BA27" i="8"/>
  <c r="BB27" i="8"/>
  <c r="BC27" i="8"/>
  <c r="BD27" i="8"/>
  <c r="BE27" i="8"/>
  <c r="BF27" i="8"/>
  <c r="BG27" i="8"/>
  <c r="BH27" i="8"/>
  <c r="BI27" i="8"/>
  <c r="BJ27" i="8"/>
  <c r="BK27" i="8"/>
  <c r="BL27" i="8"/>
  <c r="BM27" i="8"/>
  <c r="BM42" i="8" s="1"/>
  <c r="BN27" i="8"/>
  <c r="BO27" i="8"/>
  <c r="BP27" i="8"/>
  <c r="BQ27" i="8"/>
  <c r="BR27" i="8"/>
  <c r="BS27" i="8"/>
  <c r="BT27" i="8"/>
  <c r="BU27" i="8"/>
  <c r="BV27" i="8"/>
  <c r="BW27" i="8"/>
  <c r="BX27" i="8"/>
  <c r="BY27" i="8"/>
  <c r="BZ27" i="8"/>
  <c r="CA27" i="8"/>
  <c r="CB27" i="8"/>
  <c r="CC27" i="8"/>
  <c r="CC42" i="8" s="1"/>
  <c r="CD27" i="8"/>
  <c r="CE27" i="8"/>
  <c r="CF27" i="8"/>
  <c r="CG27" i="8"/>
  <c r="CH27" i="8"/>
  <c r="CI27" i="8"/>
  <c r="CJ27" i="8"/>
  <c r="CK27" i="8"/>
  <c r="CL27" i="8"/>
  <c r="CM27" i="8"/>
  <c r="CN27" i="8"/>
  <c r="CO27" i="8"/>
  <c r="CP27" i="8"/>
  <c r="CQ27" i="8"/>
  <c r="CR27" i="8"/>
  <c r="CS27" i="8"/>
  <c r="CS42" i="8" s="1"/>
  <c r="CT27" i="8"/>
  <c r="CU27" i="8"/>
  <c r="CV27" i="8"/>
  <c r="CW27" i="8"/>
  <c r="CX27" i="8"/>
  <c r="CY27" i="8"/>
  <c r="CZ27" i="8"/>
  <c r="DA27" i="8"/>
  <c r="DB27" i="8"/>
  <c r="DC27" i="8"/>
  <c r="DD27" i="8"/>
  <c r="DE27" i="8"/>
  <c r="DF27" i="8"/>
  <c r="DG27" i="8"/>
  <c r="DH27" i="8"/>
  <c r="DI27" i="8"/>
  <c r="DI42" i="8" s="1"/>
  <c r="DJ27" i="8"/>
  <c r="DK27" i="8"/>
  <c r="DL27" i="8"/>
  <c r="DM27" i="8"/>
  <c r="DN27" i="8"/>
  <c r="DO27" i="8"/>
  <c r="DP27" i="8"/>
  <c r="DQ27" i="8"/>
  <c r="DR27" i="8"/>
  <c r="DS27" i="8"/>
  <c r="DT27" i="8"/>
  <c r="DU27" i="8"/>
  <c r="DV27" i="8"/>
  <c r="DW27" i="8"/>
  <c r="DX27" i="8"/>
  <c r="DY27" i="8"/>
  <c r="DY42" i="8" s="1"/>
  <c r="DZ27" i="8"/>
  <c r="EA27" i="8"/>
  <c r="EB27" i="8"/>
  <c r="EC27" i="8"/>
  <c r="ED27" i="8"/>
  <c r="EE27" i="8"/>
  <c r="EF27" i="8"/>
  <c r="EG27" i="8"/>
  <c r="EH27" i="8"/>
  <c r="EI27" i="8"/>
  <c r="EJ27" i="8"/>
  <c r="EK27" i="8"/>
  <c r="EL27" i="8"/>
  <c r="EM27" i="8"/>
  <c r="EN27" i="8"/>
  <c r="EO27" i="8"/>
  <c r="EO42" i="8" s="1"/>
  <c r="EP27" i="8"/>
  <c r="EQ27" i="8"/>
  <c r="ER27" i="8"/>
  <c r="ES27" i="8"/>
  <c r="ET27" i="8"/>
  <c r="EU27" i="8"/>
  <c r="EV27" i="8"/>
  <c r="EW27" i="8"/>
  <c r="EX27" i="8"/>
  <c r="EY27" i="8"/>
  <c r="EZ27" i="8"/>
  <c r="FA27" i="8"/>
  <c r="FB27" i="8"/>
  <c r="FC27" i="8"/>
  <c r="FD27" i="8"/>
  <c r="FE27" i="8"/>
  <c r="FE42" i="8" s="1"/>
  <c r="FF27" i="8"/>
  <c r="FG27" i="8"/>
  <c r="FH27" i="8"/>
  <c r="FI27" i="8"/>
  <c r="FJ27" i="8"/>
  <c r="FK27" i="8"/>
  <c r="FL27" i="8"/>
  <c r="FM27" i="8"/>
  <c r="FN27" i="8"/>
  <c r="FO27" i="8"/>
  <c r="FP27" i="8"/>
  <c r="FQ27" i="8"/>
  <c r="FR27" i="8"/>
  <c r="FS27" i="8"/>
  <c r="FT27" i="8"/>
  <c r="FU27" i="8"/>
  <c r="FU42" i="8" s="1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BA28" i="8"/>
  <c r="BB28" i="8"/>
  <c r="BC28" i="8"/>
  <c r="BD28" i="8"/>
  <c r="BE28" i="8"/>
  <c r="BF28" i="8"/>
  <c r="BG28" i="8"/>
  <c r="BH28" i="8"/>
  <c r="BI28" i="8"/>
  <c r="BJ28" i="8"/>
  <c r="BK28" i="8"/>
  <c r="BL28" i="8"/>
  <c r="BM28" i="8"/>
  <c r="BN28" i="8"/>
  <c r="BO28" i="8"/>
  <c r="BP28" i="8"/>
  <c r="BQ28" i="8"/>
  <c r="BR28" i="8"/>
  <c r="BS28" i="8"/>
  <c r="BT28" i="8"/>
  <c r="BU28" i="8"/>
  <c r="BV28" i="8"/>
  <c r="BW28" i="8"/>
  <c r="BX28" i="8"/>
  <c r="BY28" i="8"/>
  <c r="BZ28" i="8"/>
  <c r="CA28" i="8"/>
  <c r="CB28" i="8"/>
  <c r="CC28" i="8"/>
  <c r="CD28" i="8"/>
  <c r="CE28" i="8"/>
  <c r="CF28" i="8"/>
  <c r="CG28" i="8"/>
  <c r="CH28" i="8"/>
  <c r="CI28" i="8"/>
  <c r="CJ28" i="8"/>
  <c r="CK28" i="8"/>
  <c r="CL28" i="8"/>
  <c r="CM28" i="8"/>
  <c r="CN28" i="8"/>
  <c r="CO28" i="8"/>
  <c r="CP28" i="8"/>
  <c r="CQ28" i="8"/>
  <c r="CR28" i="8"/>
  <c r="CS28" i="8"/>
  <c r="CT28" i="8"/>
  <c r="CU28" i="8"/>
  <c r="CV28" i="8"/>
  <c r="CW28" i="8"/>
  <c r="CX28" i="8"/>
  <c r="CY28" i="8"/>
  <c r="CZ28" i="8"/>
  <c r="DA28" i="8"/>
  <c r="DB28" i="8"/>
  <c r="DC28" i="8"/>
  <c r="DD28" i="8"/>
  <c r="DE28" i="8"/>
  <c r="DF28" i="8"/>
  <c r="DG28" i="8"/>
  <c r="DH28" i="8"/>
  <c r="DI28" i="8"/>
  <c r="DJ28" i="8"/>
  <c r="DK28" i="8"/>
  <c r="DL28" i="8"/>
  <c r="DM28" i="8"/>
  <c r="DN28" i="8"/>
  <c r="DO28" i="8"/>
  <c r="DP28" i="8"/>
  <c r="DQ28" i="8"/>
  <c r="DR28" i="8"/>
  <c r="DS28" i="8"/>
  <c r="DT28" i="8"/>
  <c r="DU28" i="8"/>
  <c r="DV28" i="8"/>
  <c r="DW28" i="8"/>
  <c r="DX28" i="8"/>
  <c r="DY28" i="8"/>
  <c r="DZ28" i="8"/>
  <c r="EA28" i="8"/>
  <c r="EB28" i="8"/>
  <c r="EC28" i="8"/>
  <c r="ED28" i="8"/>
  <c r="EE28" i="8"/>
  <c r="EF28" i="8"/>
  <c r="EG28" i="8"/>
  <c r="EH28" i="8"/>
  <c r="EI28" i="8"/>
  <c r="EJ28" i="8"/>
  <c r="EK28" i="8"/>
  <c r="EL28" i="8"/>
  <c r="EM28" i="8"/>
  <c r="EN28" i="8"/>
  <c r="EO28" i="8"/>
  <c r="EP28" i="8"/>
  <c r="EQ28" i="8"/>
  <c r="ER28" i="8"/>
  <c r="ES28" i="8"/>
  <c r="ET28" i="8"/>
  <c r="EU28" i="8"/>
  <c r="EV28" i="8"/>
  <c r="EW28" i="8"/>
  <c r="EX28" i="8"/>
  <c r="EY28" i="8"/>
  <c r="EZ28" i="8"/>
  <c r="FA28" i="8"/>
  <c r="FB28" i="8"/>
  <c r="FC28" i="8"/>
  <c r="FD28" i="8"/>
  <c r="FE28" i="8"/>
  <c r="FF28" i="8"/>
  <c r="FG28" i="8"/>
  <c r="FH28" i="8"/>
  <c r="FI28" i="8"/>
  <c r="FJ28" i="8"/>
  <c r="FK28" i="8"/>
  <c r="FL28" i="8"/>
  <c r="FM28" i="8"/>
  <c r="FN28" i="8"/>
  <c r="FO28" i="8"/>
  <c r="FP28" i="8"/>
  <c r="FQ28" i="8"/>
  <c r="FR28" i="8"/>
  <c r="FS28" i="8"/>
  <c r="FT28" i="8"/>
  <c r="FU28" i="8"/>
  <c r="F29" i="8"/>
  <c r="G29" i="8"/>
  <c r="H29" i="8"/>
  <c r="I29" i="8"/>
  <c r="I42" i="8" s="1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Y42" i="8" s="1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O42" i="8" s="1"/>
  <c r="AP29" i="8"/>
  <c r="AQ29" i="8"/>
  <c r="AR29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BE42" i="8" s="1"/>
  <c r="BF29" i="8"/>
  <c r="BG29" i="8"/>
  <c r="BH29" i="8"/>
  <c r="BI29" i="8"/>
  <c r="BJ29" i="8"/>
  <c r="BK29" i="8"/>
  <c r="BL29" i="8"/>
  <c r="BM29" i="8"/>
  <c r="BN29" i="8"/>
  <c r="BO29" i="8"/>
  <c r="BP29" i="8"/>
  <c r="BQ29" i="8"/>
  <c r="BR29" i="8"/>
  <c r="BS29" i="8"/>
  <c r="BT29" i="8"/>
  <c r="BU29" i="8"/>
  <c r="BU42" i="8" s="1"/>
  <c r="BV29" i="8"/>
  <c r="BW29" i="8"/>
  <c r="BX29" i="8"/>
  <c r="BY29" i="8"/>
  <c r="BZ29" i="8"/>
  <c r="CA29" i="8"/>
  <c r="CB29" i="8"/>
  <c r="CC29" i="8"/>
  <c r="CD29" i="8"/>
  <c r="CE29" i="8"/>
  <c r="CF29" i="8"/>
  <c r="CG29" i="8"/>
  <c r="CH29" i="8"/>
  <c r="CI29" i="8"/>
  <c r="CJ29" i="8"/>
  <c r="CK29" i="8"/>
  <c r="CK42" i="8" s="1"/>
  <c r="CL29" i="8"/>
  <c r="CM29" i="8"/>
  <c r="CN29" i="8"/>
  <c r="CO29" i="8"/>
  <c r="CP29" i="8"/>
  <c r="CQ29" i="8"/>
  <c r="CR29" i="8"/>
  <c r="CS29" i="8"/>
  <c r="CT29" i="8"/>
  <c r="CU29" i="8"/>
  <c r="CV29" i="8"/>
  <c r="CW29" i="8"/>
  <c r="CX29" i="8"/>
  <c r="CY29" i="8"/>
  <c r="CZ29" i="8"/>
  <c r="DA29" i="8"/>
  <c r="DA42" i="8" s="1"/>
  <c r="DB29" i="8"/>
  <c r="DC29" i="8"/>
  <c r="DD29" i="8"/>
  <c r="DE29" i="8"/>
  <c r="DF29" i="8"/>
  <c r="DG29" i="8"/>
  <c r="DH29" i="8"/>
  <c r="DI29" i="8"/>
  <c r="DJ29" i="8"/>
  <c r="DK29" i="8"/>
  <c r="DL29" i="8"/>
  <c r="DM29" i="8"/>
  <c r="DN29" i="8"/>
  <c r="DO29" i="8"/>
  <c r="DP29" i="8"/>
  <c r="DQ29" i="8"/>
  <c r="DQ42" i="8" s="1"/>
  <c r="DR29" i="8"/>
  <c r="DS29" i="8"/>
  <c r="DT29" i="8"/>
  <c r="DU29" i="8"/>
  <c r="DV29" i="8"/>
  <c r="DW29" i="8"/>
  <c r="DX29" i="8"/>
  <c r="DY29" i="8"/>
  <c r="DZ29" i="8"/>
  <c r="EA29" i="8"/>
  <c r="EB29" i="8"/>
  <c r="EC29" i="8"/>
  <c r="ED29" i="8"/>
  <c r="EE29" i="8"/>
  <c r="EF29" i="8"/>
  <c r="EG29" i="8"/>
  <c r="EG42" i="8" s="1"/>
  <c r="EH29" i="8"/>
  <c r="EI29" i="8"/>
  <c r="EJ29" i="8"/>
  <c r="EK29" i="8"/>
  <c r="EL29" i="8"/>
  <c r="EM29" i="8"/>
  <c r="EN29" i="8"/>
  <c r="EO29" i="8"/>
  <c r="EP29" i="8"/>
  <c r="EQ29" i="8"/>
  <c r="ER29" i="8"/>
  <c r="ES29" i="8"/>
  <c r="ET29" i="8"/>
  <c r="EU29" i="8"/>
  <c r="EV29" i="8"/>
  <c r="EW29" i="8"/>
  <c r="EW42" i="8" s="1"/>
  <c r="EX29" i="8"/>
  <c r="EY29" i="8"/>
  <c r="EZ29" i="8"/>
  <c r="FA29" i="8"/>
  <c r="FB29" i="8"/>
  <c r="FC29" i="8"/>
  <c r="FD29" i="8"/>
  <c r="FE29" i="8"/>
  <c r="FF29" i="8"/>
  <c r="FG29" i="8"/>
  <c r="FH29" i="8"/>
  <c r="FI29" i="8"/>
  <c r="FJ29" i="8"/>
  <c r="FK29" i="8"/>
  <c r="FL29" i="8"/>
  <c r="FM29" i="8"/>
  <c r="FM42" i="8" s="1"/>
  <c r="FN29" i="8"/>
  <c r="FO29" i="8"/>
  <c r="FP29" i="8"/>
  <c r="FQ29" i="8"/>
  <c r="FR29" i="8"/>
  <c r="FS29" i="8"/>
  <c r="FT29" i="8"/>
  <c r="FU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BF30" i="8"/>
  <c r="BG30" i="8"/>
  <c r="BH30" i="8"/>
  <c r="BI30" i="8"/>
  <c r="BJ30" i="8"/>
  <c r="BK30" i="8"/>
  <c r="BL30" i="8"/>
  <c r="BM30" i="8"/>
  <c r="BN30" i="8"/>
  <c r="BO30" i="8"/>
  <c r="BP30" i="8"/>
  <c r="BQ30" i="8"/>
  <c r="BR30" i="8"/>
  <c r="BS30" i="8"/>
  <c r="BT30" i="8"/>
  <c r="BU30" i="8"/>
  <c r="BV30" i="8"/>
  <c r="BW30" i="8"/>
  <c r="BX30" i="8"/>
  <c r="BY30" i="8"/>
  <c r="BZ30" i="8"/>
  <c r="CA30" i="8"/>
  <c r="CB30" i="8"/>
  <c r="CC30" i="8"/>
  <c r="CD30" i="8"/>
  <c r="CE30" i="8"/>
  <c r="CF30" i="8"/>
  <c r="CG30" i="8"/>
  <c r="CH30" i="8"/>
  <c r="CI30" i="8"/>
  <c r="CJ30" i="8"/>
  <c r="CK30" i="8"/>
  <c r="CL30" i="8"/>
  <c r="CM30" i="8"/>
  <c r="CN30" i="8"/>
  <c r="CO30" i="8"/>
  <c r="CP30" i="8"/>
  <c r="CQ30" i="8"/>
  <c r="CR30" i="8"/>
  <c r="CS30" i="8"/>
  <c r="CT30" i="8"/>
  <c r="CU30" i="8"/>
  <c r="CV30" i="8"/>
  <c r="CW30" i="8"/>
  <c r="CX30" i="8"/>
  <c r="CY30" i="8"/>
  <c r="CZ30" i="8"/>
  <c r="DA30" i="8"/>
  <c r="DB30" i="8"/>
  <c r="DC30" i="8"/>
  <c r="DD30" i="8"/>
  <c r="DE30" i="8"/>
  <c r="DF30" i="8"/>
  <c r="DG30" i="8"/>
  <c r="DH30" i="8"/>
  <c r="DI30" i="8"/>
  <c r="DJ30" i="8"/>
  <c r="DK30" i="8"/>
  <c r="DL30" i="8"/>
  <c r="DM30" i="8"/>
  <c r="DN30" i="8"/>
  <c r="DO30" i="8"/>
  <c r="DP30" i="8"/>
  <c r="DQ30" i="8"/>
  <c r="DR30" i="8"/>
  <c r="DS30" i="8"/>
  <c r="DT30" i="8"/>
  <c r="DU30" i="8"/>
  <c r="DV30" i="8"/>
  <c r="DW30" i="8"/>
  <c r="DX30" i="8"/>
  <c r="DY30" i="8"/>
  <c r="DZ30" i="8"/>
  <c r="EA30" i="8"/>
  <c r="EB30" i="8"/>
  <c r="EC30" i="8"/>
  <c r="ED30" i="8"/>
  <c r="EE30" i="8"/>
  <c r="EF30" i="8"/>
  <c r="EG30" i="8"/>
  <c r="EH30" i="8"/>
  <c r="EI30" i="8"/>
  <c r="EJ30" i="8"/>
  <c r="EK30" i="8"/>
  <c r="EL30" i="8"/>
  <c r="EM30" i="8"/>
  <c r="EN30" i="8"/>
  <c r="EO30" i="8"/>
  <c r="EP30" i="8"/>
  <c r="EQ30" i="8"/>
  <c r="ER30" i="8"/>
  <c r="ES30" i="8"/>
  <c r="ET30" i="8"/>
  <c r="EU30" i="8"/>
  <c r="EV30" i="8"/>
  <c r="EW30" i="8"/>
  <c r="EX30" i="8"/>
  <c r="EY30" i="8"/>
  <c r="EZ30" i="8"/>
  <c r="FA30" i="8"/>
  <c r="FB30" i="8"/>
  <c r="FC30" i="8"/>
  <c r="FD30" i="8"/>
  <c r="FE30" i="8"/>
  <c r="FF30" i="8"/>
  <c r="FG30" i="8"/>
  <c r="FH30" i="8"/>
  <c r="FI30" i="8"/>
  <c r="FJ30" i="8"/>
  <c r="FK30" i="8"/>
  <c r="FL30" i="8"/>
  <c r="FM30" i="8"/>
  <c r="FN30" i="8"/>
  <c r="FO30" i="8"/>
  <c r="FP30" i="8"/>
  <c r="FQ30" i="8"/>
  <c r="FR30" i="8"/>
  <c r="FS30" i="8"/>
  <c r="FT30" i="8"/>
  <c r="FU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AQ31" i="8"/>
  <c r="AR31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BF31" i="8"/>
  <c r="BG31" i="8"/>
  <c r="BH31" i="8"/>
  <c r="BI31" i="8"/>
  <c r="BJ31" i="8"/>
  <c r="BK31" i="8"/>
  <c r="BL31" i="8"/>
  <c r="BM31" i="8"/>
  <c r="BN31" i="8"/>
  <c r="BO31" i="8"/>
  <c r="BP31" i="8"/>
  <c r="BQ31" i="8"/>
  <c r="BR31" i="8"/>
  <c r="BS31" i="8"/>
  <c r="BT31" i="8"/>
  <c r="BU31" i="8"/>
  <c r="BV31" i="8"/>
  <c r="BW31" i="8"/>
  <c r="BX31" i="8"/>
  <c r="BY31" i="8"/>
  <c r="BZ31" i="8"/>
  <c r="CA31" i="8"/>
  <c r="CB31" i="8"/>
  <c r="CC31" i="8"/>
  <c r="CD31" i="8"/>
  <c r="CE31" i="8"/>
  <c r="CF31" i="8"/>
  <c r="CG31" i="8"/>
  <c r="CH31" i="8"/>
  <c r="CI31" i="8"/>
  <c r="CJ31" i="8"/>
  <c r="CK31" i="8"/>
  <c r="CL31" i="8"/>
  <c r="CM31" i="8"/>
  <c r="CN31" i="8"/>
  <c r="CO31" i="8"/>
  <c r="CP31" i="8"/>
  <c r="CQ31" i="8"/>
  <c r="CR31" i="8"/>
  <c r="CS31" i="8"/>
  <c r="CT31" i="8"/>
  <c r="CU31" i="8"/>
  <c r="CV31" i="8"/>
  <c r="CW31" i="8"/>
  <c r="CX31" i="8"/>
  <c r="CY31" i="8"/>
  <c r="CZ31" i="8"/>
  <c r="DA31" i="8"/>
  <c r="DB31" i="8"/>
  <c r="DC31" i="8"/>
  <c r="DD31" i="8"/>
  <c r="DE31" i="8"/>
  <c r="DF31" i="8"/>
  <c r="DG31" i="8"/>
  <c r="DH31" i="8"/>
  <c r="DI31" i="8"/>
  <c r="DJ31" i="8"/>
  <c r="DK31" i="8"/>
  <c r="DL31" i="8"/>
  <c r="DM31" i="8"/>
  <c r="DN31" i="8"/>
  <c r="DO31" i="8"/>
  <c r="DP31" i="8"/>
  <c r="DQ31" i="8"/>
  <c r="DR31" i="8"/>
  <c r="DS31" i="8"/>
  <c r="DT31" i="8"/>
  <c r="DU31" i="8"/>
  <c r="DV31" i="8"/>
  <c r="DW31" i="8"/>
  <c r="DX31" i="8"/>
  <c r="DY31" i="8"/>
  <c r="DZ31" i="8"/>
  <c r="EA31" i="8"/>
  <c r="EB31" i="8"/>
  <c r="EC31" i="8"/>
  <c r="ED31" i="8"/>
  <c r="EE31" i="8"/>
  <c r="EF31" i="8"/>
  <c r="EG31" i="8"/>
  <c r="EH31" i="8"/>
  <c r="EI31" i="8"/>
  <c r="EJ31" i="8"/>
  <c r="EK31" i="8"/>
  <c r="EL31" i="8"/>
  <c r="EM31" i="8"/>
  <c r="EN31" i="8"/>
  <c r="EO31" i="8"/>
  <c r="EP31" i="8"/>
  <c r="EQ31" i="8"/>
  <c r="ER31" i="8"/>
  <c r="ES31" i="8"/>
  <c r="ET31" i="8"/>
  <c r="EU31" i="8"/>
  <c r="EV31" i="8"/>
  <c r="EW31" i="8"/>
  <c r="EX31" i="8"/>
  <c r="EY31" i="8"/>
  <c r="EZ31" i="8"/>
  <c r="FA31" i="8"/>
  <c r="FB31" i="8"/>
  <c r="FC31" i="8"/>
  <c r="FD31" i="8"/>
  <c r="FE31" i="8"/>
  <c r="FF31" i="8"/>
  <c r="FG31" i="8"/>
  <c r="FH31" i="8"/>
  <c r="FI31" i="8"/>
  <c r="FJ31" i="8"/>
  <c r="FK31" i="8"/>
  <c r="FL31" i="8"/>
  <c r="FM31" i="8"/>
  <c r="FN31" i="8"/>
  <c r="FO31" i="8"/>
  <c r="FP31" i="8"/>
  <c r="FQ31" i="8"/>
  <c r="FR31" i="8"/>
  <c r="FS31" i="8"/>
  <c r="FT31" i="8"/>
  <c r="FU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BA32" i="8"/>
  <c r="BB32" i="8"/>
  <c r="BC32" i="8"/>
  <c r="BD32" i="8"/>
  <c r="BE32" i="8"/>
  <c r="BF32" i="8"/>
  <c r="BG32" i="8"/>
  <c r="BH32" i="8"/>
  <c r="BI32" i="8"/>
  <c r="BJ32" i="8"/>
  <c r="BK32" i="8"/>
  <c r="BL32" i="8"/>
  <c r="BM32" i="8"/>
  <c r="BN32" i="8"/>
  <c r="BO32" i="8"/>
  <c r="BP32" i="8"/>
  <c r="BQ32" i="8"/>
  <c r="BR32" i="8"/>
  <c r="BS32" i="8"/>
  <c r="BT32" i="8"/>
  <c r="BU32" i="8"/>
  <c r="BV32" i="8"/>
  <c r="BW32" i="8"/>
  <c r="BX32" i="8"/>
  <c r="BY32" i="8"/>
  <c r="BZ32" i="8"/>
  <c r="CA32" i="8"/>
  <c r="CB32" i="8"/>
  <c r="CC32" i="8"/>
  <c r="CD32" i="8"/>
  <c r="CE32" i="8"/>
  <c r="CF32" i="8"/>
  <c r="CG32" i="8"/>
  <c r="CH32" i="8"/>
  <c r="CI32" i="8"/>
  <c r="CJ32" i="8"/>
  <c r="CK32" i="8"/>
  <c r="CL32" i="8"/>
  <c r="CM32" i="8"/>
  <c r="CN32" i="8"/>
  <c r="CO32" i="8"/>
  <c r="CP32" i="8"/>
  <c r="CQ32" i="8"/>
  <c r="CR32" i="8"/>
  <c r="CS32" i="8"/>
  <c r="CT32" i="8"/>
  <c r="CU32" i="8"/>
  <c r="CV32" i="8"/>
  <c r="CW32" i="8"/>
  <c r="CX32" i="8"/>
  <c r="CY32" i="8"/>
  <c r="CZ32" i="8"/>
  <c r="DA32" i="8"/>
  <c r="DB32" i="8"/>
  <c r="DC32" i="8"/>
  <c r="DD32" i="8"/>
  <c r="DE32" i="8"/>
  <c r="DF32" i="8"/>
  <c r="DG32" i="8"/>
  <c r="DH32" i="8"/>
  <c r="DI32" i="8"/>
  <c r="DJ32" i="8"/>
  <c r="DK32" i="8"/>
  <c r="DL32" i="8"/>
  <c r="DM32" i="8"/>
  <c r="DN32" i="8"/>
  <c r="DO32" i="8"/>
  <c r="DP32" i="8"/>
  <c r="DQ32" i="8"/>
  <c r="DR32" i="8"/>
  <c r="DS32" i="8"/>
  <c r="DT32" i="8"/>
  <c r="DU32" i="8"/>
  <c r="DV32" i="8"/>
  <c r="DW32" i="8"/>
  <c r="DX32" i="8"/>
  <c r="DY32" i="8"/>
  <c r="DZ32" i="8"/>
  <c r="EA32" i="8"/>
  <c r="EB32" i="8"/>
  <c r="EC32" i="8"/>
  <c r="ED32" i="8"/>
  <c r="EE32" i="8"/>
  <c r="EF32" i="8"/>
  <c r="EG32" i="8"/>
  <c r="EH32" i="8"/>
  <c r="EI32" i="8"/>
  <c r="EJ32" i="8"/>
  <c r="EK32" i="8"/>
  <c r="EL32" i="8"/>
  <c r="EM32" i="8"/>
  <c r="EN32" i="8"/>
  <c r="EO32" i="8"/>
  <c r="EP32" i="8"/>
  <c r="EQ32" i="8"/>
  <c r="ER32" i="8"/>
  <c r="ES32" i="8"/>
  <c r="ET32" i="8"/>
  <c r="EU32" i="8"/>
  <c r="EV32" i="8"/>
  <c r="EW32" i="8"/>
  <c r="EX32" i="8"/>
  <c r="EY32" i="8"/>
  <c r="EZ32" i="8"/>
  <c r="FA32" i="8"/>
  <c r="FB32" i="8"/>
  <c r="FC32" i="8"/>
  <c r="FD32" i="8"/>
  <c r="FE32" i="8"/>
  <c r="FF32" i="8"/>
  <c r="FG32" i="8"/>
  <c r="FH32" i="8"/>
  <c r="FI32" i="8"/>
  <c r="FJ32" i="8"/>
  <c r="FK32" i="8"/>
  <c r="FL32" i="8"/>
  <c r="FM32" i="8"/>
  <c r="FN32" i="8"/>
  <c r="FO32" i="8"/>
  <c r="FP32" i="8"/>
  <c r="FQ32" i="8"/>
  <c r="FR32" i="8"/>
  <c r="FS32" i="8"/>
  <c r="FT32" i="8"/>
  <c r="FU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BA33" i="8"/>
  <c r="BB33" i="8"/>
  <c r="BC33" i="8"/>
  <c r="BD33" i="8"/>
  <c r="BE33" i="8"/>
  <c r="BF33" i="8"/>
  <c r="BG33" i="8"/>
  <c r="BH33" i="8"/>
  <c r="BI33" i="8"/>
  <c r="BJ33" i="8"/>
  <c r="BK33" i="8"/>
  <c r="BL33" i="8"/>
  <c r="BM33" i="8"/>
  <c r="BN33" i="8"/>
  <c r="BO33" i="8"/>
  <c r="BP33" i="8"/>
  <c r="BQ33" i="8"/>
  <c r="BR33" i="8"/>
  <c r="BS33" i="8"/>
  <c r="BT33" i="8"/>
  <c r="BU33" i="8"/>
  <c r="BV33" i="8"/>
  <c r="BW33" i="8"/>
  <c r="BX33" i="8"/>
  <c r="BY33" i="8"/>
  <c r="BZ33" i="8"/>
  <c r="CA33" i="8"/>
  <c r="CB33" i="8"/>
  <c r="CC33" i="8"/>
  <c r="CD33" i="8"/>
  <c r="CE33" i="8"/>
  <c r="CF33" i="8"/>
  <c r="CG33" i="8"/>
  <c r="CH33" i="8"/>
  <c r="CI33" i="8"/>
  <c r="CJ33" i="8"/>
  <c r="CK33" i="8"/>
  <c r="CL33" i="8"/>
  <c r="CM33" i="8"/>
  <c r="CN33" i="8"/>
  <c r="CO33" i="8"/>
  <c r="CP33" i="8"/>
  <c r="CQ33" i="8"/>
  <c r="CR33" i="8"/>
  <c r="CS33" i="8"/>
  <c r="CT33" i="8"/>
  <c r="CU33" i="8"/>
  <c r="CV33" i="8"/>
  <c r="CW33" i="8"/>
  <c r="CX33" i="8"/>
  <c r="CY33" i="8"/>
  <c r="CZ33" i="8"/>
  <c r="DA33" i="8"/>
  <c r="DB33" i="8"/>
  <c r="DC33" i="8"/>
  <c r="DD33" i="8"/>
  <c r="DE33" i="8"/>
  <c r="DF33" i="8"/>
  <c r="DG33" i="8"/>
  <c r="DH33" i="8"/>
  <c r="DI33" i="8"/>
  <c r="DJ33" i="8"/>
  <c r="DK33" i="8"/>
  <c r="DL33" i="8"/>
  <c r="DM33" i="8"/>
  <c r="DN33" i="8"/>
  <c r="DO33" i="8"/>
  <c r="DP33" i="8"/>
  <c r="DQ33" i="8"/>
  <c r="DR33" i="8"/>
  <c r="DS33" i="8"/>
  <c r="DT33" i="8"/>
  <c r="DU33" i="8"/>
  <c r="DV33" i="8"/>
  <c r="DW33" i="8"/>
  <c r="DX33" i="8"/>
  <c r="DY33" i="8"/>
  <c r="DZ33" i="8"/>
  <c r="EA33" i="8"/>
  <c r="EB33" i="8"/>
  <c r="EC33" i="8"/>
  <c r="ED33" i="8"/>
  <c r="EE33" i="8"/>
  <c r="EF33" i="8"/>
  <c r="EG33" i="8"/>
  <c r="EH33" i="8"/>
  <c r="EI33" i="8"/>
  <c r="EJ33" i="8"/>
  <c r="EK33" i="8"/>
  <c r="EL33" i="8"/>
  <c r="EM33" i="8"/>
  <c r="EN33" i="8"/>
  <c r="EO33" i="8"/>
  <c r="EP33" i="8"/>
  <c r="EQ33" i="8"/>
  <c r="ER33" i="8"/>
  <c r="ES33" i="8"/>
  <c r="ET33" i="8"/>
  <c r="EU33" i="8"/>
  <c r="EV33" i="8"/>
  <c r="EW33" i="8"/>
  <c r="EX33" i="8"/>
  <c r="EY33" i="8"/>
  <c r="EZ33" i="8"/>
  <c r="FA33" i="8"/>
  <c r="FB33" i="8"/>
  <c r="FC33" i="8"/>
  <c r="FD33" i="8"/>
  <c r="FE33" i="8"/>
  <c r="FF33" i="8"/>
  <c r="FG33" i="8"/>
  <c r="FH33" i="8"/>
  <c r="FI33" i="8"/>
  <c r="FJ33" i="8"/>
  <c r="FK33" i="8"/>
  <c r="FL33" i="8"/>
  <c r="FM33" i="8"/>
  <c r="FN33" i="8"/>
  <c r="FO33" i="8"/>
  <c r="FP33" i="8"/>
  <c r="FQ33" i="8"/>
  <c r="FR33" i="8"/>
  <c r="FS33" i="8"/>
  <c r="FT33" i="8"/>
  <c r="FU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AQ34" i="8"/>
  <c r="AR34" i="8"/>
  <c r="AS34" i="8"/>
  <c r="AT34" i="8"/>
  <c r="AU34" i="8"/>
  <c r="AV34" i="8"/>
  <c r="AW34" i="8"/>
  <c r="AX34" i="8"/>
  <c r="AY34" i="8"/>
  <c r="AZ34" i="8"/>
  <c r="BA34" i="8"/>
  <c r="BB34" i="8"/>
  <c r="BC34" i="8"/>
  <c r="BD34" i="8"/>
  <c r="BE34" i="8"/>
  <c r="BF34" i="8"/>
  <c r="BG34" i="8"/>
  <c r="BH34" i="8"/>
  <c r="BI34" i="8"/>
  <c r="BJ34" i="8"/>
  <c r="BK34" i="8"/>
  <c r="BL34" i="8"/>
  <c r="BM34" i="8"/>
  <c r="BN34" i="8"/>
  <c r="BO34" i="8"/>
  <c r="BP34" i="8"/>
  <c r="BQ34" i="8"/>
  <c r="BR34" i="8"/>
  <c r="BS34" i="8"/>
  <c r="BT34" i="8"/>
  <c r="BU34" i="8"/>
  <c r="BV34" i="8"/>
  <c r="BW34" i="8"/>
  <c r="BX34" i="8"/>
  <c r="BY34" i="8"/>
  <c r="BZ34" i="8"/>
  <c r="CA34" i="8"/>
  <c r="CB34" i="8"/>
  <c r="CC34" i="8"/>
  <c r="CD34" i="8"/>
  <c r="CE34" i="8"/>
  <c r="CF34" i="8"/>
  <c r="CG34" i="8"/>
  <c r="CH34" i="8"/>
  <c r="CI34" i="8"/>
  <c r="CJ34" i="8"/>
  <c r="CK34" i="8"/>
  <c r="CL34" i="8"/>
  <c r="CM34" i="8"/>
  <c r="CN34" i="8"/>
  <c r="CO34" i="8"/>
  <c r="CP34" i="8"/>
  <c r="CQ34" i="8"/>
  <c r="CR34" i="8"/>
  <c r="CS34" i="8"/>
  <c r="CT34" i="8"/>
  <c r="CU34" i="8"/>
  <c r="CV34" i="8"/>
  <c r="CW34" i="8"/>
  <c r="CX34" i="8"/>
  <c r="CY34" i="8"/>
  <c r="CZ34" i="8"/>
  <c r="DA34" i="8"/>
  <c r="DB34" i="8"/>
  <c r="DC34" i="8"/>
  <c r="DD34" i="8"/>
  <c r="DE34" i="8"/>
  <c r="DF34" i="8"/>
  <c r="DG34" i="8"/>
  <c r="DH34" i="8"/>
  <c r="DI34" i="8"/>
  <c r="DJ34" i="8"/>
  <c r="DK34" i="8"/>
  <c r="DL34" i="8"/>
  <c r="DM34" i="8"/>
  <c r="DN34" i="8"/>
  <c r="DO34" i="8"/>
  <c r="DP34" i="8"/>
  <c r="DQ34" i="8"/>
  <c r="DR34" i="8"/>
  <c r="DS34" i="8"/>
  <c r="DT34" i="8"/>
  <c r="DU34" i="8"/>
  <c r="DV34" i="8"/>
  <c r="DW34" i="8"/>
  <c r="DX34" i="8"/>
  <c r="DY34" i="8"/>
  <c r="DZ34" i="8"/>
  <c r="EA34" i="8"/>
  <c r="EB34" i="8"/>
  <c r="EC34" i="8"/>
  <c r="ED34" i="8"/>
  <c r="EE34" i="8"/>
  <c r="EF34" i="8"/>
  <c r="EG34" i="8"/>
  <c r="EH34" i="8"/>
  <c r="EI34" i="8"/>
  <c r="EJ34" i="8"/>
  <c r="EK34" i="8"/>
  <c r="EL34" i="8"/>
  <c r="EM34" i="8"/>
  <c r="EN34" i="8"/>
  <c r="EO34" i="8"/>
  <c r="EP34" i="8"/>
  <c r="EQ34" i="8"/>
  <c r="ER34" i="8"/>
  <c r="ES34" i="8"/>
  <c r="ET34" i="8"/>
  <c r="EU34" i="8"/>
  <c r="EV34" i="8"/>
  <c r="EW34" i="8"/>
  <c r="EX34" i="8"/>
  <c r="EY34" i="8"/>
  <c r="EZ34" i="8"/>
  <c r="FA34" i="8"/>
  <c r="FB34" i="8"/>
  <c r="FC34" i="8"/>
  <c r="FD34" i="8"/>
  <c r="FE34" i="8"/>
  <c r="FF34" i="8"/>
  <c r="FG34" i="8"/>
  <c r="FH34" i="8"/>
  <c r="FI34" i="8"/>
  <c r="FJ34" i="8"/>
  <c r="FK34" i="8"/>
  <c r="FL34" i="8"/>
  <c r="FM34" i="8"/>
  <c r="FN34" i="8"/>
  <c r="FO34" i="8"/>
  <c r="FP34" i="8"/>
  <c r="FQ34" i="8"/>
  <c r="FR34" i="8"/>
  <c r="FS34" i="8"/>
  <c r="FT34" i="8"/>
  <c r="FU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BQ35" i="8"/>
  <c r="BR35" i="8"/>
  <c r="BS35" i="8"/>
  <c r="BT35" i="8"/>
  <c r="BU35" i="8"/>
  <c r="BV35" i="8"/>
  <c r="BW35" i="8"/>
  <c r="BX35" i="8"/>
  <c r="BY35" i="8"/>
  <c r="BZ35" i="8"/>
  <c r="CA35" i="8"/>
  <c r="CB35" i="8"/>
  <c r="CC35" i="8"/>
  <c r="CD35" i="8"/>
  <c r="CE35" i="8"/>
  <c r="CF35" i="8"/>
  <c r="CG35" i="8"/>
  <c r="CH35" i="8"/>
  <c r="CI35" i="8"/>
  <c r="CJ35" i="8"/>
  <c r="CK35" i="8"/>
  <c r="CL35" i="8"/>
  <c r="CM35" i="8"/>
  <c r="CN35" i="8"/>
  <c r="CO35" i="8"/>
  <c r="CP35" i="8"/>
  <c r="CQ35" i="8"/>
  <c r="CR35" i="8"/>
  <c r="CS35" i="8"/>
  <c r="CT35" i="8"/>
  <c r="CU35" i="8"/>
  <c r="CV35" i="8"/>
  <c r="CW35" i="8"/>
  <c r="CX35" i="8"/>
  <c r="CY35" i="8"/>
  <c r="CZ35" i="8"/>
  <c r="DA35" i="8"/>
  <c r="DB35" i="8"/>
  <c r="DC35" i="8"/>
  <c r="DD35" i="8"/>
  <c r="DE35" i="8"/>
  <c r="DF35" i="8"/>
  <c r="DG35" i="8"/>
  <c r="DH35" i="8"/>
  <c r="DI35" i="8"/>
  <c r="DJ35" i="8"/>
  <c r="DK35" i="8"/>
  <c r="DL35" i="8"/>
  <c r="DM35" i="8"/>
  <c r="DN35" i="8"/>
  <c r="DO35" i="8"/>
  <c r="DP35" i="8"/>
  <c r="DQ35" i="8"/>
  <c r="DR35" i="8"/>
  <c r="DS35" i="8"/>
  <c r="DT35" i="8"/>
  <c r="DU35" i="8"/>
  <c r="DV35" i="8"/>
  <c r="DW35" i="8"/>
  <c r="DX35" i="8"/>
  <c r="DY35" i="8"/>
  <c r="DZ35" i="8"/>
  <c r="EA35" i="8"/>
  <c r="EB35" i="8"/>
  <c r="EC35" i="8"/>
  <c r="ED35" i="8"/>
  <c r="EE35" i="8"/>
  <c r="EF35" i="8"/>
  <c r="EG35" i="8"/>
  <c r="EH35" i="8"/>
  <c r="EI35" i="8"/>
  <c r="EJ35" i="8"/>
  <c r="EK35" i="8"/>
  <c r="EL35" i="8"/>
  <c r="EM35" i="8"/>
  <c r="EN35" i="8"/>
  <c r="EO35" i="8"/>
  <c r="EP35" i="8"/>
  <c r="EQ35" i="8"/>
  <c r="ER35" i="8"/>
  <c r="ES35" i="8"/>
  <c r="ET35" i="8"/>
  <c r="EU35" i="8"/>
  <c r="EV35" i="8"/>
  <c r="EW35" i="8"/>
  <c r="EX35" i="8"/>
  <c r="EY35" i="8"/>
  <c r="EZ35" i="8"/>
  <c r="FA35" i="8"/>
  <c r="FB35" i="8"/>
  <c r="FC35" i="8"/>
  <c r="FD35" i="8"/>
  <c r="FE35" i="8"/>
  <c r="FF35" i="8"/>
  <c r="FG35" i="8"/>
  <c r="FH35" i="8"/>
  <c r="FI35" i="8"/>
  <c r="FJ35" i="8"/>
  <c r="FK35" i="8"/>
  <c r="FL35" i="8"/>
  <c r="FM35" i="8"/>
  <c r="FN35" i="8"/>
  <c r="FO35" i="8"/>
  <c r="FP35" i="8"/>
  <c r="FQ35" i="8"/>
  <c r="FR35" i="8"/>
  <c r="FS35" i="8"/>
  <c r="FT35" i="8"/>
  <c r="FU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BQ36" i="8"/>
  <c r="BR36" i="8"/>
  <c r="BS36" i="8"/>
  <c r="BT36" i="8"/>
  <c r="BU36" i="8"/>
  <c r="BV36" i="8"/>
  <c r="BW36" i="8"/>
  <c r="BX36" i="8"/>
  <c r="BY36" i="8"/>
  <c r="BZ36" i="8"/>
  <c r="CA36" i="8"/>
  <c r="CB36" i="8"/>
  <c r="CC36" i="8"/>
  <c r="CD36" i="8"/>
  <c r="CE36" i="8"/>
  <c r="CF36" i="8"/>
  <c r="CG36" i="8"/>
  <c r="CH36" i="8"/>
  <c r="CI36" i="8"/>
  <c r="CJ36" i="8"/>
  <c r="CK36" i="8"/>
  <c r="CL36" i="8"/>
  <c r="CM36" i="8"/>
  <c r="CN36" i="8"/>
  <c r="CO36" i="8"/>
  <c r="CP36" i="8"/>
  <c r="CQ36" i="8"/>
  <c r="CR36" i="8"/>
  <c r="CS36" i="8"/>
  <c r="CT36" i="8"/>
  <c r="CU36" i="8"/>
  <c r="CV36" i="8"/>
  <c r="CW36" i="8"/>
  <c r="CX36" i="8"/>
  <c r="CY36" i="8"/>
  <c r="CZ36" i="8"/>
  <c r="DA36" i="8"/>
  <c r="DB36" i="8"/>
  <c r="DC36" i="8"/>
  <c r="DD36" i="8"/>
  <c r="DE36" i="8"/>
  <c r="DF36" i="8"/>
  <c r="DG36" i="8"/>
  <c r="DH36" i="8"/>
  <c r="DI36" i="8"/>
  <c r="DJ36" i="8"/>
  <c r="DK36" i="8"/>
  <c r="DL36" i="8"/>
  <c r="DM36" i="8"/>
  <c r="DN36" i="8"/>
  <c r="DO36" i="8"/>
  <c r="DP36" i="8"/>
  <c r="DQ36" i="8"/>
  <c r="DR36" i="8"/>
  <c r="DS36" i="8"/>
  <c r="DT36" i="8"/>
  <c r="DU36" i="8"/>
  <c r="DV36" i="8"/>
  <c r="DW36" i="8"/>
  <c r="DX36" i="8"/>
  <c r="DY36" i="8"/>
  <c r="DZ36" i="8"/>
  <c r="EA36" i="8"/>
  <c r="EB36" i="8"/>
  <c r="EC36" i="8"/>
  <c r="ED36" i="8"/>
  <c r="EE36" i="8"/>
  <c r="EF36" i="8"/>
  <c r="EG36" i="8"/>
  <c r="EH36" i="8"/>
  <c r="EI36" i="8"/>
  <c r="EJ36" i="8"/>
  <c r="EK36" i="8"/>
  <c r="EL36" i="8"/>
  <c r="EM36" i="8"/>
  <c r="EN36" i="8"/>
  <c r="EO36" i="8"/>
  <c r="EP36" i="8"/>
  <c r="EQ36" i="8"/>
  <c r="ER36" i="8"/>
  <c r="ES36" i="8"/>
  <c r="ET36" i="8"/>
  <c r="EU36" i="8"/>
  <c r="EV36" i="8"/>
  <c r="EW36" i="8"/>
  <c r="EX36" i="8"/>
  <c r="EY36" i="8"/>
  <c r="EZ36" i="8"/>
  <c r="FA36" i="8"/>
  <c r="FB36" i="8"/>
  <c r="FC36" i="8"/>
  <c r="FD36" i="8"/>
  <c r="FE36" i="8"/>
  <c r="FF36" i="8"/>
  <c r="FG36" i="8"/>
  <c r="FH36" i="8"/>
  <c r="FI36" i="8"/>
  <c r="FJ36" i="8"/>
  <c r="FK36" i="8"/>
  <c r="FL36" i="8"/>
  <c r="FM36" i="8"/>
  <c r="FN36" i="8"/>
  <c r="FO36" i="8"/>
  <c r="FP36" i="8"/>
  <c r="FQ36" i="8"/>
  <c r="FR36" i="8"/>
  <c r="FS36" i="8"/>
  <c r="FT36" i="8"/>
  <c r="FU36" i="8"/>
  <c r="F37" i="8"/>
  <c r="F42" i="8" s="1"/>
  <c r="G37" i="8"/>
  <c r="H37" i="8"/>
  <c r="H42" i="8" s="1"/>
  <c r="I37" i="8"/>
  <c r="J37" i="8"/>
  <c r="K37" i="8"/>
  <c r="L37" i="8"/>
  <c r="M37" i="8"/>
  <c r="N37" i="8"/>
  <c r="N42" i="8" s="1"/>
  <c r="O37" i="8"/>
  <c r="P37" i="8"/>
  <c r="Q37" i="8"/>
  <c r="R37" i="8"/>
  <c r="S37" i="8"/>
  <c r="T37" i="8"/>
  <c r="U37" i="8"/>
  <c r="V37" i="8"/>
  <c r="V42" i="8" s="1"/>
  <c r="W37" i="8"/>
  <c r="X37" i="8"/>
  <c r="X42" i="8" s="1"/>
  <c r="Y37" i="8"/>
  <c r="Z37" i="8"/>
  <c r="AA37" i="8"/>
  <c r="AB37" i="8"/>
  <c r="AC37" i="8"/>
  <c r="AD37" i="8"/>
  <c r="AD42" i="8" s="1"/>
  <c r="AE37" i="8"/>
  <c r="AF37" i="8"/>
  <c r="AG37" i="8"/>
  <c r="AH37" i="8"/>
  <c r="AI37" i="8"/>
  <c r="AJ37" i="8"/>
  <c r="AK37" i="8"/>
  <c r="AL37" i="8"/>
  <c r="AL42" i="8" s="1"/>
  <c r="AM37" i="8"/>
  <c r="AN37" i="8"/>
  <c r="AN42" i="8" s="1"/>
  <c r="AO37" i="8"/>
  <c r="AP37" i="8"/>
  <c r="AQ37" i="8"/>
  <c r="AR37" i="8"/>
  <c r="AS37" i="8"/>
  <c r="AT37" i="8"/>
  <c r="AT42" i="8" s="1"/>
  <c r="AU37" i="8"/>
  <c r="AV37" i="8"/>
  <c r="AW37" i="8"/>
  <c r="AX37" i="8"/>
  <c r="AY37" i="8"/>
  <c r="AZ37" i="8"/>
  <c r="BA37" i="8"/>
  <c r="BB37" i="8"/>
  <c r="BB42" i="8" s="1"/>
  <c r="BC37" i="8"/>
  <c r="BD37" i="8"/>
  <c r="BD42" i="8" s="1"/>
  <c r="BE37" i="8"/>
  <c r="BF37" i="8"/>
  <c r="BG37" i="8"/>
  <c r="BH37" i="8"/>
  <c r="BI37" i="8"/>
  <c r="BJ37" i="8"/>
  <c r="BJ42" i="8" s="1"/>
  <c r="BK37" i="8"/>
  <c r="BL37" i="8"/>
  <c r="BM37" i="8"/>
  <c r="BN37" i="8"/>
  <c r="BO37" i="8"/>
  <c r="BP37" i="8"/>
  <c r="BQ37" i="8"/>
  <c r="BR37" i="8"/>
  <c r="BR42" i="8" s="1"/>
  <c r="BS37" i="8"/>
  <c r="BT37" i="8"/>
  <c r="BT42" i="8" s="1"/>
  <c r="BU37" i="8"/>
  <c r="BV37" i="8"/>
  <c r="BW37" i="8"/>
  <c r="BX37" i="8"/>
  <c r="BY37" i="8"/>
  <c r="BZ37" i="8"/>
  <c r="BZ42" i="8" s="1"/>
  <c r="CA37" i="8"/>
  <c r="CB37" i="8"/>
  <c r="CC37" i="8"/>
  <c r="CD37" i="8"/>
  <c r="CE37" i="8"/>
  <c r="CF37" i="8"/>
  <c r="CG37" i="8"/>
  <c r="CH37" i="8"/>
  <c r="CH42" i="8" s="1"/>
  <c r="CI37" i="8"/>
  <c r="CJ37" i="8"/>
  <c r="CJ42" i="8" s="1"/>
  <c r="CK37" i="8"/>
  <c r="CL37" i="8"/>
  <c r="CM37" i="8"/>
  <c r="CN37" i="8"/>
  <c r="CO37" i="8"/>
  <c r="CP37" i="8"/>
  <c r="CP42" i="8" s="1"/>
  <c r="CQ37" i="8"/>
  <c r="CR37" i="8"/>
  <c r="CS37" i="8"/>
  <c r="CT37" i="8"/>
  <c r="CU37" i="8"/>
  <c r="CV37" i="8"/>
  <c r="CW37" i="8"/>
  <c r="CX37" i="8"/>
  <c r="CX42" i="8" s="1"/>
  <c r="CY37" i="8"/>
  <c r="CZ37" i="8"/>
  <c r="CZ42" i="8" s="1"/>
  <c r="DA37" i="8"/>
  <c r="DB37" i="8"/>
  <c r="DC37" i="8"/>
  <c r="DD37" i="8"/>
  <c r="DE37" i="8"/>
  <c r="DF37" i="8"/>
  <c r="DF42" i="8" s="1"/>
  <c r="DG37" i="8"/>
  <c r="DH37" i="8"/>
  <c r="DI37" i="8"/>
  <c r="DJ37" i="8"/>
  <c r="DK37" i="8"/>
  <c r="DL37" i="8"/>
  <c r="DM37" i="8"/>
  <c r="DN37" i="8"/>
  <c r="DN42" i="8" s="1"/>
  <c r="DO37" i="8"/>
  <c r="DP37" i="8"/>
  <c r="DP42" i="8" s="1"/>
  <c r="DQ37" i="8"/>
  <c r="DR37" i="8"/>
  <c r="DS37" i="8"/>
  <c r="DT37" i="8"/>
  <c r="DU37" i="8"/>
  <c r="DV37" i="8"/>
  <c r="DV42" i="8" s="1"/>
  <c r="DW37" i="8"/>
  <c r="DX37" i="8"/>
  <c r="DY37" i="8"/>
  <c r="DZ37" i="8"/>
  <c r="EA37" i="8"/>
  <c r="EB37" i="8"/>
  <c r="EC37" i="8"/>
  <c r="ED37" i="8"/>
  <c r="ED42" i="8" s="1"/>
  <c r="EE37" i="8"/>
  <c r="EF37" i="8"/>
  <c r="EF42" i="8" s="1"/>
  <c r="EG37" i="8"/>
  <c r="EH37" i="8"/>
  <c r="EI37" i="8"/>
  <c r="EJ37" i="8"/>
  <c r="EK37" i="8"/>
  <c r="EL37" i="8"/>
  <c r="EL42" i="8" s="1"/>
  <c r="EM37" i="8"/>
  <c r="EN37" i="8"/>
  <c r="EO37" i="8"/>
  <c r="EP37" i="8"/>
  <c r="EQ37" i="8"/>
  <c r="ER37" i="8"/>
  <c r="ES37" i="8"/>
  <c r="ET37" i="8"/>
  <c r="ET42" i="8" s="1"/>
  <c r="EU37" i="8"/>
  <c r="EV37" i="8"/>
  <c r="EV42" i="8" s="1"/>
  <c r="EW37" i="8"/>
  <c r="EX37" i="8"/>
  <c r="EY37" i="8"/>
  <c r="EZ37" i="8"/>
  <c r="FA37" i="8"/>
  <c r="FB37" i="8"/>
  <c r="FB42" i="8" s="1"/>
  <c r="FC37" i="8"/>
  <c r="FD37" i="8"/>
  <c r="FE37" i="8"/>
  <c r="FF37" i="8"/>
  <c r="FG37" i="8"/>
  <c r="FH37" i="8"/>
  <c r="FI37" i="8"/>
  <c r="FJ37" i="8"/>
  <c r="FJ42" i="8" s="1"/>
  <c r="FK37" i="8"/>
  <c r="FL37" i="8"/>
  <c r="FL42" i="8" s="1"/>
  <c r="FM37" i="8"/>
  <c r="FN37" i="8"/>
  <c r="FO37" i="8"/>
  <c r="FP37" i="8"/>
  <c r="FQ37" i="8"/>
  <c r="FR37" i="8"/>
  <c r="FR42" i="8" s="1"/>
  <c r="FS37" i="8"/>
  <c r="FT37" i="8"/>
  <c r="FU37" i="8"/>
  <c r="F38" i="8"/>
  <c r="G38" i="8"/>
  <c r="H38" i="8"/>
  <c r="I38" i="8"/>
  <c r="J38" i="8"/>
  <c r="K38" i="8"/>
  <c r="L38" i="8"/>
  <c r="L42" i="8" s="1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B42" i="8" s="1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AP38" i="8"/>
  <c r="AQ38" i="8"/>
  <c r="AR38" i="8"/>
  <c r="AR42" i="8" s="1"/>
  <c r="AS38" i="8"/>
  <c r="AT38" i="8"/>
  <c r="AU38" i="8"/>
  <c r="AV38" i="8"/>
  <c r="AW38" i="8"/>
  <c r="AX38" i="8"/>
  <c r="AY38" i="8"/>
  <c r="AZ38" i="8"/>
  <c r="BA38" i="8"/>
  <c r="BB38" i="8"/>
  <c r="BC38" i="8"/>
  <c r="BD38" i="8"/>
  <c r="BE38" i="8"/>
  <c r="BF38" i="8"/>
  <c r="BG38" i="8"/>
  <c r="BH38" i="8"/>
  <c r="BH42" i="8" s="1"/>
  <c r="BI38" i="8"/>
  <c r="BJ38" i="8"/>
  <c r="BK38" i="8"/>
  <c r="BL38" i="8"/>
  <c r="BM38" i="8"/>
  <c r="BN38" i="8"/>
  <c r="BO38" i="8"/>
  <c r="BP38" i="8"/>
  <c r="BQ38" i="8"/>
  <c r="BR38" i="8"/>
  <c r="BS38" i="8"/>
  <c r="BT38" i="8"/>
  <c r="BU38" i="8"/>
  <c r="BV38" i="8"/>
  <c r="BW38" i="8"/>
  <c r="BX38" i="8"/>
  <c r="BX42" i="8" s="1"/>
  <c r="BY38" i="8"/>
  <c r="BZ38" i="8"/>
  <c r="CA38" i="8"/>
  <c r="CB38" i="8"/>
  <c r="CC38" i="8"/>
  <c r="CD38" i="8"/>
  <c r="CE38" i="8"/>
  <c r="CF38" i="8"/>
  <c r="CG38" i="8"/>
  <c r="CH38" i="8"/>
  <c r="CI38" i="8"/>
  <c r="CJ38" i="8"/>
  <c r="CK38" i="8"/>
  <c r="CL38" i="8"/>
  <c r="CM38" i="8"/>
  <c r="CN38" i="8"/>
  <c r="CN42" i="8" s="1"/>
  <c r="CO38" i="8"/>
  <c r="CP38" i="8"/>
  <c r="CQ38" i="8"/>
  <c r="CR38" i="8"/>
  <c r="CS38" i="8"/>
  <c r="CT38" i="8"/>
  <c r="CU38" i="8"/>
  <c r="CV38" i="8"/>
  <c r="CW38" i="8"/>
  <c r="CX38" i="8"/>
  <c r="CY38" i="8"/>
  <c r="CZ38" i="8"/>
  <c r="DA38" i="8"/>
  <c r="DB38" i="8"/>
  <c r="DC38" i="8"/>
  <c r="DD38" i="8"/>
  <c r="DD42" i="8" s="1"/>
  <c r="DE38" i="8"/>
  <c r="DF38" i="8"/>
  <c r="DG38" i="8"/>
  <c r="DH38" i="8"/>
  <c r="DI38" i="8"/>
  <c r="DJ38" i="8"/>
  <c r="DK38" i="8"/>
  <c r="DL38" i="8"/>
  <c r="DM38" i="8"/>
  <c r="DN38" i="8"/>
  <c r="DO38" i="8"/>
  <c r="DP38" i="8"/>
  <c r="DQ38" i="8"/>
  <c r="DR38" i="8"/>
  <c r="DS38" i="8"/>
  <c r="DT38" i="8"/>
  <c r="DT42" i="8" s="1"/>
  <c r="DU38" i="8"/>
  <c r="DV38" i="8"/>
  <c r="DW38" i="8"/>
  <c r="DX38" i="8"/>
  <c r="DY38" i="8"/>
  <c r="DZ38" i="8"/>
  <c r="EA38" i="8"/>
  <c r="EB38" i="8"/>
  <c r="EC38" i="8"/>
  <c r="ED38" i="8"/>
  <c r="EE38" i="8"/>
  <c r="EF38" i="8"/>
  <c r="EG38" i="8"/>
  <c r="EH38" i="8"/>
  <c r="EI38" i="8"/>
  <c r="EJ38" i="8"/>
  <c r="EJ42" i="8" s="1"/>
  <c r="EK38" i="8"/>
  <c r="EL38" i="8"/>
  <c r="EM38" i="8"/>
  <c r="EN38" i="8"/>
  <c r="EO38" i="8"/>
  <c r="EP38" i="8"/>
  <c r="EQ38" i="8"/>
  <c r="ER38" i="8"/>
  <c r="ES38" i="8"/>
  <c r="ET38" i="8"/>
  <c r="EU38" i="8"/>
  <c r="EV38" i="8"/>
  <c r="EW38" i="8"/>
  <c r="EX38" i="8"/>
  <c r="EY38" i="8"/>
  <c r="EZ38" i="8"/>
  <c r="EZ42" i="8" s="1"/>
  <c r="FA38" i="8"/>
  <c r="FB38" i="8"/>
  <c r="FC38" i="8"/>
  <c r="FD38" i="8"/>
  <c r="FE38" i="8"/>
  <c r="FF38" i="8"/>
  <c r="FG38" i="8"/>
  <c r="FH38" i="8"/>
  <c r="FI38" i="8"/>
  <c r="FJ38" i="8"/>
  <c r="FK38" i="8"/>
  <c r="FL38" i="8"/>
  <c r="FM38" i="8"/>
  <c r="FN38" i="8"/>
  <c r="FO38" i="8"/>
  <c r="FP38" i="8"/>
  <c r="FP42" i="8" s="1"/>
  <c r="FQ38" i="8"/>
  <c r="FR38" i="8"/>
  <c r="FS38" i="8"/>
  <c r="FT38" i="8"/>
  <c r="FU38" i="8"/>
  <c r="F39" i="8"/>
  <c r="G39" i="8"/>
  <c r="H39" i="8"/>
  <c r="I39" i="8"/>
  <c r="J39" i="8"/>
  <c r="K39" i="8"/>
  <c r="L39" i="8"/>
  <c r="M39" i="8"/>
  <c r="N39" i="8"/>
  <c r="O39" i="8"/>
  <c r="P39" i="8"/>
  <c r="P42" i="8" s="1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F42" i="8" s="1"/>
  <c r="AG39" i="8"/>
  <c r="AH39" i="8"/>
  <c r="AI39" i="8"/>
  <c r="AJ39" i="8"/>
  <c r="AK39" i="8"/>
  <c r="AL39" i="8"/>
  <c r="AM39" i="8"/>
  <c r="AN39" i="8"/>
  <c r="AO39" i="8"/>
  <c r="AP39" i="8"/>
  <c r="AQ39" i="8"/>
  <c r="AR39" i="8"/>
  <c r="AS39" i="8"/>
  <c r="AT39" i="8"/>
  <c r="AU39" i="8"/>
  <c r="AV39" i="8"/>
  <c r="AV42" i="8" s="1"/>
  <c r="AW39" i="8"/>
  <c r="AX39" i="8"/>
  <c r="AY39" i="8"/>
  <c r="AZ39" i="8"/>
  <c r="BA39" i="8"/>
  <c r="BB39" i="8"/>
  <c r="BC39" i="8"/>
  <c r="BD39" i="8"/>
  <c r="BE39" i="8"/>
  <c r="BF39" i="8"/>
  <c r="BG39" i="8"/>
  <c r="BH39" i="8"/>
  <c r="BI39" i="8"/>
  <c r="BJ39" i="8"/>
  <c r="BK39" i="8"/>
  <c r="BL39" i="8"/>
  <c r="BL42" i="8" s="1"/>
  <c r="BM39" i="8"/>
  <c r="BN39" i="8"/>
  <c r="BO39" i="8"/>
  <c r="BP39" i="8"/>
  <c r="BQ39" i="8"/>
  <c r="BR39" i="8"/>
  <c r="BS39" i="8"/>
  <c r="BT39" i="8"/>
  <c r="BU39" i="8"/>
  <c r="BV39" i="8"/>
  <c r="BW39" i="8"/>
  <c r="BX39" i="8"/>
  <c r="BY39" i="8"/>
  <c r="BZ39" i="8"/>
  <c r="CA39" i="8"/>
  <c r="CB39" i="8"/>
  <c r="CB42" i="8" s="1"/>
  <c r="CC39" i="8"/>
  <c r="CD39" i="8"/>
  <c r="CE39" i="8"/>
  <c r="CF39" i="8"/>
  <c r="CG39" i="8"/>
  <c r="CH39" i="8"/>
  <c r="CI39" i="8"/>
  <c r="CJ39" i="8"/>
  <c r="CK39" i="8"/>
  <c r="CL39" i="8"/>
  <c r="CM39" i="8"/>
  <c r="CN39" i="8"/>
  <c r="CO39" i="8"/>
  <c r="CP39" i="8"/>
  <c r="CQ39" i="8"/>
  <c r="CR39" i="8"/>
  <c r="CR42" i="8" s="1"/>
  <c r="CS39" i="8"/>
  <c r="CT39" i="8"/>
  <c r="CU39" i="8"/>
  <c r="CV39" i="8"/>
  <c r="CW39" i="8"/>
  <c r="CX39" i="8"/>
  <c r="CY39" i="8"/>
  <c r="CZ39" i="8"/>
  <c r="DA39" i="8"/>
  <c r="DB39" i="8"/>
  <c r="DC39" i="8"/>
  <c r="DD39" i="8"/>
  <c r="DE39" i="8"/>
  <c r="DF39" i="8"/>
  <c r="DG39" i="8"/>
  <c r="DH39" i="8"/>
  <c r="DH42" i="8" s="1"/>
  <c r="DI39" i="8"/>
  <c r="DJ39" i="8"/>
  <c r="DK39" i="8"/>
  <c r="DL39" i="8"/>
  <c r="DM39" i="8"/>
  <c r="DN39" i="8"/>
  <c r="DO39" i="8"/>
  <c r="DP39" i="8"/>
  <c r="DQ39" i="8"/>
  <c r="DR39" i="8"/>
  <c r="DS39" i="8"/>
  <c r="DT39" i="8"/>
  <c r="DU39" i="8"/>
  <c r="DV39" i="8"/>
  <c r="DW39" i="8"/>
  <c r="DX39" i="8"/>
  <c r="DX42" i="8" s="1"/>
  <c r="DY39" i="8"/>
  <c r="DZ39" i="8"/>
  <c r="EA39" i="8"/>
  <c r="EB39" i="8"/>
  <c r="EC39" i="8"/>
  <c r="ED39" i="8"/>
  <c r="EE39" i="8"/>
  <c r="EF39" i="8"/>
  <c r="EG39" i="8"/>
  <c r="EH39" i="8"/>
  <c r="EI39" i="8"/>
  <c r="EJ39" i="8"/>
  <c r="EK39" i="8"/>
  <c r="EL39" i="8"/>
  <c r="EM39" i="8"/>
  <c r="EN39" i="8"/>
  <c r="EN42" i="8" s="1"/>
  <c r="EO39" i="8"/>
  <c r="EP39" i="8"/>
  <c r="EQ39" i="8"/>
  <c r="ER39" i="8"/>
  <c r="ES39" i="8"/>
  <c r="ET39" i="8"/>
  <c r="EU39" i="8"/>
  <c r="EV39" i="8"/>
  <c r="EW39" i="8"/>
  <c r="EX39" i="8"/>
  <c r="EY39" i="8"/>
  <c r="EZ39" i="8"/>
  <c r="FA39" i="8"/>
  <c r="FB39" i="8"/>
  <c r="FC39" i="8"/>
  <c r="FD39" i="8"/>
  <c r="FD42" i="8" s="1"/>
  <c r="FE39" i="8"/>
  <c r="FF39" i="8"/>
  <c r="FG39" i="8"/>
  <c r="FH39" i="8"/>
  <c r="FI39" i="8"/>
  <c r="FJ39" i="8"/>
  <c r="FK39" i="8"/>
  <c r="FL39" i="8"/>
  <c r="FM39" i="8"/>
  <c r="FN39" i="8"/>
  <c r="FO39" i="8"/>
  <c r="FP39" i="8"/>
  <c r="FQ39" i="8"/>
  <c r="FR39" i="8"/>
  <c r="FS39" i="8"/>
  <c r="FT39" i="8"/>
  <c r="FT42" i="8" s="1"/>
  <c r="FU39" i="8"/>
  <c r="G42" i="8"/>
  <c r="J42" i="8"/>
  <c r="K42" i="8"/>
  <c r="O42" i="8"/>
  <c r="R42" i="8"/>
  <c r="S42" i="8"/>
  <c r="T42" i="8"/>
  <c r="U42" i="8"/>
  <c r="W42" i="8"/>
  <c r="Z42" i="8"/>
  <c r="AA42" i="8"/>
  <c r="AE42" i="8"/>
  <c r="AH42" i="8"/>
  <c r="AI42" i="8"/>
  <c r="AJ42" i="8"/>
  <c r="AK42" i="8"/>
  <c r="AM42" i="8"/>
  <c r="AP42" i="8"/>
  <c r="AQ42" i="8"/>
  <c r="AU42" i="8"/>
  <c r="AX42" i="8"/>
  <c r="AY42" i="8"/>
  <c r="AZ42" i="8"/>
  <c r="BA42" i="8"/>
  <c r="BC42" i="8"/>
  <c r="BF42" i="8"/>
  <c r="BG42" i="8"/>
  <c r="BK42" i="8"/>
  <c r="BN42" i="8"/>
  <c r="BO42" i="8"/>
  <c r="BP42" i="8"/>
  <c r="BQ42" i="8"/>
  <c r="BS42" i="8"/>
  <c r="BV42" i="8"/>
  <c r="BW42" i="8"/>
  <c r="CA42" i="8"/>
  <c r="CD42" i="8"/>
  <c r="CE42" i="8"/>
  <c r="CF42" i="8"/>
  <c r="CG42" i="8"/>
  <c r="CI42" i="8"/>
  <c r="CL42" i="8"/>
  <c r="CM42" i="8"/>
  <c r="CQ42" i="8"/>
  <c r="CT42" i="8"/>
  <c r="CU42" i="8"/>
  <c r="CV42" i="8"/>
  <c r="CW42" i="8"/>
  <c r="CY42" i="8"/>
  <c r="DB42" i="8"/>
  <c r="DC42" i="8"/>
  <c r="DG42" i="8"/>
  <c r="DJ42" i="8"/>
  <c r="DK42" i="8"/>
  <c r="DL42" i="8"/>
  <c r="DM42" i="8"/>
  <c r="DO42" i="8"/>
  <c r="DR42" i="8"/>
  <c r="DS42" i="8"/>
  <c r="DW42" i="8"/>
  <c r="DZ42" i="8"/>
  <c r="EA42" i="8"/>
  <c r="EB42" i="8"/>
  <c r="EC42" i="8"/>
  <c r="EE42" i="8"/>
  <c r="EH42" i="8"/>
  <c r="EI42" i="8"/>
  <c r="EM42" i="8"/>
  <c r="EP42" i="8"/>
  <c r="EQ42" i="8"/>
  <c r="ER42" i="8"/>
  <c r="ES42" i="8"/>
  <c r="EU42" i="8"/>
  <c r="EX42" i="8"/>
  <c r="EY42" i="8"/>
  <c r="FC42" i="8"/>
  <c r="FF42" i="8"/>
  <c r="FG42" i="8"/>
  <c r="FH42" i="8"/>
  <c r="FI42" i="8"/>
  <c r="FK42" i="8"/>
  <c r="FN42" i="8"/>
  <c r="FO42" i="8"/>
  <c r="FS42" i="8"/>
  <c r="E42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26" i="8"/>
  <c r="E25" i="8"/>
  <c r="A27" i="8"/>
  <c r="B27" i="8"/>
  <c r="C27" i="8"/>
  <c r="D27" i="8"/>
  <c r="A28" i="8"/>
  <c r="B28" i="8"/>
  <c r="C28" i="8"/>
  <c r="D28" i="8"/>
  <c r="A29" i="8"/>
  <c r="B29" i="8"/>
  <c r="C29" i="8"/>
  <c r="D29" i="8"/>
  <c r="A30" i="8"/>
  <c r="B30" i="8"/>
  <c r="C30" i="8"/>
  <c r="D30" i="8"/>
  <c r="A31" i="8"/>
  <c r="B31" i="8"/>
  <c r="C31" i="8"/>
  <c r="D31" i="8"/>
  <c r="A32" i="8"/>
  <c r="B32" i="8"/>
  <c r="C32" i="8"/>
  <c r="D32" i="8"/>
  <c r="A33" i="8"/>
  <c r="B33" i="8"/>
  <c r="C33" i="8"/>
  <c r="D33" i="8"/>
  <c r="A34" i="8"/>
  <c r="B34" i="8"/>
  <c r="C34" i="8"/>
  <c r="D34" i="8"/>
  <c r="A35" i="8"/>
  <c r="B35" i="8"/>
  <c r="C35" i="8"/>
  <c r="D35" i="8"/>
  <c r="A36" i="8"/>
  <c r="B36" i="8"/>
  <c r="C36" i="8"/>
  <c r="D36" i="8"/>
  <c r="A37" i="8"/>
  <c r="B37" i="8"/>
  <c r="C37" i="8"/>
  <c r="D37" i="8"/>
  <c r="A38" i="8"/>
  <c r="B38" i="8"/>
  <c r="C38" i="8"/>
  <c r="D38" i="8"/>
  <c r="A39" i="8"/>
  <c r="B39" i="8"/>
  <c r="C39" i="8"/>
  <c r="D39" i="8"/>
  <c r="B26" i="8"/>
  <c r="C26" i="8"/>
  <c r="D26" i="8"/>
  <c r="A26" i="8"/>
  <c r="E20" i="8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CW23" i="7"/>
  <c r="CX23" i="7"/>
  <c r="CY23" i="7"/>
  <c r="CZ23" i="7"/>
  <c r="DA23" i="7"/>
  <c r="DB23" i="7"/>
  <c r="DC23" i="7"/>
  <c r="DD23" i="7"/>
  <c r="DE23" i="7"/>
  <c r="DF23" i="7"/>
  <c r="DG23" i="7"/>
  <c r="DH23" i="7"/>
  <c r="DI23" i="7"/>
  <c r="DJ23" i="7"/>
  <c r="DK23" i="7"/>
  <c r="DL23" i="7"/>
  <c r="DM23" i="7"/>
  <c r="DN23" i="7"/>
  <c r="DO23" i="7"/>
  <c r="DP23" i="7"/>
  <c r="DQ23" i="7"/>
  <c r="DR23" i="7"/>
  <c r="DS23" i="7"/>
  <c r="DT23" i="7"/>
  <c r="DU23" i="7"/>
  <c r="DV23" i="7"/>
  <c r="DW23" i="7"/>
  <c r="DX23" i="7"/>
  <c r="DY23" i="7"/>
  <c r="DZ23" i="7"/>
  <c r="EA23" i="7"/>
  <c r="EB23" i="7"/>
  <c r="EC23" i="7"/>
  <c r="ED23" i="7"/>
  <c r="EE23" i="7"/>
  <c r="EF23" i="7"/>
  <c r="EG23" i="7"/>
  <c r="EH23" i="7"/>
  <c r="EI23" i="7"/>
  <c r="EJ23" i="7"/>
  <c r="EK23" i="7"/>
  <c r="EL23" i="7"/>
  <c r="EM23" i="7"/>
  <c r="EN23" i="7"/>
  <c r="EO23" i="7"/>
  <c r="EP23" i="7"/>
  <c r="EQ23" i="7"/>
  <c r="ER23" i="7"/>
  <c r="ES23" i="7"/>
  <c r="ET23" i="7"/>
  <c r="EU23" i="7"/>
  <c r="EV23" i="7"/>
  <c r="EW23" i="7"/>
  <c r="EX23" i="7"/>
  <c r="EY23" i="7"/>
  <c r="EZ23" i="7"/>
  <c r="FA23" i="7"/>
  <c r="FB23" i="7"/>
  <c r="FC23" i="7"/>
  <c r="FD23" i="7"/>
  <c r="FE23" i="7"/>
  <c r="FF23" i="7"/>
  <c r="FG23" i="7"/>
  <c r="FH23" i="7"/>
  <c r="FI23" i="7"/>
  <c r="FJ23" i="7"/>
  <c r="FK23" i="7"/>
  <c r="FL23" i="7"/>
  <c r="FM23" i="7"/>
  <c r="FN23" i="7"/>
  <c r="FO23" i="7"/>
  <c r="FP23" i="7"/>
  <c r="FQ23" i="7"/>
  <c r="FR23" i="7"/>
  <c r="FS23" i="7"/>
  <c r="FT23" i="7"/>
  <c r="FU23" i="7"/>
  <c r="E23" i="7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CB30" i="6"/>
  <c r="CC30" i="6"/>
  <c r="CD30" i="6"/>
  <c r="CE30" i="6"/>
  <c r="CF30" i="6"/>
  <c r="CG30" i="6"/>
  <c r="CH30" i="6"/>
  <c r="CI30" i="6"/>
  <c r="CJ30" i="6"/>
  <c r="CK30" i="6"/>
  <c r="CL30" i="6"/>
  <c r="CM30" i="6"/>
  <c r="CN30" i="6"/>
  <c r="CO30" i="6"/>
  <c r="CP30" i="6"/>
  <c r="CQ30" i="6"/>
  <c r="CR30" i="6"/>
  <c r="CS30" i="6"/>
  <c r="CT30" i="6"/>
  <c r="CU30" i="6"/>
  <c r="CV30" i="6"/>
  <c r="CW30" i="6"/>
  <c r="CX30" i="6"/>
  <c r="CY30" i="6"/>
  <c r="CZ30" i="6"/>
  <c r="DA30" i="6"/>
  <c r="DB30" i="6"/>
  <c r="DC30" i="6"/>
  <c r="DD30" i="6"/>
  <c r="DE30" i="6"/>
  <c r="DF30" i="6"/>
  <c r="DG30" i="6"/>
  <c r="DH30" i="6"/>
  <c r="DI30" i="6"/>
  <c r="DJ30" i="6"/>
  <c r="DK30" i="6"/>
  <c r="DL30" i="6"/>
  <c r="DM30" i="6"/>
  <c r="DN30" i="6"/>
  <c r="DO30" i="6"/>
  <c r="DP30" i="6"/>
  <c r="DQ30" i="6"/>
  <c r="DR30" i="6"/>
  <c r="DS30" i="6"/>
  <c r="DT30" i="6"/>
  <c r="DU30" i="6"/>
  <c r="DV30" i="6"/>
  <c r="DW30" i="6"/>
  <c r="DX30" i="6"/>
  <c r="DY30" i="6"/>
  <c r="DZ30" i="6"/>
  <c r="EA30" i="6"/>
  <c r="EB30" i="6"/>
  <c r="EC30" i="6"/>
  <c r="ED30" i="6"/>
  <c r="EE30" i="6"/>
  <c r="EF30" i="6"/>
  <c r="EG30" i="6"/>
  <c r="EH30" i="6"/>
  <c r="EI30" i="6"/>
  <c r="EJ30" i="6"/>
  <c r="EK30" i="6"/>
  <c r="EL30" i="6"/>
  <c r="EM30" i="6"/>
  <c r="EN30" i="6"/>
  <c r="EO30" i="6"/>
  <c r="EP30" i="6"/>
  <c r="EQ30" i="6"/>
  <c r="ER30" i="6"/>
  <c r="ES30" i="6"/>
  <c r="ET30" i="6"/>
  <c r="EU30" i="6"/>
  <c r="EV30" i="6"/>
  <c r="EW30" i="6"/>
  <c r="EX30" i="6"/>
  <c r="EY30" i="6"/>
  <c r="EZ30" i="6"/>
  <c r="FA30" i="6"/>
  <c r="FB30" i="6"/>
  <c r="FC30" i="6"/>
  <c r="FD30" i="6"/>
  <c r="FE30" i="6"/>
  <c r="FF30" i="6"/>
  <c r="FG30" i="6"/>
  <c r="FH30" i="6"/>
  <c r="FI30" i="6"/>
  <c r="FJ30" i="6"/>
  <c r="FK30" i="6"/>
  <c r="FL30" i="6"/>
  <c r="FM30" i="6"/>
  <c r="FN30" i="6"/>
  <c r="FO30" i="6"/>
  <c r="FP30" i="6"/>
  <c r="FQ30" i="6"/>
  <c r="FR30" i="6"/>
  <c r="FS30" i="6"/>
  <c r="FT30" i="6"/>
  <c r="FU30" i="6"/>
  <c r="E30" i="6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M10" i="7"/>
  <c r="DN10" i="7"/>
  <c r="DO10" i="7"/>
  <c r="DP10" i="7"/>
  <c r="DQ10" i="7"/>
  <c r="DR10" i="7"/>
  <c r="DS10" i="7"/>
  <c r="DT10" i="7"/>
  <c r="DU10" i="7"/>
  <c r="DV10" i="7"/>
  <c r="DW10" i="7"/>
  <c r="DX10" i="7"/>
  <c r="DY10" i="7"/>
  <c r="DZ10" i="7"/>
  <c r="EA10" i="7"/>
  <c r="EB10" i="7"/>
  <c r="EC10" i="7"/>
  <c r="ED10" i="7"/>
  <c r="EE10" i="7"/>
  <c r="EF10" i="7"/>
  <c r="EG10" i="7"/>
  <c r="EH10" i="7"/>
  <c r="EI10" i="7"/>
  <c r="EJ10" i="7"/>
  <c r="EK10" i="7"/>
  <c r="EL10" i="7"/>
  <c r="EM10" i="7"/>
  <c r="EN10" i="7"/>
  <c r="EO10" i="7"/>
  <c r="EP10" i="7"/>
  <c r="EQ10" i="7"/>
  <c r="ER10" i="7"/>
  <c r="ES10" i="7"/>
  <c r="ET10" i="7"/>
  <c r="EU10" i="7"/>
  <c r="EV10" i="7"/>
  <c r="EW10" i="7"/>
  <c r="EX10" i="7"/>
  <c r="EY10" i="7"/>
  <c r="EZ10" i="7"/>
  <c r="FA10" i="7"/>
  <c r="FB10" i="7"/>
  <c r="FC10" i="7"/>
  <c r="FD10" i="7"/>
  <c r="FE10" i="7"/>
  <c r="FF10" i="7"/>
  <c r="FG10" i="7"/>
  <c r="FH10" i="7"/>
  <c r="FI10" i="7"/>
  <c r="FJ10" i="7"/>
  <c r="FK10" i="7"/>
  <c r="FL10" i="7"/>
  <c r="FM10" i="7"/>
  <c r="FN10" i="7"/>
  <c r="FO10" i="7"/>
  <c r="FP10" i="7"/>
  <c r="FQ10" i="7"/>
  <c r="FR10" i="7"/>
  <c r="FS10" i="7"/>
  <c r="FT10" i="7"/>
  <c r="FU10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W16" i="7"/>
  <c r="CX16" i="7"/>
  <c r="CY16" i="7"/>
  <c r="CZ16" i="7"/>
  <c r="DA16" i="7"/>
  <c r="DB16" i="7"/>
  <c r="DC16" i="7"/>
  <c r="DD16" i="7"/>
  <c r="DE16" i="7"/>
  <c r="DF16" i="7"/>
  <c r="DG16" i="7"/>
  <c r="DH16" i="7"/>
  <c r="DI16" i="7"/>
  <c r="DJ16" i="7"/>
  <c r="DK16" i="7"/>
  <c r="DL16" i="7"/>
  <c r="DM16" i="7"/>
  <c r="DN16" i="7"/>
  <c r="DO16" i="7"/>
  <c r="DP16" i="7"/>
  <c r="DQ16" i="7"/>
  <c r="DR16" i="7"/>
  <c r="DS16" i="7"/>
  <c r="DT16" i="7"/>
  <c r="DU16" i="7"/>
  <c r="DV16" i="7"/>
  <c r="DW16" i="7"/>
  <c r="DX16" i="7"/>
  <c r="DY16" i="7"/>
  <c r="DZ16" i="7"/>
  <c r="EA16" i="7"/>
  <c r="EB16" i="7"/>
  <c r="EC16" i="7"/>
  <c r="ED16" i="7"/>
  <c r="EE16" i="7"/>
  <c r="EF16" i="7"/>
  <c r="EG16" i="7"/>
  <c r="EH16" i="7"/>
  <c r="EI16" i="7"/>
  <c r="EJ16" i="7"/>
  <c r="EK16" i="7"/>
  <c r="EL16" i="7"/>
  <c r="EM16" i="7"/>
  <c r="EN16" i="7"/>
  <c r="EO16" i="7"/>
  <c r="EP16" i="7"/>
  <c r="EQ16" i="7"/>
  <c r="ER16" i="7"/>
  <c r="ES16" i="7"/>
  <c r="ET16" i="7"/>
  <c r="EU16" i="7"/>
  <c r="EV16" i="7"/>
  <c r="EW16" i="7"/>
  <c r="EX16" i="7"/>
  <c r="EY16" i="7"/>
  <c r="EZ16" i="7"/>
  <c r="FA16" i="7"/>
  <c r="FB16" i="7"/>
  <c r="FC16" i="7"/>
  <c r="FD16" i="7"/>
  <c r="FE16" i="7"/>
  <c r="FF16" i="7"/>
  <c r="FG16" i="7"/>
  <c r="FH16" i="7"/>
  <c r="FI16" i="7"/>
  <c r="FJ16" i="7"/>
  <c r="FK16" i="7"/>
  <c r="FL16" i="7"/>
  <c r="FM16" i="7"/>
  <c r="FN16" i="7"/>
  <c r="FO16" i="7"/>
  <c r="FP16" i="7"/>
  <c r="FQ16" i="7"/>
  <c r="FR16" i="7"/>
  <c r="FS16" i="7"/>
  <c r="FT16" i="7"/>
  <c r="FU16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BV17" i="7"/>
  <c r="BW17" i="7"/>
  <c r="BX17" i="7"/>
  <c r="BY17" i="7"/>
  <c r="BZ17" i="7"/>
  <c r="CA17" i="7"/>
  <c r="CB17" i="7"/>
  <c r="CC17" i="7"/>
  <c r="CD17" i="7"/>
  <c r="CE17" i="7"/>
  <c r="CF17" i="7"/>
  <c r="CG17" i="7"/>
  <c r="CH17" i="7"/>
  <c r="CI17" i="7"/>
  <c r="CJ17" i="7"/>
  <c r="CK17" i="7"/>
  <c r="CL17" i="7"/>
  <c r="CM17" i="7"/>
  <c r="CN17" i="7"/>
  <c r="CO17" i="7"/>
  <c r="CP17" i="7"/>
  <c r="CQ17" i="7"/>
  <c r="CR17" i="7"/>
  <c r="CS17" i="7"/>
  <c r="CT17" i="7"/>
  <c r="CU17" i="7"/>
  <c r="CV17" i="7"/>
  <c r="CW17" i="7"/>
  <c r="CX17" i="7"/>
  <c r="CY17" i="7"/>
  <c r="CZ17" i="7"/>
  <c r="DA17" i="7"/>
  <c r="DB17" i="7"/>
  <c r="DC17" i="7"/>
  <c r="DD17" i="7"/>
  <c r="DE17" i="7"/>
  <c r="DF17" i="7"/>
  <c r="DG17" i="7"/>
  <c r="DH17" i="7"/>
  <c r="DI17" i="7"/>
  <c r="DJ17" i="7"/>
  <c r="DK17" i="7"/>
  <c r="DL17" i="7"/>
  <c r="DM17" i="7"/>
  <c r="DN17" i="7"/>
  <c r="DO17" i="7"/>
  <c r="DP17" i="7"/>
  <c r="DQ17" i="7"/>
  <c r="DR17" i="7"/>
  <c r="DS17" i="7"/>
  <c r="DT17" i="7"/>
  <c r="DU17" i="7"/>
  <c r="DV17" i="7"/>
  <c r="DW17" i="7"/>
  <c r="DX17" i="7"/>
  <c r="DY17" i="7"/>
  <c r="DZ17" i="7"/>
  <c r="EA17" i="7"/>
  <c r="EB17" i="7"/>
  <c r="EC17" i="7"/>
  <c r="ED17" i="7"/>
  <c r="EE17" i="7"/>
  <c r="EF17" i="7"/>
  <c r="EG17" i="7"/>
  <c r="EH17" i="7"/>
  <c r="EI17" i="7"/>
  <c r="EJ17" i="7"/>
  <c r="EK17" i="7"/>
  <c r="EL17" i="7"/>
  <c r="EM17" i="7"/>
  <c r="EN17" i="7"/>
  <c r="EO17" i="7"/>
  <c r="EP17" i="7"/>
  <c r="EQ17" i="7"/>
  <c r="ER17" i="7"/>
  <c r="ES17" i="7"/>
  <c r="ET17" i="7"/>
  <c r="EU17" i="7"/>
  <c r="EV17" i="7"/>
  <c r="EW17" i="7"/>
  <c r="EX17" i="7"/>
  <c r="EY17" i="7"/>
  <c r="EZ17" i="7"/>
  <c r="FA17" i="7"/>
  <c r="FB17" i="7"/>
  <c r="FC17" i="7"/>
  <c r="FD17" i="7"/>
  <c r="FE17" i="7"/>
  <c r="FF17" i="7"/>
  <c r="FG17" i="7"/>
  <c r="FH17" i="7"/>
  <c r="FI17" i="7"/>
  <c r="FJ17" i="7"/>
  <c r="FK17" i="7"/>
  <c r="FL17" i="7"/>
  <c r="FM17" i="7"/>
  <c r="FN17" i="7"/>
  <c r="FO17" i="7"/>
  <c r="FP17" i="7"/>
  <c r="FQ17" i="7"/>
  <c r="FR17" i="7"/>
  <c r="FS17" i="7"/>
  <c r="FT17" i="7"/>
  <c r="FU17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CY18" i="7"/>
  <c r="CZ18" i="7"/>
  <c r="DA18" i="7"/>
  <c r="DB18" i="7"/>
  <c r="DC18" i="7"/>
  <c r="DD18" i="7"/>
  <c r="DE18" i="7"/>
  <c r="DF18" i="7"/>
  <c r="DG18" i="7"/>
  <c r="DH18" i="7"/>
  <c r="DI18" i="7"/>
  <c r="DJ18" i="7"/>
  <c r="DK18" i="7"/>
  <c r="DL18" i="7"/>
  <c r="DM18" i="7"/>
  <c r="DN18" i="7"/>
  <c r="DO18" i="7"/>
  <c r="DP18" i="7"/>
  <c r="DQ18" i="7"/>
  <c r="DR18" i="7"/>
  <c r="DS18" i="7"/>
  <c r="DT18" i="7"/>
  <c r="DU18" i="7"/>
  <c r="DV18" i="7"/>
  <c r="DW18" i="7"/>
  <c r="DX18" i="7"/>
  <c r="DY18" i="7"/>
  <c r="DZ18" i="7"/>
  <c r="EA18" i="7"/>
  <c r="EB18" i="7"/>
  <c r="EC18" i="7"/>
  <c r="ED18" i="7"/>
  <c r="EE18" i="7"/>
  <c r="EF18" i="7"/>
  <c r="EG18" i="7"/>
  <c r="EH18" i="7"/>
  <c r="EI18" i="7"/>
  <c r="EJ18" i="7"/>
  <c r="EK18" i="7"/>
  <c r="EL18" i="7"/>
  <c r="EM18" i="7"/>
  <c r="EN18" i="7"/>
  <c r="EO18" i="7"/>
  <c r="EP18" i="7"/>
  <c r="EQ18" i="7"/>
  <c r="ER18" i="7"/>
  <c r="ES18" i="7"/>
  <c r="ET18" i="7"/>
  <c r="EU18" i="7"/>
  <c r="EV18" i="7"/>
  <c r="EW18" i="7"/>
  <c r="EX18" i="7"/>
  <c r="EY18" i="7"/>
  <c r="EZ18" i="7"/>
  <c r="FA18" i="7"/>
  <c r="FB18" i="7"/>
  <c r="FC18" i="7"/>
  <c r="FD18" i="7"/>
  <c r="FE18" i="7"/>
  <c r="FF18" i="7"/>
  <c r="FG18" i="7"/>
  <c r="FH18" i="7"/>
  <c r="FI18" i="7"/>
  <c r="FJ18" i="7"/>
  <c r="FK18" i="7"/>
  <c r="FL18" i="7"/>
  <c r="FM18" i="7"/>
  <c r="FN18" i="7"/>
  <c r="FO18" i="7"/>
  <c r="FP18" i="7"/>
  <c r="FQ18" i="7"/>
  <c r="FR18" i="7"/>
  <c r="FS18" i="7"/>
  <c r="FT18" i="7"/>
  <c r="FU18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CY19" i="7"/>
  <c r="CZ19" i="7"/>
  <c r="DA19" i="7"/>
  <c r="DB19" i="7"/>
  <c r="DC19" i="7"/>
  <c r="DD19" i="7"/>
  <c r="DE19" i="7"/>
  <c r="DF19" i="7"/>
  <c r="DG19" i="7"/>
  <c r="DH19" i="7"/>
  <c r="DI19" i="7"/>
  <c r="DJ19" i="7"/>
  <c r="DK19" i="7"/>
  <c r="DL19" i="7"/>
  <c r="DM19" i="7"/>
  <c r="DN19" i="7"/>
  <c r="DO19" i="7"/>
  <c r="DP19" i="7"/>
  <c r="DQ19" i="7"/>
  <c r="DR19" i="7"/>
  <c r="DS19" i="7"/>
  <c r="DT19" i="7"/>
  <c r="DU19" i="7"/>
  <c r="DV19" i="7"/>
  <c r="DW19" i="7"/>
  <c r="DX19" i="7"/>
  <c r="DY19" i="7"/>
  <c r="DZ19" i="7"/>
  <c r="EA19" i="7"/>
  <c r="EB19" i="7"/>
  <c r="EC19" i="7"/>
  <c r="ED19" i="7"/>
  <c r="EE19" i="7"/>
  <c r="EF19" i="7"/>
  <c r="EG19" i="7"/>
  <c r="EH19" i="7"/>
  <c r="EI19" i="7"/>
  <c r="EJ19" i="7"/>
  <c r="EK19" i="7"/>
  <c r="EL19" i="7"/>
  <c r="EM19" i="7"/>
  <c r="EN19" i="7"/>
  <c r="EO19" i="7"/>
  <c r="EP19" i="7"/>
  <c r="EQ19" i="7"/>
  <c r="ER19" i="7"/>
  <c r="ES19" i="7"/>
  <c r="ET19" i="7"/>
  <c r="EU19" i="7"/>
  <c r="EV19" i="7"/>
  <c r="EW19" i="7"/>
  <c r="EX19" i="7"/>
  <c r="EY19" i="7"/>
  <c r="EZ19" i="7"/>
  <c r="FA19" i="7"/>
  <c r="FB19" i="7"/>
  <c r="FC19" i="7"/>
  <c r="FD19" i="7"/>
  <c r="FE19" i="7"/>
  <c r="FF19" i="7"/>
  <c r="FG19" i="7"/>
  <c r="FH19" i="7"/>
  <c r="FI19" i="7"/>
  <c r="FJ19" i="7"/>
  <c r="FK19" i="7"/>
  <c r="FL19" i="7"/>
  <c r="FM19" i="7"/>
  <c r="FN19" i="7"/>
  <c r="FO19" i="7"/>
  <c r="FP19" i="7"/>
  <c r="FQ19" i="7"/>
  <c r="FR19" i="7"/>
  <c r="FS19" i="7"/>
  <c r="FT19" i="7"/>
  <c r="FU19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DJ20" i="7"/>
  <c r="DK20" i="7"/>
  <c r="DL20" i="7"/>
  <c r="DM20" i="7"/>
  <c r="DN20" i="7"/>
  <c r="DO20" i="7"/>
  <c r="DP20" i="7"/>
  <c r="DQ20" i="7"/>
  <c r="DR20" i="7"/>
  <c r="DS20" i="7"/>
  <c r="DT20" i="7"/>
  <c r="DU20" i="7"/>
  <c r="DV20" i="7"/>
  <c r="DW20" i="7"/>
  <c r="DX20" i="7"/>
  <c r="DY20" i="7"/>
  <c r="DZ20" i="7"/>
  <c r="EA20" i="7"/>
  <c r="EB20" i="7"/>
  <c r="EC20" i="7"/>
  <c r="ED20" i="7"/>
  <c r="EE20" i="7"/>
  <c r="EF20" i="7"/>
  <c r="EG20" i="7"/>
  <c r="EH20" i="7"/>
  <c r="EI20" i="7"/>
  <c r="EJ20" i="7"/>
  <c r="EK20" i="7"/>
  <c r="EL20" i="7"/>
  <c r="EM20" i="7"/>
  <c r="EN20" i="7"/>
  <c r="EO20" i="7"/>
  <c r="EP20" i="7"/>
  <c r="EQ20" i="7"/>
  <c r="ER20" i="7"/>
  <c r="ES20" i="7"/>
  <c r="ET20" i="7"/>
  <c r="EU20" i="7"/>
  <c r="EV20" i="7"/>
  <c r="EW20" i="7"/>
  <c r="EX20" i="7"/>
  <c r="EY20" i="7"/>
  <c r="EZ20" i="7"/>
  <c r="FA20" i="7"/>
  <c r="FB20" i="7"/>
  <c r="FC20" i="7"/>
  <c r="FD20" i="7"/>
  <c r="FE20" i="7"/>
  <c r="FF20" i="7"/>
  <c r="FG20" i="7"/>
  <c r="FH20" i="7"/>
  <c r="FI20" i="7"/>
  <c r="FJ20" i="7"/>
  <c r="FK20" i="7"/>
  <c r="FL20" i="7"/>
  <c r="FM20" i="7"/>
  <c r="FN20" i="7"/>
  <c r="FO20" i="7"/>
  <c r="FP20" i="7"/>
  <c r="FQ20" i="7"/>
  <c r="FR20" i="7"/>
  <c r="FS20" i="7"/>
  <c r="FT20" i="7"/>
  <c r="FU20" i="7"/>
  <c r="E18" i="7"/>
  <c r="E19" i="7"/>
  <c r="E20" i="7"/>
  <c r="E17" i="7"/>
  <c r="E16" i="7"/>
  <c r="E10" i="7"/>
  <c r="A18" i="7"/>
  <c r="B18" i="7"/>
  <c r="C18" i="7"/>
  <c r="D18" i="7"/>
  <c r="A19" i="7"/>
  <c r="B19" i="7"/>
  <c r="C19" i="7"/>
  <c r="D19" i="7"/>
  <c r="A20" i="7"/>
  <c r="B20" i="7"/>
  <c r="C20" i="7"/>
  <c r="D20" i="7"/>
  <c r="B17" i="7"/>
  <c r="C17" i="7"/>
  <c r="D17" i="7"/>
  <c r="A17" i="7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B14" i="6"/>
  <c r="CC14" i="6"/>
  <c r="CD14" i="6"/>
  <c r="CE14" i="6"/>
  <c r="CF14" i="6"/>
  <c r="CG14" i="6"/>
  <c r="CH14" i="6"/>
  <c r="CI14" i="6"/>
  <c r="CJ14" i="6"/>
  <c r="CK14" i="6"/>
  <c r="CL14" i="6"/>
  <c r="CM14" i="6"/>
  <c r="CN14" i="6"/>
  <c r="CO14" i="6"/>
  <c r="CP14" i="6"/>
  <c r="CQ14" i="6"/>
  <c r="CR14" i="6"/>
  <c r="CS14" i="6"/>
  <c r="CT14" i="6"/>
  <c r="CU14" i="6"/>
  <c r="CV14" i="6"/>
  <c r="CW14" i="6"/>
  <c r="CX14" i="6"/>
  <c r="CY14" i="6"/>
  <c r="CZ14" i="6"/>
  <c r="DA14" i="6"/>
  <c r="DB14" i="6"/>
  <c r="DC14" i="6"/>
  <c r="DD14" i="6"/>
  <c r="DE14" i="6"/>
  <c r="DF14" i="6"/>
  <c r="DG14" i="6"/>
  <c r="DH14" i="6"/>
  <c r="DI14" i="6"/>
  <c r="DJ14" i="6"/>
  <c r="DK14" i="6"/>
  <c r="DL14" i="6"/>
  <c r="DM14" i="6"/>
  <c r="DN14" i="6"/>
  <c r="DO14" i="6"/>
  <c r="DP14" i="6"/>
  <c r="DQ14" i="6"/>
  <c r="DR14" i="6"/>
  <c r="DS14" i="6"/>
  <c r="DT14" i="6"/>
  <c r="DU14" i="6"/>
  <c r="DV14" i="6"/>
  <c r="DW14" i="6"/>
  <c r="DX14" i="6"/>
  <c r="DY14" i="6"/>
  <c r="DZ14" i="6"/>
  <c r="EA14" i="6"/>
  <c r="EB14" i="6"/>
  <c r="EC14" i="6"/>
  <c r="ED14" i="6"/>
  <c r="EE14" i="6"/>
  <c r="EF14" i="6"/>
  <c r="EG14" i="6"/>
  <c r="EH14" i="6"/>
  <c r="EI14" i="6"/>
  <c r="EJ14" i="6"/>
  <c r="EK14" i="6"/>
  <c r="EL14" i="6"/>
  <c r="EM14" i="6"/>
  <c r="EN14" i="6"/>
  <c r="EO14" i="6"/>
  <c r="EP14" i="6"/>
  <c r="EQ14" i="6"/>
  <c r="ER14" i="6"/>
  <c r="ES14" i="6"/>
  <c r="ET14" i="6"/>
  <c r="EU14" i="6"/>
  <c r="EV14" i="6"/>
  <c r="EW14" i="6"/>
  <c r="EX14" i="6"/>
  <c r="EY14" i="6"/>
  <c r="EZ14" i="6"/>
  <c r="FA14" i="6"/>
  <c r="FB14" i="6"/>
  <c r="FC14" i="6"/>
  <c r="FD14" i="6"/>
  <c r="FE14" i="6"/>
  <c r="FF14" i="6"/>
  <c r="FG14" i="6"/>
  <c r="FH14" i="6"/>
  <c r="FI14" i="6"/>
  <c r="FJ14" i="6"/>
  <c r="FK14" i="6"/>
  <c r="FL14" i="6"/>
  <c r="FM14" i="6"/>
  <c r="FN14" i="6"/>
  <c r="FO14" i="6"/>
  <c r="FP14" i="6"/>
  <c r="FQ14" i="6"/>
  <c r="FR14" i="6"/>
  <c r="FS14" i="6"/>
  <c r="FT14" i="6"/>
  <c r="FU14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CB19" i="6"/>
  <c r="CC19" i="6"/>
  <c r="CD19" i="6"/>
  <c r="CE19" i="6"/>
  <c r="CF19" i="6"/>
  <c r="CG19" i="6"/>
  <c r="CH19" i="6"/>
  <c r="CI19" i="6"/>
  <c r="CJ19" i="6"/>
  <c r="CK19" i="6"/>
  <c r="CL19" i="6"/>
  <c r="CM19" i="6"/>
  <c r="CN19" i="6"/>
  <c r="CO19" i="6"/>
  <c r="CP19" i="6"/>
  <c r="CQ19" i="6"/>
  <c r="CR19" i="6"/>
  <c r="CS19" i="6"/>
  <c r="CT19" i="6"/>
  <c r="CU19" i="6"/>
  <c r="CV19" i="6"/>
  <c r="CW19" i="6"/>
  <c r="CX19" i="6"/>
  <c r="CY19" i="6"/>
  <c r="CZ19" i="6"/>
  <c r="DA19" i="6"/>
  <c r="DB19" i="6"/>
  <c r="DC19" i="6"/>
  <c r="DD19" i="6"/>
  <c r="DE19" i="6"/>
  <c r="DF19" i="6"/>
  <c r="DG19" i="6"/>
  <c r="DH19" i="6"/>
  <c r="DI19" i="6"/>
  <c r="DJ19" i="6"/>
  <c r="DK19" i="6"/>
  <c r="DL19" i="6"/>
  <c r="DM19" i="6"/>
  <c r="DN19" i="6"/>
  <c r="DO19" i="6"/>
  <c r="DP19" i="6"/>
  <c r="DQ19" i="6"/>
  <c r="DR19" i="6"/>
  <c r="DS19" i="6"/>
  <c r="DT19" i="6"/>
  <c r="DU19" i="6"/>
  <c r="DV19" i="6"/>
  <c r="DW19" i="6"/>
  <c r="DX19" i="6"/>
  <c r="DY19" i="6"/>
  <c r="DZ19" i="6"/>
  <c r="EA19" i="6"/>
  <c r="EB19" i="6"/>
  <c r="EC19" i="6"/>
  <c r="ED19" i="6"/>
  <c r="EE19" i="6"/>
  <c r="EF19" i="6"/>
  <c r="EG19" i="6"/>
  <c r="EH19" i="6"/>
  <c r="EI19" i="6"/>
  <c r="EJ19" i="6"/>
  <c r="EK19" i="6"/>
  <c r="EL19" i="6"/>
  <c r="EM19" i="6"/>
  <c r="EN19" i="6"/>
  <c r="EO19" i="6"/>
  <c r="EP19" i="6"/>
  <c r="EQ19" i="6"/>
  <c r="ER19" i="6"/>
  <c r="ES19" i="6"/>
  <c r="ET19" i="6"/>
  <c r="EU19" i="6"/>
  <c r="EV19" i="6"/>
  <c r="EW19" i="6"/>
  <c r="EX19" i="6"/>
  <c r="EY19" i="6"/>
  <c r="EZ19" i="6"/>
  <c r="FA19" i="6"/>
  <c r="FB19" i="6"/>
  <c r="FC19" i="6"/>
  <c r="FD19" i="6"/>
  <c r="FE19" i="6"/>
  <c r="FF19" i="6"/>
  <c r="FG19" i="6"/>
  <c r="FH19" i="6"/>
  <c r="FI19" i="6"/>
  <c r="FJ19" i="6"/>
  <c r="FK19" i="6"/>
  <c r="FL19" i="6"/>
  <c r="FM19" i="6"/>
  <c r="FN19" i="6"/>
  <c r="FO19" i="6"/>
  <c r="FP19" i="6"/>
  <c r="FQ19" i="6"/>
  <c r="FR19" i="6"/>
  <c r="FS19" i="6"/>
  <c r="FT19" i="6"/>
  <c r="FU19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CC20" i="6"/>
  <c r="CD20" i="6"/>
  <c r="CE20" i="6"/>
  <c r="CF20" i="6"/>
  <c r="CG20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CT20" i="6"/>
  <c r="CU20" i="6"/>
  <c r="CV20" i="6"/>
  <c r="CW20" i="6"/>
  <c r="CX20" i="6"/>
  <c r="CY20" i="6"/>
  <c r="CZ20" i="6"/>
  <c r="DA20" i="6"/>
  <c r="DB20" i="6"/>
  <c r="DC20" i="6"/>
  <c r="DD20" i="6"/>
  <c r="DE20" i="6"/>
  <c r="DF20" i="6"/>
  <c r="DG20" i="6"/>
  <c r="DH20" i="6"/>
  <c r="DI20" i="6"/>
  <c r="DJ20" i="6"/>
  <c r="DK20" i="6"/>
  <c r="DL20" i="6"/>
  <c r="DM20" i="6"/>
  <c r="DN20" i="6"/>
  <c r="DO20" i="6"/>
  <c r="DP20" i="6"/>
  <c r="DQ20" i="6"/>
  <c r="DR20" i="6"/>
  <c r="DS20" i="6"/>
  <c r="DT20" i="6"/>
  <c r="DU20" i="6"/>
  <c r="DV20" i="6"/>
  <c r="DW20" i="6"/>
  <c r="DX20" i="6"/>
  <c r="DY20" i="6"/>
  <c r="DZ20" i="6"/>
  <c r="EA20" i="6"/>
  <c r="EB20" i="6"/>
  <c r="EC20" i="6"/>
  <c r="ED20" i="6"/>
  <c r="EE20" i="6"/>
  <c r="EF20" i="6"/>
  <c r="EG20" i="6"/>
  <c r="EH20" i="6"/>
  <c r="EI20" i="6"/>
  <c r="EJ20" i="6"/>
  <c r="EK20" i="6"/>
  <c r="EL20" i="6"/>
  <c r="EM20" i="6"/>
  <c r="EN20" i="6"/>
  <c r="EO20" i="6"/>
  <c r="EP20" i="6"/>
  <c r="EQ20" i="6"/>
  <c r="ER20" i="6"/>
  <c r="ES20" i="6"/>
  <c r="ET20" i="6"/>
  <c r="EU20" i="6"/>
  <c r="EV20" i="6"/>
  <c r="EW20" i="6"/>
  <c r="EX20" i="6"/>
  <c r="EY20" i="6"/>
  <c r="EZ20" i="6"/>
  <c r="FA20" i="6"/>
  <c r="FB20" i="6"/>
  <c r="FC20" i="6"/>
  <c r="FD20" i="6"/>
  <c r="FE20" i="6"/>
  <c r="FF20" i="6"/>
  <c r="FG20" i="6"/>
  <c r="FH20" i="6"/>
  <c r="FI20" i="6"/>
  <c r="FJ20" i="6"/>
  <c r="FK20" i="6"/>
  <c r="FL20" i="6"/>
  <c r="FM20" i="6"/>
  <c r="FN20" i="6"/>
  <c r="FO20" i="6"/>
  <c r="FP20" i="6"/>
  <c r="FQ20" i="6"/>
  <c r="FR20" i="6"/>
  <c r="FS20" i="6"/>
  <c r="FT20" i="6"/>
  <c r="FU20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Y21" i="6"/>
  <c r="BZ21" i="6"/>
  <c r="CA21" i="6"/>
  <c r="CB21" i="6"/>
  <c r="CC21" i="6"/>
  <c r="CD21" i="6"/>
  <c r="CE21" i="6"/>
  <c r="CF21" i="6"/>
  <c r="CG21" i="6"/>
  <c r="CH21" i="6"/>
  <c r="CI21" i="6"/>
  <c r="CJ21" i="6"/>
  <c r="CK21" i="6"/>
  <c r="CL21" i="6"/>
  <c r="CM21" i="6"/>
  <c r="CN21" i="6"/>
  <c r="CO21" i="6"/>
  <c r="CP21" i="6"/>
  <c r="CQ21" i="6"/>
  <c r="CR21" i="6"/>
  <c r="CS21" i="6"/>
  <c r="CT21" i="6"/>
  <c r="CU21" i="6"/>
  <c r="CV21" i="6"/>
  <c r="CW21" i="6"/>
  <c r="CX21" i="6"/>
  <c r="CY21" i="6"/>
  <c r="CZ21" i="6"/>
  <c r="DA21" i="6"/>
  <c r="DB21" i="6"/>
  <c r="DC21" i="6"/>
  <c r="DD21" i="6"/>
  <c r="DE21" i="6"/>
  <c r="DF21" i="6"/>
  <c r="DG21" i="6"/>
  <c r="DH21" i="6"/>
  <c r="DI21" i="6"/>
  <c r="DJ21" i="6"/>
  <c r="DK21" i="6"/>
  <c r="DL21" i="6"/>
  <c r="DM21" i="6"/>
  <c r="DN21" i="6"/>
  <c r="DO21" i="6"/>
  <c r="DP21" i="6"/>
  <c r="DQ21" i="6"/>
  <c r="DR21" i="6"/>
  <c r="DS21" i="6"/>
  <c r="DT21" i="6"/>
  <c r="DU21" i="6"/>
  <c r="DV21" i="6"/>
  <c r="DW21" i="6"/>
  <c r="DX21" i="6"/>
  <c r="DY21" i="6"/>
  <c r="DZ21" i="6"/>
  <c r="EA21" i="6"/>
  <c r="EB21" i="6"/>
  <c r="EC21" i="6"/>
  <c r="ED21" i="6"/>
  <c r="EE21" i="6"/>
  <c r="EF21" i="6"/>
  <c r="EG21" i="6"/>
  <c r="EH21" i="6"/>
  <c r="EI21" i="6"/>
  <c r="EJ21" i="6"/>
  <c r="EK21" i="6"/>
  <c r="EL21" i="6"/>
  <c r="EM21" i="6"/>
  <c r="EN21" i="6"/>
  <c r="EO21" i="6"/>
  <c r="EP21" i="6"/>
  <c r="EQ21" i="6"/>
  <c r="ER21" i="6"/>
  <c r="ES21" i="6"/>
  <c r="ET21" i="6"/>
  <c r="EU21" i="6"/>
  <c r="EV21" i="6"/>
  <c r="EW21" i="6"/>
  <c r="EX21" i="6"/>
  <c r="EY21" i="6"/>
  <c r="EZ21" i="6"/>
  <c r="FA21" i="6"/>
  <c r="FB21" i="6"/>
  <c r="FC21" i="6"/>
  <c r="FD21" i="6"/>
  <c r="FE21" i="6"/>
  <c r="FF21" i="6"/>
  <c r="FG21" i="6"/>
  <c r="FH21" i="6"/>
  <c r="FI21" i="6"/>
  <c r="FJ21" i="6"/>
  <c r="FK21" i="6"/>
  <c r="FL21" i="6"/>
  <c r="FM21" i="6"/>
  <c r="FN21" i="6"/>
  <c r="FO21" i="6"/>
  <c r="FP21" i="6"/>
  <c r="FQ21" i="6"/>
  <c r="FR21" i="6"/>
  <c r="FS21" i="6"/>
  <c r="FT21" i="6"/>
  <c r="FU21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CC22" i="6"/>
  <c r="CD22" i="6"/>
  <c r="CE22" i="6"/>
  <c r="CF22" i="6"/>
  <c r="CG22" i="6"/>
  <c r="CH22" i="6"/>
  <c r="CI22" i="6"/>
  <c r="CJ22" i="6"/>
  <c r="CK22" i="6"/>
  <c r="CL22" i="6"/>
  <c r="CM22" i="6"/>
  <c r="CN22" i="6"/>
  <c r="CO22" i="6"/>
  <c r="CP22" i="6"/>
  <c r="CQ22" i="6"/>
  <c r="CR22" i="6"/>
  <c r="CS22" i="6"/>
  <c r="CT22" i="6"/>
  <c r="CU22" i="6"/>
  <c r="CV22" i="6"/>
  <c r="CW22" i="6"/>
  <c r="CX22" i="6"/>
  <c r="CY22" i="6"/>
  <c r="CZ22" i="6"/>
  <c r="DA22" i="6"/>
  <c r="DB22" i="6"/>
  <c r="DC22" i="6"/>
  <c r="DD22" i="6"/>
  <c r="DE22" i="6"/>
  <c r="DF22" i="6"/>
  <c r="DG22" i="6"/>
  <c r="DH22" i="6"/>
  <c r="DI22" i="6"/>
  <c r="DJ22" i="6"/>
  <c r="DK22" i="6"/>
  <c r="DL22" i="6"/>
  <c r="DM22" i="6"/>
  <c r="DN22" i="6"/>
  <c r="DO22" i="6"/>
  <c r="DP22" i="6"/>
  <c r="DQ22" i="6"/>
  <c r="DR22" i="6"/>
  <c r="DS22" i="6"/>
  <c r="DT22" i="6"/>
  <c r="DU22" i="6"/>
  <c r="DV22" i="6"/>
  <c r="DW22" i="6"/>
  <c r="DX22" i="6"/>
  <c r="DY22" i="6"/>
  <c r="DZ22" i="6"/>
  <c r="EA22" i="6"/>
  <c r="EB22" i="6"/>
  <c r="EC22" i="6"/>
  <c r="ED22" i="6"/>
  <c r="EE22" i="6"/>
  <c r="EF22" i="6"/>
  <c r="EG22" i="6"/>
  <c r="EH22" i="6"/>
  <c r="EI22" i="6"/>
  <c r="EJ22" i="6"/>
  <c r="EK22" i="6"/>
  <c r="EL22" i="6"/>
  <c r="EM22" i="6"/>
  <c r="EN22" i="6"/>
  <c r="EO22" i="6"/>
  <c r="EP22" i="6"/>
  <c r="EQ22" i="6"/>
  <c r="ER22" i="6"/>
  <c r="ES22" i="6"/>
  <c r="ET22" i="6"/>
  <c r="EU22" i="6"/>
  <c r="EV22" i="6"/>
  <c r="EW22" i="6"/>
  <c r="EX22" i="6"/>
  <c r="EY22" i="6"/>
  <c r="EZ22" i="6"/>
  <c r="FA22" i="6"/>
  <c r="FB22" i="6"/>
  <c r="FC22" i="6"/>
  <c r="FD22" i="6"/>
  <c r="FE22" i="6"/>
  <c r="FF22" i="6"/>
  <c r="FG22" i="6"/>
  <c r="FH22" i="6"/>
  <c r="FI22" i="6"/>
  <c r="FJ22" i="6"/>
  <c r="FK22" i="6"/>
  <c r="FL22" i="6"/>
  <c r="FM22" i="6"/>
  <c r="FN22" i="6"/>
  <c r="FO22" i="6"/>
  <c r="FP22" i="6"/>
  <c r="FQ22" i="6"/>
  <c r="FR22" i="6"/>
  <c r="FS22" i="6"/>
  <c r="FT22" i="6"/>
  <c r="FU22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CB23" i="6"/>
  <c r="CC23" i="6"/>
  <c r="CD23" i="6"/>
  <c r="CE23" i="6"/>
  <c r="CF23" i="6"/>
  <c r="CG23" i="6"/>
  <c r="CH23" i="6"/>
  <c r="CI23" i="6"/>
  <c r="CJ23" i="6"/>
  <c r="CK23" i="6"/>
  <c r="CL23" i="6"/>
  <c r="CM23" i="6"/>
  <c r="CN23" i="6"/>
  <c r="CO23" i="6"/>
  <c r="CP23" i="6"/>
  <c r="CQ23" i="6"/>
  <c r="CR23" i="6"/>
  <c r="CS23" i="6"/>
  <c r="CT23" i="6"/>
  <c r="CU23" i="6"/>
  <c r="CV23" i="6"/>
  <c r="CW23" i="6"/>
  <c r="CX23" i="6"/>
  <c r="CY23" i="6"/>
  <c r="CZ23" i="6"/>
  <c r="DA23" i="6"/>
  <c r="DB23" i="6"/>
  <c r="DC23" i="6"/>
  <c r="DD23" i="6"/>
  <c r="DE23" i="6"/>
  <c r="DF23" i="6"/>
  <c r="DG23" i="6"/>
  <c r="DH23" i="6"/>
  <c r="DI23" i="6"/>
  <c r="DJ23" i="6"/>
  <c r="DK23" i="6"/>
  <c r="DL23" i="6"/>
  <c r="DM23" i="6"/>
  <c r="DN23" i="6"/>
  <c r="DO23" i="6"/>
  <c r="DP23" i="6"/>
  <c r="DQ23" i="6"/>
  <c r="DR23" i="6"/>
  <c r="DS23" i="6"/>
  <c r="DT23" i="6"/>
  <c r="DU23" i="6"/>
  <c r="DV23" i="6"/>
  <c r="DW23" i="6"/>
  <c r="DX23" i="6"/>
  <c r="DY23" i="6"/>
  <c r="DZ23" i="6"/>
  <c r="EA23" i="6"/>
  <c r="EB23" i="6"/>
  <c r="EC23" i="6"/>
  <c r="ED23" i="6"/>
  <c r="EE23" i="6"/>
  <c r="EF23" i="6"/>
  <c r="EG23" i="6"/>
  <c r="EH23" i="6"/>
  <c r="EI23" i="6"/>
  <c r="EJ23" i="6"/>
  <c r="EK23" i="6"/>
  <c r="EL23" i="6"/>
  <c r="EM23" i="6"/>
  <c r="EN23" i="6"/>
  <c r="EO23" i="6"/>
  <c r="EP23" i="6"/>
  <c r="EQ23" i="6"/>
  <c r="ER23" i="6"/>
  <c r="ES23" i="6"/>
  <c r="ET23" i="6"/>
  <c r="EU23" i="6"/>
  <c r="EV23" i="6"/>
  <c r="EW23" i="6"/>
  <c r="EX23" i="6"/>
  <c r="EY23" i="6"/>
  <c r="EZ23" i="6"/>
  <c r="FA23" i="6"/>
  <c r="FB23" i="6"/>
  <c r="FC23" i="6"/>
  <c r="FD23" i="6"/>
  <c r="FE23" i="6"/>
  <c r="FF23" i="6"/>
  <c r="FG23" i="6"/>
  <c r="FH23" i="6"/>
  <c r="FI23" i="6"/>
  <c r="FJ23" i="6"/>
  <c r="FK23" i="6"/>
  <c r="FL23" i="6"/>
  <c r="FM23" i="6"/>
  <c r="FN23" i="6"/>
  <c r="FO23" i="6"/>
  <c r="FP23" i="6"/>
  <c r="FQ23" i="6"/>
  <c r="FR23" i="6"/>
  <c r="FS23" i="6"/>
  <c r="FT23" i="6"/>
  <c r="FU23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CB24" i="6"/>
  <c r="CC24" i="6"/>
  <c r="CD24" i="6"/>
  <c r="CE24" i="6"/>
  <c r="CF24" i="6"/>
  <c r="CG24" i="6"/>
  <c r="CH24" i="6"/>
  <c r="CI24" i="6"/>
  <c r="CJ24" i="6"/>
  <c r="CK24" i="6"/>
  <c r="CL24" i="6"/>
  <c r="CM24" i="6"/>
  <c r="CN24" i="6"/>
  <c r="CO24" i="6"/>
  <c r="CP24" i="6"/>
  <c r="CQ24" i="6"/>
  <c r="CR24" i="6"/>
  <c r="CS24" i="6"/>
  <c r="CT24" i="6"/>
  <c r="CU24" i="6"/>
  <c r="CV24" i="6"/>
  <c r="CW24" i="6"/>
  <c r="CX24" i="6"/>
  <c r="CY24" i="6"/>
  <c r="CZ24" i="6"/>
  <c r="DA24" i="6"/>
  <c r="DB24" i="6"/>
  <c r="DC24" i="6"/>
  <c r="DD24" i="6"/>
  <c r="DE24" i="6"/>
  <c r="DF24" i="6"/>
  <c r="DG24" i="6"/>
  <c r="DH24" i="6"/>
  <c r="DI24" i="6"/>
  <c r="DJ24" i="6"/>
  <c r="DK24" i="6"/>
  <c r="DL24" i="6"/>
  <c r="DM24" i="6"/>
  <c r="DN24" i="6"/>
  <c r="DO24" i="6"/>
  <c r="DP24" i="6"/>
  <c r="DQ24" i="6"/>
  <c r="DR24" i="6"/>
  <c r="DS24" i="6"/>
  <c r="DT24" i="6"/>
  <c r="DU24" i="6"/>
  <c r="DV24" i="6"/>
  <c r="DW24" i="6"/>
  <c r="DX24" i="6"/>
  <c r="DY24" i="6"/>
  <c r="DZ24" i="6"/>
  <c r="EA24" i="6"/>
  <c r="EB24" i="6"/>
  <c r="EC24" i="6"/>
  <c r="ED24" i="6"/>
  <c r="EE24" i="6"/>
  <c r="EF24" i="6"/>
  <c r="EG24" i="6"/>
  <c r="EH24" i="6"/>
  <c r="EI24" i="6"/>
  <c r="EJ24" i="6"/>
  <c r="EK24" i="6"/>
  <c r="EL24" i="6"/>
  <c r="EM24" i="6"/>
  <c r="EN24" i="6"/>
  <c r="EO24" i="6"/>
  <c r="EP24" i="6"/>
  <c r="EQ24" i="6"/>
  <c r="ER24" i="6"/>
  <c r="ES24" i="6"/>
  <c r="ET24" i="6"/>
  <c r="EU24" i="6"/>
  <c r="EV24" i="6"/>
  <c r="EW24" i="6"/>
  <c r="EX24" i="6"/>
  <c r="EY24" i="6"/>
  <c r="EZ24" i="6"/>
  <c r="FA24" i="6"/>
  <c r="FB24" i="6"/>
  <c r="FC24" i="6"/>
  <c r="FD24" i="6"/>
  <c r="FE24" i="6"/>
  <c r="FF24" i="6"/>
  <c r="FG24" i="6"/>
  <c r="FH24" i="6"/>
  <c r="FI24" i="6"/>
  <c r="FJ24" i="6"/>
  <c r="FK24" i="6"/>
  <c r="FL24" i="6"/>
  <c r="FM24" i="6"/>
  <c r="FN24" i="6"/>
  <c r="FO24" i="6"/>
  <c r="FP24" i="6"/>
  <c r="FQ24" i="6"/>
  <c r="FR24" i="6"/>
  <c r="FS24" i="6"/>
  <c r="FT24" i="6"/>
  <c r="FU24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CB25" i="6"/>
  <c r="CC25" i="6"/>
  <c r="CD25" i="6"/>
  <c r="CE25" i="6"/>
  <c r="CF25" i="6"/>
  <c r="CG25" i="6"/>
  <c r="CH25" i="6"/>
  <c r="CI25" i="6"/>
  <c r="CJ25" i="6"/>
  <c r="CK25" i="6"/>
  <c r="CL25" i="6"/>
  <c r="CM25" i="6"/>
  <c r="CN25" i="6"/>
  <c r="CO25" i="6"/>
  <c r="CP25" i="6"/>
  <c r="CQ25" i="6"/>
  <c r="CR25" i="6"/>
  <c r="CS25" i="6"/>
  <c r="CT25" i="6"/>
  <c r="CU25" i="6"/>
  <c r="CV25" i="6"/>
  <c r="CW25" i="6"/>
  <c r="CX25" i="6"/>
  <c r="CY25" i="6"/>
  <c r="CZ25" i="6"/>
  <c r="DA25" i="6"/>
  <c r="DB25" i="6"/>
  <c r="DC25" i="6"/>
  <c r="DD25" i="6"/>
  <c r="DE25" i="6"/>
  <c r="DF25" i="6"/>
  <c r="DG25" i="6"/>
  <c r="DH25" i="6"/>
  <c r="DI25" i="6"/>
  <c r="DJ25" i="6"/>
  <c r="DK25" i="6"/>
  <c r="DL25" i="6"/>
  <c r="DM25" i="6"/>
  <c r="DN25" i="6"/>
  <c r="DO25" i="6"/>
  <c r="DP25" i="6"/>
  <c r="DQ25" i="6"/>
  <c r="DR25" i="6"/>
  <c r="DS25" i="6"/>
  <c r="DT25" i="6"/>
  <c r="DU25" i="6"/>
  <c r="DV25" i="6"/>
  <c r="DW25" i="6"/>
  <c r="DX25" i="6"/>
  <c r="DY25" i="6"/>
  <c r="DZ25" i="6"/>
  <c r="EA25" i="6"/>
  <c r="EB25" i="6"/>
  <c r="EC25" i="6"/>
  <c r="ED25" i="6"/>
  <c r="EE25" i="6"/>
  <c r="EF25" i="6"/>
  <c r="EG25" i="6"/>
  <c r="EH25" i="6"/>
  <c r="EI25" i="6"/>
  <c r="EJ25" i="6"/>
  <c r="EK25" i="6"/>
  <c r="EL25" i="6"/>
  <c r="EM25" i="6"/>
  <c r="EN25" i="6"/>
  <c r="EO25" i="6"/>
  <c r="EP25" i="6"/>
  <c r="EQ25" i="6"/>
  <c r="ER25" i="6"/>
  <c r="ES25" i="6"/>
  <c r="ET25" i="6"/>
  <c r="EU25" i="6"/>
  <c r="EV25" i="6"/>
  <c r="EW25" i="6"/>
  <c r="EX25" i="6"/>
  <c r="EY25" i="6"/>
  <c r="EZ25" i="6"/>
  <c r="FA25" i="6"/>
  <c r="FB25" i="6"/>
  <c r="FC25" i="6"/>
  <c r="FD25" i="6"/>
  <c r="FE25" i="6"/>
  <c r="FF25" i="6"/>
  <c r="FG25" i="6"/>
  <c r="FH25" i="6"/>
  <c r="FI25" i="6"/>
  <c r="FJ25" i="6"/>
  <c r="FK25" i="6"/>
  <c r="FL25" i="6"/>
  <c r="FM25" i="6"/>
  <c r="FN25" i="6"/>
  <c r="FO25" i="6"/>
  <c r="FP25" i="6"/>
  <c r="FQ25" i="6"/>
  <c r="FR25" i="6"/>
  <c r="FS25" i="6"/>
  <c r="FT25" i="6"/>
  <c r="FU25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CB26" i="6"/>
  <c r="CC26" i="6"/>
  <c r="CD26" i="6"/>
  <c r="CE26" i="6"/>
  <c r="CF26" i="6"/>
  <c r="CG26" i="6"/>
  <c r="CH26" i="6"/>
  <c r="CI26" i="6"/>
  <c r="CJ26" i="6"/>
  <c r="CK26" i="6"/>
  <c r="CL26" i="6"/>
  <c r="CM26" i="6"/>
  <c r="CN26" i="6"/>
  <c r="CO26" i="6"/>
  <c r="CP26" i="6"/>
  <c r="CQ26" i="6"/>
  <c r="CR26" i="6"/>
  <c r="CS26" i="6"/>
  <c r="CT26" i="6"/>
  <c r="CU26" i="6"/>
  <c r="CV26" i="6"/>
  <c r="CW26" i="6"/>
  <c r="CX26" i="6"/>
  <c r="CY26" i="6"/>
  <c r="CZ26" i="6"/>
  <c r="DA26" i="6"/>
  <c r="DB26" i="6"/>
  <c r="DC26" i="6"/>
  <c r="DD26" i="6"/>
  <c r="DE26" i="6"/>
  <c r="DF26" i="6"/>
  <c r="DG26" i="6"/>
  <c r="DH26" i="6"/>
  <c r="DI26" i="6"/>
  <c r="DJ26" i="6"/>
  <c r="DK26" i="6"/>
  <c r="DL26" i="6"/>
  <c r="DM26" i="6"/>
  <c r="DN26" i="6"/>
  <c r="DO26" i="6"/>
  <c r="DP26" i="6"/>
  <c r="DQ26" i="6"/>
  <c r="DR26" i="6"/>
  <c r="DS26" i="6"/>
  <c r="DT26" i="6"/>
  <c r="DU26" i="6"/>
  <c r="DV26" i="6"/>
  <c r="DW26" i="6"/>
  <c r="DX26" i="6"/>
  <c r="DY26" i="6"/>
  <c r="DZ26" i="6"/>
  <c r="EA26" i="6"/>
  <c r="EB26" i="6"/>
  <c r="EC26" i="6"/>
  <c r="ED26" i="6"/>
  <c r="EE26" i="6"/>
  <c r="EF26" i="6"/>
  <c r="EG26" i="6"/>
  <c r="EH26" i="6"/>
  <c r="EI26" i="6"/>
  <c r="EJ26" i="6"/>
  <c r="EK26" i="6"/>
  <c r="EL26" i="6"/>
  <c r="EM26" i="6"/>
  <c r="EN26" i="6"/>
  <c r="EO26" i="6"/>
  <c r="EP26" i="6"/>
  <c r="EQ26" i="6"/>
  <c r="ER26" i="6"/>
  <c r="ES26" i="6"/>
  <c r="ET26" i="6"/>
  <c r="EU26" i="6"/>
  <c r="EV26" i="6"/>
  <c r="EW26" i="6"/>
  <c r="EX26" i="6"/>
  <c r="EY26" i="6"/>
  <c r="EZ26" i="6"/>
  <c r="FA26" i="6"/>
  <c r="FB26" i="6"/>
  <c r="FC26" i="6"/>
  <c r="FD26" i="6"/>
  <c r="FE26" i="6"/>
  <c r="FF26" i="6"/>
  <c r="FG26" i="6"/>
  <c r="FH26" i="6"/>
  <c r="FI26" i="6"/>
  <c r="FJ26" i="6"/>
  <c r="FK26" i="6"/>
  <c r="FL26" i="6"/>
  <c r="FM26" i="6"/>
  <c r="FN26" i="6"/>
  <c r="FO26" i="6"/>
  <c r="FP26" i="6"/>
  <c r="FQ26" i="6"/>
  <c r="FR26" i="6"/>
  <c r="FS26" i="6"/>
  <c r="FT26" i="6"/>
  <c r="FU26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B27" i="6"/>
  <c r="CC27" i="6"/>
  <c r="CD27" i="6"/>
  <c r="CE27" i="6"/>
  <c r="CF27" i="6"/>
  <c r="CG27" i="6"/>
  <c r="CH27" i="6"/>
  <c r="CI27" i="6"/>
  <c r="CJ27" i="6"/>
  <c r="CK27" i="6"/>
  <c r="CL27" i="6"/>
  <c r="CM27" i="6"/>
  <c r="CN27" i="6"/>
  <c r="CO27" i="6"/>
  <c r="CP27" i="6"/>
  <c r="CQ27" i="6"/>
  <c r="CR27" i="6"/>
  <c r="CS27" i="6"/>
  <c r="CT27" i="6"/>
  <c r="CU27" i="6"/>
  <c r="CV27" i="6"/>
  <c r="CW27" i="6"/>
  <c r="CX27" i="6"/>
  <c r="CY27" i="6"/>
  <c r="CZ27" i="6"/>
  <c r="DA27" i="6"/>
  <c r="DB27" i="6"/>
  <c r="DC27" i="6"/>
  <c r="DD27" i="6"/>
  <c r="DE27" i="6"/>
  <c r="DF27" i="6"/>
  <c r="DG27" i="6"/>
  <c r="DH27" i="6"/>
  <c r="DI27" i="6"/>
  <c r="DJ27" i="6"/>
  <c r="DK27" i="6"/>
  <c r="DL27" i="6"/>
  <c r="DM27" i="6"/>
  <c r="DN27" i="6"/>
  <c r="DO27" i="6"/>
  <c r="DP27" i="6"/>
  <c r="DQ27" i="6"/>
  <c r="DR27" i="6"/>
  <c r="DS27" i="6"/>
  <c r="DT27" i="6"/>
  <c r="DU27" i="6"/>
  <c r="DV27" i="6"/>
  <c r="DW27" i="6"/>
  <c r="DX27" i="6"/>
  <c r="DY27" i="6"/>
  <c r="DZ27" i="6"/>
  <c r="EA27" i="6"/>
  <c r="EB27" i="6"/>
  <c r="EC27" i="6"/>
  <c r="ED27" i="6"/>
  <c r="EE27" i="6"/>
  <c r="EF27" i="6"/>
  <c r="EG27" i="6"/>
  <c r="EH27" i="6"/>
  <c r="EI27" i="6"/>
  <c r="EJ27" i="6"/>
  <c r="EK27" i="6"/>
  <c r="EL27" i="6"/>
  <c r="EM27" i="6"/>
  <c r="EN27" i="6"/>
  <c r="EO27" i="6"/>
  <c r="EP27" i="6"/>
  <c r="EQ27" i="6"/>
  <c r="ER27" i="6"/>
  <c r="ES27" i="6"/>
  <c r="ET27" i="6"/>
  <c r="EU27" i="6"/>
  <c r="EV27" i="6"/>
  <c r="EW27" i="6"/>
  <c r="EX27" i="6"/>
  <c r="EY27" i="6"/>
  <c r="EZ27" i="6"/>
  <c r="FA27" i="6"/>
  <c r="FB27" i="6"/>
  <c r="FC27" i="6"/>
  <c r="FD27" i="6"/>
  <c r="FE27" i="6"/>
  <c r="FF27" i="6"/>
  <c r="FG27" i="6"/>
  <c r="FH27" i="6"/>
  <c r="FI27" i="6"/>
  <c r="FJ27" i="6"/>
  <c r="FK27" i="6"/>
  <c r="FL27" i="6"/>
  <c r="FM27" i="6"/>
  <c r="FN27" i="6"/>
  <c r="FO27" i="6"/>
  <c r="FP27" i="6"/>
  <c r="FQ27" i="6"/>
  <c r="FR27" i="6"/>
  <c r="FS27" i="6"/>
  <c r="FT27" i="6"/>
  <c r="FU27" i="6"/>
  <c r="E21" i="6"/>
  <c r="E22" i="6"/>
  <c r="E23" i="6"/>
  <c r="E24" i="6"/>
  <c r="E25" i="6"/>
  <c r="E26" i="6"/>
  <c r="E27" i="6"/>
  <c r="E20" i="6"/>
  <c r="E19" i="6"/>
  <c r="A21" i="6"/>
  <c r="B21" i="6"/>
  <c r="C21" i="6"/>
  <c r="D21" i="6"/>
  <c r="A22" i="6"/>
  <c r="B22" i="6"/>
  <c r="C22" i="6"/>
  <c r="D22" i="6"/>
  <c r="A23" i="6"/>
  <c r="B23" i="6"/>
  <c r="C23" i="6"/>
  <c r="D23" i="6"/>
  <c r="A24" i="6"/>
  <c r="B24" i="6"/>
  <c r="C24" i="6"/>
  <c r="D24" i="6"/>
  <c r="A25" i="6"/>
  <c r="B25" i="6"/>
  <c r="C25" i="6"/>
  <c r="D25" i="6"/>
  <c r="A26" i="6"/>
  <c r="B26" i="6"/>
  <c r="C26" i="6"/>
  <c r="D26" i="6"/>
  <c r="A27" i="6"/>
  <c r="B27" i="6"/>
  <c r="C27" i="6"/>
  <c r="D27" i="6"/>
  <c r="B20" i="6"/>
  <c r="C20" i="6"/>
  <c r="D20" i="6"/>
  <c r="A20" i="6"/>
  <c r="E14" i="6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EZ12" i="5"/>
  <c r="FA12" i="5"/>
  <c r="FB12" i="5"/>
  <c r="FC12" i="5"/>
  <c r="FD12" i="5"/>
  <c r="FE12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ES17" i="5"/>
  <c r="ET17" i="5"/>
  <c r="EU17" i="5"/>
  <c r="EV17" i="5"/>
  <c r="EW17" i="5"/>
  <c r="EX17" i="5"/>
  <c r="EY17" i="5"/>
  <c r="EZ17" i="5"/>
  <c r="FA17" i="5"/>
  <c r="FB17" i="5"/>
  <c r="FC17" i="5"/>
  <c r="FD17" i="5"/>
  <c r="FE17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18" i="5"/>
  <c r="G18" i="5"/>
  <c r="H18" i="5"/>
  <c r="I18" i="5"/>
  <c r="J18" i="5"/>
  <c r="J26" i="5" s="1"/>
  <c r="K18" i="5"/>
  <c r="K26" i="5" s="1"/>
  <c r="L18" i="5"/>
  <c r="M18" i="5"/>
  <c r="M26" i="5" s="1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Z26" i="5" s="1"/>
  <c r="AA18" i="5"/>
  <c r="AA26" i="5" s="1"/>
  <c r="AB18" i="5"/>
  <c r="AC18" i="5"/>
  <c r="AC26" i="5" s="1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P26" i="5" s="1"/>
  <c r="AQ18" i="5"/>
  <c r="AQ26" i="5" s="1"/>
  <c r="AR18" i="5"/>
  <c r="AS18" i="5"/>
  <c r="AS26" i="5" s="1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F26" i="5" s="1"/>
  <c r="BG18" i="5"/>
  <c r="BG26" i="5" s="1"/>
  <c r="BH18" i="5"/>
  <c r="BI18" i="5"/>
  <c r="BI26" i="5" s="1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V26" i="5" s="1"/>
  <c r="BW18" i="5"/>
  <c r="BW26" i="5" s="1"/>
  <c r="BX18" i="5"/>
  <c r="BY18" i="5"/>
  <c r="BY26" i="5" s="1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L26" i="5" s="1"/>
  <c r="CM18" i="5"/>
  <c r="CM26" i="5" s="1"/>
  <c r="CN18" i="5"/>
  <c r="CO18" i="5"/>
  <c r="CO26" i="5" s="1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B26" i="5" s="1"/>
  <c r="DC18" i="5"/>
  <c r="DC26" i="5" s="1"/>
  <c r="DD18" i="5"/>
  <c r="DE18" i="5"/>
  <c r="DE26" i="5" s="1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R26" i="5" s="1"/>
  <c r="DS18" i="5"/>
  <c r="DS26" i="5" s="1"/>
  <c r="DT18" i="5"/>
  <c r="DU18" i="5"/>
  <c r="DU26" i="5" s="1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H26" i="5" s="1"/>
  <c r="EI18" i="5"/>
  <c r="EI26" i="5" s="1"/>
  <c r="EJ18" i="5"/>
  <c r="EK18" i="5"/>
  <c r="EK26" i="5" s="1"/>
  <c r="EL18" i="5"/>
  <c r="EM18" i="5"/>
  <c r="EN18" i="5"/>
  <c r="EO18" i="5"/>
  <c r="EP18" i="5"/>
  <c r="EQ18" i="5"/>
  <c r="ER18" i="5"/>
  <c r="ES18" i="5"/>
  <c r="ET18" i="5"/>
  <c r="EU18" i="5"/>
  <c r="EV18" i="5"/>
  <c r="EW18" i="5"/>
  <c r="EX18" i="5"/>
  <c r="EX26" i="5" s="1"/>
  <c r="EY18" i="5"/>
  <c r="EY26" i="5" s="1"/>
  <c r="EZ18" i="5"/>
  <c r="FA18" i="5"/>
  <c r="FA26" i="5" s="1"/>
  <c r="FB18" i="5"/>
  <c r="FC18" i="5"/>
  <c r="FD18" i="5"/>
  <c r="FE18" i="5"/>
  <c r="FF18" i="5"/>
  <c r="FG18" i="5"/>
  <c r="FH18" i="5"/>
  <c r="FI18" i="5"/>
  <c r="FJ18" i="5"/>
  <c r="FK18" i="5"/>
  <c r="FL18" i="5"/>
  <c r="FM18" i="5"/>
  <c r="FN18" i="5"/>
  <c r="FN26" i="5" s="1"/>
  <c r="FO18" i="5"/>
  <c r="FO26" i="5" s="1"/>
  <c r="FP18" i="5"/>
  <c r="FQ18" i="5"/>
  <c r="FQ26" i="5" s="1"/>
  <c r="FR18" i="5"/>
  <c r="FS18" i="5"/>
  <c r="FT18" i="5"/>
  <c r="FU18" i="5"/>
  <c r="F19" i="5"/>
  <c r="G19" i="5"/>
  <c r="H19" i="5"/>
  <c r="I19" i="5"/>
  <c r="J19" i="5"/>
  <c r="K19" i="5"/>
  <c r="L19" i="5"/>
  <c r="L26" i="5" s="1"/>
  <c r="M19" i="5"/>
  <c r="N19" i="5"/>
  <c r="O19" i="5"/>
  <c r="O26" i="5" s="1"/>
  <c r="P19" i="5"/>
  <c r="Q19" i="5"/>
  <c r="Q26" i="5" s="1"/>
  <c r="R19" i="5"/>
  <c r="S19" i="5"/>
  <c r="T19" i="5"/>
  <c r="U19" i="5"/>
  <c r="V19" i="5"/>
  <c r="W19" i="5"/>
  <c r="X19" i="5"/>
  <c r="Y19" i="5"/>
  <c r="Z19" i="5"/>
  <c r="AA19" i="5"/>
  <c r="AB19" i="5"/>
  <c r="AB26" i="5" s="1"/>
  <c r="AC19" i="5"/>
  <c r="AD19" i="5"/>
  <c r="AE19" i="5"/>
  <c r="AE26" i="5" s="1"/>
  <c r="AF19" i="5"/>
  <c r="AG19" i="5"/>
  <c r="AG26" i="5" s="1"/>
  <c r="AH19" i="5"/>
  <c r="AI19" i="5"/>
  <c r="AJ19" i="5"/>
  <c r="AK19" i="5"/>
  <c r="AL19" i="5"/>
  <c r="AM19" i="5"/>
  <c r="AN19" i="5"/>
  <c r="AO19" i="5"/>
  <c r="AP19" i="5"/>
  <c r="AQ19" i="5"/>
  <c r="AR19" i="5"/>
  <c r="AR26" i="5" s="1"/>
  <c r="AS19" i="5"/>
  <c r="AT19" i="5"/>
  <c r="AU19" i="5"/>
  <c r="AU26" i="5" s="1"/>
  <c r="AV19" i="5"/>
  <c r="AW19" i="5"/>
  <c r="AW26" i="5" s="1"/>
  <c r="AX19" i="5"/>
  <c r="AY19" i="5"/>
  <c r="AZ19" i="5"/>
  <c r="BA19" i="5"/>
  <c r="BB19" i="5"/>
  <c r="BC19" i="5"/>
  <c r="BD19" i="5"/>
  <c r="BE19" i="5"/>
  <c r="BF19" i="5"/>
  <c r="BG19" i="5"/>
  <c r="BH19" i="5"/>
  <c r="BH26" i="5" s="1"/>
  <c r="BI19" i="5"/>
  <c r="BJ19" i="5"/>
  <c r="BK19" i="5"/>
  <c r="BK26" i="5" s="1"/>
  <c r="BL19" i="5"/>
  <c r="BM19" i="5"/>
  <c r="BM26" i="5" s="1"/>
  <c r="BN19" i="5"/>
  <c r="BO19" i="5"/>
  <c r="BP19" i="5"/>
  <c r="BQ19" i="5"/>
  <c r="BR19" i="5"/>
  <c r="BS19" i="5"/>
  <c r="BT19" i="5"/>
  <c r="BU19" i="5"/>
  <c r="BV19" i="5"/>
  <c r="BW19" i="5"/>
  <c r="BX19" i="5"/>
  <c r="BX26" i="5" s="1"/>
  <c r="BY19" i="5"/>
  <c r="BZ19" i="5"/>
  <c r="CA19" i="5"/>
  <c r="CA26" i="5" s="1"/>
  <c r="CB19" i="5"/>
  <c r="CC19" i="5"/>
  <c r="CC26" i="5" s="1"/>
  <c r="CD19" i="5"/>
  <c r="CE19" i="5"/>
  <c r="CF19" i="5"/>
  <c r="CG19" i="5"/>
  <c r="CH19" i="5"/>
  <c r="CI19" i="5"/>
  <c r="CJ19" i="5"/>
  <c r="CK19" i="5"/>
  <c r="CL19" i="5"/>
  <c r="CM19" i="5"/>
  <c r="CN19" i="5"/>
  <c r="CN26" i="5" s="1"/>
  <c r="CO19" i="5"/>
  <c r="CP19" i="5"/>
  <c r="CQ19" i="5"/>
  <c r="CQ26" i="5" s="1"/>
  <c r="CR19" i="5"/>
  <c r="CS19" i="5"/>
  <c r="CS26" i="5" s="1"/>
  <c r="CT19" i="5"/>
  <c r="CU19" i="5"/>
  <c r="CV19" i="5"/>
  <c r="CW19" i="5"/>
  <c r="CX19" i="5"/>
  <c r="CY19" i="5"/>
  <c r="CZ19" i="5"/>
  <c r="DA19" i="5"/>
  <c r="DB19" i="5"/>
  <c r="DC19" i="5"/>
  <c r="DD19" i="5"/>
  <c r="DD26" i="5" s="1"/>
  <c r="DE19" i="5"/>
  <c r="DF19" i="5"/>
  <c r="DG19" i="5"/>
  <c r="DG26" i="5" s="1"/>
  <c r="DH19" i="5"/>
  <c r="DI19" i="5"/>
  <c r="DI26" i="5" s="1"/>
  <c r="DJ19" i="5"/>
  <c r="DK19" i="5"/>
  <c r="DL19" i="5"/>
  <c r="DM19" i="5"/>
  <c r="DN19" i="5"/>
  <c r="DO19" i="5"/>
  <c r="DP19" i="5"/>
  <c r="DQ19" i="5"/>
  <c r="DR19" i="5"/>
  <c r="DS19" i="5"/>
  <c r="DT19" i="5"/>
  <c r="DT26" i="5" s="1"/>
  <c r="DU19" i="5"/>
  <c r="DV19" i="5"/>
  <c r="DW19" i="5"/>
  <c r="DW26" i="5" s="1"/>
  <c r="DX19" i="5"/>
  <c r="DY19" i="5"/>
  <c r="DY26" i="5" s="1"/>
  <c r="DZ19" i="5"/>
  <c r="EA19" i="5"/>
  <c r="EB19" i="5"/>
  <c r="EC19" i="5"/>
  <c r="ED19" i="5"/>
  <c r="EE19" i="5"/>
  <c r="EF19" i="5"/>
  <c r="EG19" i="5"/>
  <c r="EH19" i="5"/>
  <c r="EI19" i="5"/>
  <c r="EJ19" i="5"/>
  <c r="EJ26" i="5" s="1"/>
  <c r="EK19" i="5"/>
  <c r="EL19" i="5"/>
  <c r="EM19" i="5"/>
  <c r="EM26" i="5" s="1"/>
  <c r="EN19" i="5"/>
  <c r="EO19" i="5"/>
  <c r="EO26" i="5" s="1"/>
  <c r="EP19" i="5"/>
  <c r="EQ19" i="5"/>
  <c r="ER19" i="5"/>
  <c r="ES19" i="5"/>
  <c r="ET19" i="5"/>
  <c r="EU19" i="5"/>
  <c r="EV19" i="5"/>
  <c r="EW19" i="5"/>
  <c r="EX19" i="5"/>
  <c r="EY19" i="5"/>
  <c r="EZ19" i="5"/>
  <c r="EZ26" i="5" s="1"/>
  <c r="FA19" i="5"/>
  <c r="FB19" i="5"/>
  <c r="FC19" i="5"/>
  <c r="FC26" i="5" s="1"/>
  <c r="FD19" i="5"/>
  <c r="FE19" i="5"/>
  <c r="FE26" i="5" s="1"/>
  <c r="FF19" i="5"/>
  <c r="FG19" i="5"/>
  <c r="FH19" i="5"/>
  <c r="FI19" i="5"/>
  <c r="FJ19" i="5"/>
  <c r="FK19" i="5"/>
  <c r="FL19" i="5"/>
  <c r="FM19" i="5"/>
  <c r="FN19" i="5"/>
  <c r="FO19" i="5"/>
  <c r="FP19" i="5"/>
  <c r="FP26" i="5" s="1"/>
  <c r="FQ19" i="5"/>
  <c r="FR19" i="5"/>
  <c r="FS19" i="5"/>
  <c r="FS26" i="5" s="1"/>
  <c r="FT19" i="5"/>
  <c r="FU19" i="5"/>
  <c r="FU26" i="5" s="1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ES20" i="5"/>
  <c r="ET20" i="5"/>
  <c r="EU20" i="5"/>
  <c r="EV20" i="5"/>
  <c r="EW20" i="5"/>
  <c r="EX20" i="5"/>
  <c r="EY20" i="5"/>
  <c r="EZ20" i="5"/>
  <c r="FA20" i="5"/>
  <c r="FB20" i="5"/>
  <c r="FC20" i="5"/>
  <c r="FD20" i="5"/>
  <c r="FE20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21" i="5"/>
  <c r="F26" i="5" s="1"/>
  <c r="G21" i="5"/>
  <c r="G26" i="5" s="1"/>
  <c r="H21" i="5"/>
  <c r="I21" i="5"/>
  <c r="I26" i="5" s="1"/>
  <c r="J21" i="5"/>
  <c r="K21" i="5"/>
  <c r="L21" i="5"/>
  <c r="M21" i="5"/>
  <c r="N21" i="5"/>
  <c r="O21" i="5"/>
  <c r="P21" i="5"/>
  <c r="Q21" i="5"/>
  <c r="R21" i="5"/>
  <c r="S21" i="5"/>
  <c r="T21" i="5"/>
  <c r="T26" i="5" s="1"/>
  <c r="U21" i="5"/>
  <c r="V21" i="5"/>
  <c r="V26" i="5" s="1"/>
  <c r="W21" i="5"/>
  <c r="W26" i="5" s="1"/>
  <c r="X21" i="5"/>
  <c r="Y21" i="5"/>
  <c r="Y26" i="5" s="1"/>
  <c r="Z21" i="5"/>
  <c r="AA21" i="5"/>
  <c r="AB21" i="5"/>
  <c r="AC21" i="5"/>
  <c r="AD21" i="5"/>
  <c r="AE21" i="5"/>
  <c r="AF21" i="5"/>
  <c r="AG21" i="5"/>
  <c r="AH21" i="5"/>
  <c r="AI21" i="5"/>
  <c r="AJ21" i="5"/>
  <c r="AJ26" i="5" s="1"/>
  <c r="AK21" i="5"/>
  <c r="AL21" i="5"/>
  <c r="AL26" i="5" s="1"/>
  <c r="AM21" i="5"/>
  <c r="AM26" i="5" s="1"/>
  <c r="AN21" i="5"/>
  <c r="AO21" i="5"/>
  <c r="AO26" i="5" s="1"/>
  <c r="AP21" i="5"/>
  <c r="AQ21" i="5"/>
  <c r="AR21" i="5"/>
  <c r="AS21" i="5"/>
  <c r="AT21" i="5"/>
  <c r="AU21" i="5"/>
  <c r="AV21" i="5"/>
  <c r="AW21" i="5"/>
  <c r="AX21" i="5"/>
  <c r="AY21" i="5"/>
  <c r="AZ21" i="5"/>
  <c r="AZ26" i="5" s="1"/>
  <c r="BA21" i="5"/>
  <c r="BB21" i="5"/>
  <c r="BB26" i="5" s="1"/>
  <c r="BC21" i="5"/>
  <c r="BC26" i="5" s="1"/>
  <c r="BD21" i="5"/>
  <c r="BE21" i="5"/>
  <c r="BE26" i="5" s="1"/>
  <c r="BF21" i="5"/>
  <c r="BG21" i="5"/>
  <c r="BH21" i="5"/>
  <c r="BI21" i="5"/>
  <c r="BJ21" i="5"/>
  <c r="BK21" i="5"/>
  <c r="BL21" i="5"/>
  <c r="BM21" i="5"/>
  <c r="BN21" i="5"/>
  <c r="BO21" i="5"/>
  <c r="BP21" i="5"/>
  <c r="BP26" i="5" s="1"/>
  <c r="BQ21" i="5"/>
  <c r="BR21" i="5"/>
  <c r="BR26" i="5" s="1"/>
  <c r="BS21" i="5"/>
  <c r="BS26" i="5" s="1"/>
  <c r="BT21" i="5"/>
  <c r="BU21" i="5"/>
  <c r="BU26" i="5" s="1"/>
  <c r="BV21" i="5"/>
  <c r="BW21" i="5"/>
  <c r="BX21" i="5"/>
  <c r="BY21" i="5"/>
  <c r="BZ21" i="5"/>
  <c r="CA21" i="5"/>
  <c r="CB21" i="5"/>
  <c r="CC21" i="5"/>
  <c r="CD21" i="5"/>
  <c r="CE21" i="5"/>
  <c r="CF21" i="5"/>
  <c r="CF26" i="5" s="1"/>
  <c r="CG21" i="5"/>
  <c r="CH21" i="5"/>
  <c r="CH26" i="5" s="1"/>
  <c r="CI21" i="5"/>
  <c r="CI26" i="5" s="1"/>
  <c r="CJ21" i="5"/>
  <c r="CK21" i="5"/>
  <c r="CK26" i="5" s="1"/>
  <c r="CL21" i="5"/>
  <c r="CM21" i="5"/>
  <c r="CN21" i="5"/>
  <c r="CO21" i="5"/>
  <c r="CP21" i="5"/>
  <c r="CQ21" i="5"/>
  <c r="CR21" i="5"/>
  <c r="CS21" i="5"/>
  <c r="CT21" i="5"/>
  <c r="CU21" i="5"/>
  <c r="CV21" i="5"/>
  <c r="CV26" i="5" s="1"/>
  <c r="CW21" i="5"/>
  <c r="CX21" i="5"/>
  <c r="CX26" i="5" s="1"/>
  <c r="CY21" i="5"/>
  <c r="CY26" i="5" s="1"/>
  <c r="CZ21" i="5"/>
  <c r="DA21" i="5"/>
  <c r="DA26" i="5" s="1"/>
  <c r="DB21" i="5"/>
  <c r="DC21" i="5"/>
  <c r="DD21" i="5"/>
  <c r="DE21" i="5"/>
  <c r="DF21" i="5"/>
  <c r="DG21" i="5"/>
  <c r="DH21" i="5"/>
  <c r="DI21" i="5"/>
  <c r="DJ21" i="5"/>
  <c r="DK21" i="5"/>
  <c r="DL21" i="5"/>
  <c r="DL26" i="5" s="1"/>
  <c r="DM21" i="5"/>
  <c r="DN21" i="5"/>
  <c r="DN26" i="5" s="1"/>
  <c r="DO21" i="5"/>
  <c r="DO26" i="5" s="1"/>
  <c r="DP21" i="5"/>
  <c r="DQ21" i="5"/>
  <c r="DQ26" i="5" s="1"/>
  <c r="DR21" i="5"/>
  <c r="DS21" i="5"/>
  <c r="DT21" i="5"/>
  <c r="DU21" i="5"/>
  <c r="DV21" i="5"/>
  <c r="DW21" i="5"/>
  <c r="DX21" i="5"/>
  <c r="DY21" i="5"/>
  <c r="DZ21" i="5"/>
  <c r="EA21" i="5"/>
  <c r="EB21" i="5"/>
  <c r="EB26" i="5" s="1"/>
  <c r="EC21" i="5"/>
  <c r="ED21" i="5"/>
  <c r="ED26" i="5" s="1"/>
  <c r="EE21" i="5"/>
  <c r="EE26" i="5" s="1"/>
  <c r="EF21" i="5"/>
  <c r="EG21" i="5"/>
  <c r="EG26" i="5" s="1"/>
  <c r="EH21" i="5"/>
  <c r="EI21" i="5"/>
  <c r="EJ21" i="5"/>
  <c r="EK21" i="5"/>
  <c r="EL21" i="5"/>
  <c r="EM21" i="5"/>
  <c r="EN21" i="5"/>
  <c r="EO21" i="5"/>
  <c r="EP21" i="5"/>
  <c r="EQ21" i="5"/>
  <c r="ER21" i="5"/>
  <c r="ER26" i="5" s="1"/>
  <c r="ES21" i="5"/>
  <c r="ET21" i="5"/>
  <c r="ET26" i="5" s="1"/>
  <c r="EU21" i="5"/>
  <c r="EU26" i="5" s="1"/>
  <c r="EV21" i="5"/>
  <c r="EW21" i="5"/>
  <c r="EW26" i="5" s="1"/>
  <c r="EX21" i="5"/>
  <c r="EY21" i="5"/>
  <c r="EZ21" i="5"/>
  <c r="FA21" i="5"/>
  <c r="FB21" i="5"/>
  <c r="FC21" i="5"/>
  <c r="FD21" i="5"/>
  <c r="FE21" i="5"/>
  <c r="FF21" i="5"/>
  <c r="FG21" i="5"/>
  <c r="FH21" i="5"/>
  <c r="FH26" i="5" s="1"/>
  <c r="FI21" i="5"/>
  <c r="FJ21" i="5"/>
  <c r="FJ26" i="5" s="1"/>
  <c r="FK21" i="5"/>
  <c r="FK26" i="5" s="1"/>
  <c r="FL21" i="5"/>
  <c r="FM21" i="5"/>
  <c r="FM26" i="5" s="1"/>
  <c r="FN21" i="5"/>
  <c r="FO21" i="5"/>
  <c r="FP21" i="5"/>
  <c r="FQ21" i="5"/>
  <c r="FR21" i="5"/>
  <c r="FS21" i="5"/>
  <c r="FT21" i="5"/>
  <c r="FU21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X26" i="5" s="1"/>
  <c r="Y22" i="5"/>
  <c r="Z22" i="5"/>
  <c r="AA22" i="5"/>
  <c r="AB22" i="5"/>
  <c r="AC22" i="5"/>
  <c r="AD22" i="5"/>
  <c r="AE22" i="5"/>
  <c r="AF22" i="5"/>
  <c r="AF26" i="5" s="1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R26" i="5" s="1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EG22" i="5"/>
  <c r="EH22" i="5"/>
  <c r="EI22" i="5"/>
  <c r="EJ22" i="5"/>
  <c r="EK22" i="5"/>
  <c r="EL22" i="5"/>
  <c r="EM22" i="5"/>
  <c r="EN22" i="5"/>
  <c r="EO22" i="5"/>
  <c r="EP22" i="5"/>
  <c r="EQ22" i="5"/>
  <c r="ER22" i="5"/>
  <c r="ES22" i="5"/>
  <c r="ET22" i="5"/>
  <c r="EU22" i="5"/>
  <c r="EV22" i="5"/>
  <c r="EW22" i="5"/>
  <c r="EX22" i="5"/>
  <c r="EY22" i="5"/>
  <c r="EZ22" i="5"/>
  <c r="FA22" i="5"/>
  <c r="FB22" i="5"/>
  <c r="FC22" i="5"/>
  <c r="FD22" i="5"/>
  <c r="FE22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23" i="5"/>
  <c r="G23" i="5"/>
  <c r="H23" i="5"/>
  <c r="I23" i="5"/>
  <c r="J23" i="5"/>
  <c r="K23" i="5"/>
  <c r="L23" i="5"/>
  <c r="M23" i="5"/>
  <c r="N23" i="5"/>
  <c r="N26" i="5" s="1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T26" i="5" s="1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J26" i="5" s="1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BZ26" i="5" s="1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P26" i="5" s="1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F26" i="5" s="1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V26" i="5" s="1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L26" i="5" s="1"/>
  <c r="EM23" i="5"/>
  <c r="EN23" i="5"/>
  <c r="EO23" i="5"/>
  <c r="EP23" i="5"/>
  <c r="EQ23" i="5"/>
  <c r="ER23" i="5"/>
  <c r="ES23" i="5"/>
  <c r="ET23" i="5"/>
  <c r="EU23" i="5"/>
  <c r="EV23" i="5"/>
  <c r="EW23" i="5"/>
  <c r="EX23" i="5"/>
  <c r="EY23" i="5"/>
  <c r="EZ23" i="5"/>
  <c r="FA23" i="5"/>
  <c r="FB23" i="5"/>
  <c r="FB26" i="5" s="1"/>
  <c r="FC23" i="5"/>
  <c r="FD23" i="5"/>
  <c r="FE23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R26" i="5" s="1"/>
  <c r="FS23" i="5"/>
  <c r="FT23" i="5"/>
  <c r="FU23" i="5"/>
  <c r="H26" i="5"/>
  <c r="P26" i="5"/>
  <c r="R26" i="5"/>
  <c r="S26" i="5"/>
  <c r="U26" i="5"/>
  <c r="AD26" i="5"/>
  <c r="AH26" i="5"/>
  <c r="AI26" i="5"/>
  <c r="AK26" i="5"/>
  <c r="AN26" i="5"/>
  <c r="AV26" i="5"/>
  <c r="AX26" i="5"/>
  <c r="AY26" i="5"/>
  <c r="BA26" i="5"/>
  <c r="BD26" i="5"/>
  <c r="BL26" i="5"/>
  <c r="BN26" i="5"/>
  <c r="BO26" i="5"/>
  <c r="BQ26" i="5"/>
  <c r="BT26" i="5"/>
  <c r="CB26" i="5"/>
  <c r="CD26" i="5"/>
  <c r="CE26" i="5"/>
  <c r="CG26" i="5"/>
  <c r="CJ26" i="5"/>
  <c r="CT26" i="5"/>
  <c r="CU26" i="5"/>
  <c r="CW26" i="5"/>
  <c r="CZ26" i="5"/>
  <c r="DH26" i="5"/>
  <c r="DJ26" i="5"/>
  <c r="DK26" i="5"/>
  <c r="DM26" i="5"/>
  <c r="DP26" i="5"/>
  <c r="DX26" i="5"/>
  <c r="DZ26" i="5"/>
  <c r="EA26" i="5"/>
  <c r="EC26" i="5"/>
  <c r="EF26" i="5"/>
  <c r="EN26" i="5"/>
  <c r="EP26" i="5"/>
  <c r="EQ26" i="5"/>
  <c r="ES26" i="5"/>
  <c r="EV26" i="5"/>
  <c r="FD26" i="5"/>
  <c r="FF26" i="5"/>
  <c r="FG26" i="5"/>
  <c r="FI26" i="5"/>
  <c r="FL26" i="5"/>
  <c r="FT26" i="5"/>
  <c r="E26" i="5"/>
  <c r="E19" i="5"/>
  <c r="E20" i="5"/>
  <c r="E21" i="5"/>
  <c r="E22" i="5"/>
  <c r="E23" i="5"/>
  <c r="E18" i="5"/>
  <c r="E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B17" i="5"/>
  <c r="C17" i="5"/>
  <c r="D17" i="5"/>
  <c r="A17" i="5"/>
  <c r="E12" i="5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EQ18" i="4"/>
  <c r="ER18" i="4"/>
  <c r="ES18" i="4"/>
  <c r="ET18" i="4"/>
  <c r="EU18" i="4"/>
  <c r="EV18" i="4"/>
  <c r="EW18" i="4"/>
  <c r="EX18" i="4"/>
  <c r="EY18" i="4"/>
  <c r="EZ18" i="4"/>
  <c r="FA18" i="4"/>
  <c r="FB18" i="4"/>
  <c r="FC18" i="4"/>
  <c r="FD18" i="4"/>
  <c r="FE18" i="4"/>
  <c r="FF18" i="4"/>
  <c r="FG18" i="4"/>
  <c r="FH18" i="4"/>
  <c r="FI18" i="4"/>
  <c r="FJ18" i="4"/>
  <c r="FK18" i="4"/>
  <c r="FL18" i="4"/>
  <c r="FM18" i="4"/>
  <c r="FN18" i="4"/>
  <c r="FO18" i="4"/>
  <c r="FP18" i="4"/>
  <c r="FQ18" i="4"/>
  <c r="FR18" i="4"/>
  <c r="FS18" i="4"/>
  <c r="FT18" i="4"/>
  <c r="FU18" i="4"/>
  <c r="F19" i="4"/>
  <c r="G19" i="4"/>
  <c r="H19" i="4"/>
  <c r="I19" i="4"/>
  <c r="I28" i="4" s="1"/>
  <c r="J19" i="4"/>
  <c r="K19" i="4"/>
  <c r="L19" i="4"/>
  <c r="M19" i="4"/>
  <c r="N19" i="4"/>
  <c r="N28" i="4" s="1"/>
  <c r="O19" i="4"/>
  <c r="P19" i="4"/>
  <c r="Q19" i="4"/>
  <c r="R19" i="4"/>
  <c r="S19" i="4"/>
  <c r="T19" i="4"/>
  <c r="U19" i="4"/>
  <c r="V19" i="4"/>
  <c r="W19" i="4"/>
  <c r="X19" i="4"/>
  <c r="Y19" i="4"/>
  <c r="Y28" i="4" s="1"/>
  <c r="Z19" i="4"/>
  <c r="AA19" i="4"/>
  <c r="AB19" i="4"/>
  <c r="AC19" i="4"/>
  <c r="AD19" i="4"/>
  <c r="AD28" i="4" s="1"/>
  <c r="AE19" i="4"/>
  <c r="AF19" i="4"/>
  <c r="AG19" i="4"/>
  <c r="AH19" i="4"/>
  <c r="AI19" i="4"/>
  <c r="AJ19" i="4"/>
  <c r="AK19" i="4"/>
  <c r="AL19" i="4"/>
  <c r="AM19" i="4"/>
  <c r="AN19" i="4"/>
  <c r="AO19" i="4"/>
  <c r="AO28" i="4" s="1"/>
  <c r="AP19" i="4"/>
  <c r="AQ19" i="4"/>
  <c r="AR19" i="4"/>
  <c r="AS19" i="4"/>
  <c r="AT19" i="4"/>
  <c r="AT28" i="4" s="1"/>
  <c r="AU19" i="4"/>
  <c r="AV19" i="4"/>
  <c r="AW19" i="4"/>
  <c r="AX19" i="4"/>
  <c r="AY19" i="4"/>
  <c r="AZ19" i="4"/>
  <c r="BA19" i="4"/>
  <c r="BB19" i="4"/>
  <c r="BC19" i="4"/>
  <c r="BD19" i="4"/>
  <c r="BE19" i="4"/>
  <c r="BE28" i="4" s="1"/>
  <c r="BF19" i="4"/>
  <c r="BG19" i="4"/>
  <c r="BH19" i="4"/>
  <c r="BI19" i="4"/>
  <c r="BJ19" i="4"/>
  <c r="BJ28" i="4" s="1"/>
  <c r="BK19" i="4"/>
  <c r="BL19" i="4"/>
  <c r="BM19" i="4"/>
  <c r="BN19" i="4"/>
  <c r="BO19" i="4"/>
  <c r="BP19" i="4"/>
  <c r="BQ19" i="4"/>
  <c r="BR19" i="4"/>
  <c r="BS19" i="4"/>
  <c r="BT19" i="4"/>
  <c r="BU19" i="4"/>
  <c r="BU28" i="4" s="1"/>
  <c r="BV19" i="4"/>
  <c r="BW19" i="4"/>
  <c r="BX19" i="4"/>
  <c r="BY19" i="4"/>
  <c r="BZ19" i="4"/>
  <c r="BZ28" i="4" s="1"/>
  <c r="CA19" i="4"/>
  <c r="CB19" i="4"/>
  <c r="CC19" i="4"/>
  <c r="CD19" i="4"/>
  <c r="CE19" i="4"/>
  <c r="CF19" i="4"/>
  <c r="CG19" i="4"/>
  <c r="CH19" i="4"/>
  <c r="CI19" i="4"/>
  <c r="CJ19" i="4"/>
  <c r="CK19" i="4"/>
  <c r="CK28" i="4" s="1"/>
  <c r="CL19" i="4"/>
  <c r="CM19" i="4"/>
  <c r="CN19" i="4"/>
  <c r="CO19" i="4"/>
  <c r="CP19" i="4"/>
  <c r="CP28" i="4" s="1"/>
  <c r="CQ19" i="4"/>
  <c r="CR19" i="4"/>
  <c r="CS19" i="4"/>
  <c r="CT19" i="4"/>
  <c r="CU19" i="4"/>
  <c r="CV19" i="4"/>
  <c r="CW19" i="4"/>
  <c r="CX19" i="4"/>
  <c r="CY19" i="4"/>
  <c r="CZ19" i="4"/>
  <c r="DA19" i="4"/>
  <c r="DA28" i="4" s="1"/>
  <c r="DB19" i="4"/>
  <c r="DC19" i="4"/>
  <c r="DD19" i="4"/>
  <c r="DE19" i="4"/>
  <c r="DF19" i="4"/>
  <c r="DF28" i="4" s="1"/>
  <c r="DG19" i="4"/>
  <c r="DH19" i="4"/>
  <c r="DI19" i="4"/>
  <c r="DJ19" i="4"/>
  <c r="DK19" i="4"/>
  <c r="DL19" i="4"/>
  <c r="DM19" i="4"/>
  <c r="DN19" i="4"/>
  <c r="DO19" i="4"/>
  <c r="DP19" i="4"/>
  <c r="DQ19" i="4"/>
  <c r="DQ28" i="4" s="1"/>
  <c r="DR19" i="4"/>
  <c r="DS19" i="4"/>
  <c r="DT19" i="4"/>
  <c r="DU19" i="4"/>
  <c r="DV19" i="4"/>
  <c r="DV28" i="4" s="1"/>
  <c r="DW19" i="4"/>
  <c r="DX19" i="4"/>
  <c r="DY19" i="4"/>
  <c r="DZ19" i="4"/>
  <c r="EA19" i="4"/>
  <c r="EB19" i="4"/>
  <c r="EC19" i="4"/>
  <c r="ED19" i="4"/>
  <c r="EE19" i="4"/>
  <c r="EF19" i="4"/>
  <c r="EG19" i="4"/>
  <c r="EG28" i="4" s="1"/>
  <c r="EH19" i="4"/>
  <c r="EI19" i="4"/>
  <c r="EJ19" i="4"/>
  <c r="EK19" i="4"/>
  <c r="EL19" i="4"/>
  <c r="EL28" i="4" s="1"/>
  <c r="EM19" i="4"/>
  <c r="EN19" i="4"/>
  <c r="EO19" i="4"/>
  <c r="EP19" i="4"/>
  <c r="EQ19" i="4"/>
  <c r="ER19" i="4"/>
  <c r="ES19" i="4"/>
  <c r="ET19" i="4"/>
  <c r="EU19" i="4"/>
  <c r="EV19" i="4"/>
  <c r="EW19" i="4"/>
  <c r="EW28" i="4" s="1"/>
  <c r="EX19" i="4"/>
  <c r="EY19" i="4"/>
  <c r="EZ19" i="4"/>
  <c r="FA19" i="4"/>
  <c r="FB19" i="4"/>
  <c r="FB28" i="4" s="1"/>
  <c r="FC19" i="4"/>
  <c r="FD19" i="4"/>
  <c r="FE19" i="4"/>
  <c r="FF19" i="4"/>
  <c r="FG19" i="4"/>
  <c r="FH19" i="4"/>
  <c r="FI19" i="4"/>
  <c r="FJ19" i="4"/>
  <c r="FK19" i="4"/>
  <c r="FL19" i="4"/>
  <c r="FM19" i="4"/>
  <c r="FM28" i="4" s="1"/>
  <c r="FN19" i="4"/>
  <c r="FO19" i="4"/>
  <c r="FP19" i="4"/>
  <c r="FQ19" i="4"/>
  <c r="FR19" i="4"/>
  <c r="FR28" i="4" s="1"/>
  <c r="FS19" i="4"/>
  <c r="FT19" i="4"/>
  <c r="FU19" i="4"/>
  <c r="F20" i="4"/>
  <c r="G20" i="4"/>
  <c r="H20" i="4"/>
  <c r="I20" i="4"/>
  <c r="J20" i="4"/>
  <c r="K20" i="4"/>
  <c r="L20" i="4"/>
  <c r="M20" i="4"/>
  <c r="M28" i="4" s="1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C28" i="4" s="1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S28" i="4" s="1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I28" i="4" s="1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Y28" i="4" s="1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O28" i="4" s="1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E28" i="4" s="1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U28" i="4" s="1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K28" i="4" s="1"/>
  <c r="EL20" i="4"/>
  <c r="EM20" i="4"/>
  <c r="EN20" i="4"/>
  <c r="EO20" i="4"/>
  <c r="EP20" i="4"/>
  <c r="EQ20" i="4"/>
  <c r="ER20" i="4"/>
  <c r="ES20" i="4"/>
  <c r="ET20" i="4"/>
  <c r="EU20" i="4"/>
  <c r="EV20" i="4"/>
  <c r="EW20" i="4"/>
  <c r="EX20" i="4"/>
  <c r="EY20" i="4"/>
  <c r="EZ20" i="4"/>
  <c r="FA20" i="4"/>
  <c r="FA28" i="4" s="1"/>
  <c r="FB20" i="4"/>
  <c r="FC20" i="4"/>
  <c r="FD20" i="4"/>
  <c r="FE20" i="4"/>
  <c r="FF20" i="4"/>
  <c r="FG20" i="4"/>
  <c r="FH20" i="4"/>
  <c r="FI20" i="4"/>
  <c r="FJ20" i="4"/>
  <c r="FK20" i="4"/>
  <c r="FL20" i="4"/>
  <c r="FM20" i="4"/>
  <c r="FN20" i="4"/>
  <c r="FO20" i="4"/>
  <c r="FP20" i="4"/>
  <c r="FQ20" i="4"/>
  <c r="FQ28" i="4" s="1"/>
  <c r="FR20" i="4"/>
  <c r="FS20" i="4"/>
  <c r="FT20" i="4"/>
  <c r="FU20" i="4"/>
  <c r="F21" i="4"/>
  <c r="F28" i="4" s="1"/>
  <c r="G21" i="4"/>
  <c r="H21" i="4"/>
  <c r="I21" i="4"/>
  <c r="J21" i="4"/>
  <c r="K21" i="4"/>
  <c r="L21" i="4"/>
  <c r="M21" i="4"/>
  <c r="N21" i="4"/>
  <c r="O21" i="4"/>
  <c r="P21" i="4"/>
  <c r="P28" i="4" s="1"/>
  <c r="Q21" i="4"/>
  <c r="Q28" i="4" s="1"/>
  <c r="R21" i="4"/>
  <c r="S21" i="4"/>
  <c r="T21" i="4"/>
  <c r="U21" i="4"/>
  <c r="V21" i="4"/>
  <c r="V28" i="4" s="1"/>
  <c r="W21" i="4"/>
  <c r="X21" i="4"/>
  <c r="Y21" i="4"/>
  <c r="Z21" i="4"/>
  <c r="AA21" i="4"/>
  <c r="AB21" i="4"/>
  <c r="AC21" i="4"/>
  <c r="AD21" i="4"/>
  <c r="AE21" i="4"/>
  <c r="AF21" i="4"/>
  <c r="AF28" i="4" s="1"/>
  <c r="AG21" i="4"/>
  <c r="AG28" i="4" s="1"/>
  <c r="AH21" i="4"/>
  <c r="AI21" i="4"/>
  <c r="AJ21" i="4"/>
  <c r="AK21" i="4"/>
  <c r="AL21" i="4"/>
  <c r="AL28" i="4" s="1"/>
  <c r="AM21" i="4"/>
  <c r="AN21" i="4"/>
  <c r="AO21" i="4"/>
  <c r="AP21" i="4"/>
  <c r="AQ21" i="4"/>
  <c r="AR21" i="4"/>
  <c r="AS21" i="4"/>
  <c r="AT21" i="4"/>
  <c r="AU21" i="4"/>
  <c r="AV21" i="4"/>
  <c r="AV28" i="4" s="1"/>
  <c r="AW21" i="4"/>
  <c r="AW28" i="4" s="1"/>
  <c r="AX21" i="4"/>
  <c r="AY21" i="4"/>
  <c r="AZ21" i="4"/>
  <c r="BA21" i="4"/>
  <c r="BB21" i="4"/>
  <c r="BB28" i="4" s="1"/>
  <c r="BC21" i="4"/>
  <c r="BD21" i="4"/>
  <c r="BE21" i="4"/>
  <c r="BF21" i="4"/>
  <c r="BG21" i="4"/>
  <c r="BH21" i="4"/>
  <c r="BI21" i="4"/>
  <c r="BJ21" i="4"/>
  <c r="BK21" i="4"/>
  <c r="BL21" i="4"/>
  <c r="BL28" i="4" s="1"/>
  <c r="BM21" i="4"/>
  <c r="BM28" i="4" s="1"/>
  <c r="BN21" i="4"/>
  <c r="BO21" i="4"/>
  <c r="BP21" i="4"/>
  <c r="BQ21" i="4"/>
  <c r="BR21" i="4"/>
  <c r="BR28" i="4" s="1"/>
  <c r="BS21" i="4"/>
  <c r="BT21" i="4"/>
  <c r="BU21" i="4"/>
  <c r="BV21" i="4"/>
  <c r="BW21" i="4"/>
  <c r="BX21" i="4"/>
  <c r="BY21" i="4"/>
  <c r="BZ21" i="4"/>
  <c r="CA21" i="4"/>
  <c r="CB21" i="4"/>
  <c r="CB28" i="4" s="1"/>
  <c r="CC21" i="4"/>
  <c r="CC28" i="4" s="1"/>
  <c r="CD21" i="4"/>
  <c r="CE21" i="4"/>
  <c r="CF21" i="4"/>
  <c r="CG21" i="4"/>
  <c r="CH21" i="4"/>
  <c r="CH28" i="4" s="1"/>
  <c r="CI21" i="4"/>
  <c r="CJ21" i="4"/>
  <c r="CK21" i="4"/>
  <c r="CL21" i="4"/>
  <c r="CM21" i="4"/>
  <c r="CN21" i="4"/>
  <c r="CO21" i="4"/>
  <c r="CP21" i="4"/>
  <c r="CQ21" i="4"/>
  <c r="CR21" i="4"/>
  <c r="CR28" i="4" s="1"/>
  <c r="CS21" i="4"/>
  <c r="CS28" i="4" s="1"/>
  <c r="CT21" i="4"/>
  <c r="CU21" i="4"/>
  <c r="CV21" i="4"/>
  <c r="CW21" i="4"/>
  <c r="CX21" i="4"/>
  <c r="CX28" i="4" s="1"/>
  <c r="CY21" i="4"/>
  <c r="CZ21" i="4"/>
  <c r="DA21" i="4"/>
  <c r="DB21" i="4"/>
  <c r="DC21" i="4"/>
  <c r="DD21" i="4"/>
  <c r="DE21" i="4"/>
  <c r="DF21" i="4"/>
  <c r="DG21" i="4"/>
  <c r="DH21" i="4"/>
  <c r="DH28" i="4" s="1"/>
  <c r="DI21" i="4"/>
  <c r="DI28" i="4" s="1"/>
  <c r="DJ21" i="4"/>
  <c r="DK21" i="4"/>
  <c r="DL21" i="4"/>
  <c r="DM21" i="4"/>
  <c r="DN21" i="4"/>
  <c r="DN28" i="4" s="1"/>
  <c r="DO21" i="4"/>
  <c r="DP21" i="4"/>
  <c r="DQ21" i="4"/>
  <c r="DR21" i="4"/>
  <c r="DS21" i="4"/>
  <c r="DT21" i="4"/>
  <c r="DU21" i="4"/>
  <c r="DV21" i="4"/>
  <c r="DW21" i="4"/>
  <c r="DX21" i="4"/>
  <c r="DX28" i="4" s="1"/>
  <c r="DY21" i="4"/>
  <c r="DY28" i="4" s="1"/>
  <c r="DZ21" i="4"/>
  <c r="EA21" i="4"/>
  <c r="EB21" i="4"/>
  <c r="EC21" i="4"/>
  <c r="ED21" i="4"/>
  <c r="ED28" i="4" s="1"/>
  <c r="EE21" i="4"/>
  <c r="EF21" i="4"/>
  <c r="EG21" i="4"/>
  <c r="EH21" i="4"/>
  <c r="EI21" i="4"/>
  <c r="EJ21" i="4"/>
  <c r="EK21" i="4"/>
  <c r="EL21" i="4"/>
  <c r="EM21" i="4"/>
  <c r="EN21" i="4"/>
  <c r="EN28" i="4" s="1"/>
  <c r="EO21" i="4"/>
  <c r="EO28" i="4" s="1"/>
  <c r="EP21" i="4"/>
  <c r="EQ21" i="4"/>
  <c r="ER21" i="4"/>
  <c r="ES21" i="4"/>
  <c r="ET21" i="4"/>
  <c r="ET28" i="4" s="1"/>
  <c r="EU21" i="4"/>
  <c r="EV21" i="4"/>
  <c r="EW21" i="4"/>
  <c r="EX21" i="4"/>
  <c r="EY21" i="4"/>
  <c r="EZ21" i="4"/>
  <c r="FA21" i="4"/>
  <c r="FB21" i="4"/>
  <c r="FC21" i="4"/>
  <c r="FD21" i="4"/>
  <c r="FD28" i="4" s="1"/>
  <c r="FE21" i="4"/>
  <c r="FE28" i="4" s="1"/>
  <c r="FF21" i="4"/>
  <c r="FG21" i="4"/>
  <c r="FH21" i="4"/>
  <c r="FI21" i="4"/>
  <c r="FJ21" i="4"/>
  <c r="FJ28" i="4" s="1"/>
  <c r="FK21" i="4"/>
  <c r="FL21" i="4"/>
  <c r="FM21" i="4"/>
  <c r="FN21" i="4"/>
  <c r="FO21" i="4"/>
  <c r="FP21" i="4"/>
  <c r="FQ21" i="4"/>
  <c r="FR21" i="4"/>
  <c r="FS21" i="4"/>
  <c r="FT21" i="4"/>
  <c r="FT28" i="4" s="1"/>
  <c r="FU21" i="4"/>
  <c r="FU28" i="4" s="1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EQ22" i="4"/>
  <c r="ER22" i="4"/>
  <c r="ES22" i="4"/>
  <c r="ET22" i="4"/>
  <c r="EU22" i="4"/>
  <c r="EV22" i="4"/>
  <c r="EW22" i="4"/>
  <c r="EX22" i="4"/>
  <c r="EY22" i="4"/>
  <c r="EZ22" i="4"/>
  <c r="FA22" i="4"/>
  <c r="FB22" i="4"/>
  <c r="FC22" i="4"/>
  <c r="FD22" i="4"/>
  <c r="FE22" i="4"/>
  <c r="FF22" i="4"/>
  <c r="FG22" i="4"/>
  <c r="FH22" i="4"/>
  <c r="FI22" i="4"/>
  <c r="FJ22" i="4"/>
  <c r="FK22" i="4"/>
  <c r="FL22" i="4"/>
  <c r="FM22" i="4"/>
  <c r="FN22" i="4"/>
  <c r="FO22" i="4"/>
  <c r="FP22" i="4"/>
  <c r="FQ22" i="4"/>
  <c r="FR22" i="4"/>
  <c r="FS22" i="4"/>
  <c r="FT22" i="4"/>
  <c r="FU22" i="4"/>
  <c r="F23" i="4"/>
  <c r="G23" i="4"/>
  <c r="H23" i="4"/>
  <c r="H28" i="4" s="1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X28" i="4" s="1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N28" i="4" s="1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D28" i="4" s="1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T28" i="4" s="1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J28" i="4" s="1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CZ28" i="4" s="1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P28" i="4" s="1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F28" i="4" s="1"/>
  <c r="EG23" i="4"/>
  <c r="EH23" i="4"/>
  <c r="EI23" i="4"/>
  <c r="EJ23" i="4"/>
  <c r="EK23" i="4"/>
  <c r="EL23" i="4"/>
  <c r="EM23" i="4"/>
  <c r="EN23" i="4"/>
  <c r="EO23" i="4"/>
  <c r="EP23" i="4"/>
  <c r="EQ23" i="4"/>
  <c r="ER23" i="4"/>
  <c r="ES23" i="4"/>
  <c r="ET23" i="4"/>
  <c r="EU23" i="4"/>
  <c r="EV23" i="4"/>
  <c r="EV28" i="4" s="1"/>
  <c r="EW23" i="4"/>
  <c r="EX23" i="4"/>
  <c r="EY23" i="4"/>
  <c r="EZ23" i="4"/>
  <c r="FA23" i="4"/>
  <c r="FB23" i="4"/>
  <c r="FC23" i="4"/>
  <c r="FD23" i="4"/>
  <c r="FE23" i="4"/>
  <c r="FF23" i="4"/>
  <c r="FG23" i="4"/>
  <c r="FH23" i="4"/>
  <c r="FI23" i="4"/>
  <c r="FJ23" i="4"/>
  <c r="FK23" i="4"/>
  <c r="FL23" i="4"/>
  <c r="FL28" i="4" s="1"/>
  <c r="FM23" i="4"/>
  <c r="FN23" i="4"/>
  <c r="FO23" i="4"/>
  <c r="FP23" i="4"/>
  <c r="FQ23" i="4"/>
  <c r="FR23" i="4"/>
  <c r="FS23" i="4"/>
  <c r="FT23" i="4"/>
  <c r="FU23" i="4"/>
  <c r="F24" i="4"/>
  <c r="G24" i="4"/>
  <c r="H24" i="4"/>
  <c r="I24" i="4"/>
  <c r="J24" i="4"/>
  <c r="K24" i="4"/>
  <c r="L24" i="4"/>
  <c r="L28" i="4" s="1"/>
  <c r="M24" i="4"/>
  <c r="N24" i="4"/>
  <c r="O24" i="4"/>
  <c r="P24" i="4"/>
  <c r="Q24" i="4"/>
  <c r="R24" i="4"/>
  <c r="R28" i="4" s="1"/>
  <c r="S24" i="4"/>
  <c r="T24" i="4"/>
  <c r="U24" i="4"/>
  <c r="V24" i="4"/>
  <c r="W24" i="4"/>
  <c r="X24" i="4"/>
  <c r="Y24" i="4"/>
  <c r="Z24" i="4"/>
  <c r="AA24" i="4"/>
  <c r="AB24" i="4"/>
  <c r="AB28" i="4" s="1"/>
  <c r="AC24" i="4"/>
  <c r="AD24" i="4"/>
  <c r="AE24" i="4"/>
  <c r="AF24" i="4"/>
  <c r="AG24" i="4"/>
  <c r="AH24" i="4"/>
  <c r="AH28" i="4" s="1"/>
  <c r="AI24" i="4"/>
  <c r="AJ24" i="4"/>
  <c r="AK24" i="4"/>
  <c r="AL24" i="4"/>
  <c r="AM24" i="4"/>
  <c r="AN24" i="4"/>
  <c r="AO24" i="4"/>
  <c r="AP24" i="4"/>
  <c r="AQ24" i="4"/>
  <c r="AR24" i="4"/>
  <c r="AR28" i="4" s="1"/>
  <c r="AS24" i="4"/>
  <c r="AT24" i="4"/>
  <c r="AU24" i="4"/>
  <c r="AV24" i="4"/>
  <c r="AW24" i="4"/>
  <c r="AX24" i="4"/>
  <c r="AX28" i="4" s="1"/>
  <c r="AY24" i="4"/>
  <c r="AZ24" i="4"/>
  <c r="BA24" i="4"/>
  <c r="BB24" i="4"/>
  <c r="BC24" i="4"/>
  <c r="BD24" i="4"/>
  <c r="BE24" i="4"/>
  <c r="BF24" i="4"/>
  <c r="BG24" i="4"/>
  <c r="BH24" i="4"/>
  <c r="BH28" i="4" s="1"/>
  <c r="BI24" i="4"/>
  <c r="BJ24" i="4"/>
  <c r="BK24" i="4"/>
  <c r="BL24" i="4"/>
  <c r="BM24" i="4"/>
  <c r="BN24" i="4"/>
  <c r="BN28" i="4" s="1"/>
  <c r="BO24" i="4"/>
  <c r="BP24" i="4"/>
  <c r="BQ24" i="4"/>
  <c r="BR24" i="4"/>
  <c r="BS24" i="4"/>
  <c r="BT24" i="4"/>
  <c r="BU24" i="4"/>
  <c r="BV24" i="4"/>
  <c r="BW24" i="4"/>
  <c r="BX24" i="4"/>
  <c r="BX28" i="4" s="1"/>
  <c r="BY24" i="4"/>
  <c r="BZ24" i="4"/>
  <c r="CA24" i="4"/>
  <c r="CB24" i="4"/>
  <c r="CC24" i="4"/>
  <c r="CD24" i="4"/>
  <c r="CD28" i="4" s="1"/>
  <c r="CE24" i="4"/>
  <c r="CF24" i="4"/>
  <c r="CG24" i="4"/>
  <c r="CH24" i="4"/>
  <c r="CI24" i="4"/>
  <c r="CJ24" i="4"/>
  <c r="CK24" i="4"/>
  <c r="CL24" i="4"/>
  <c r="CM24" i="4"/>
  <c r="CN24" i="4"/>
  <c r="CN28" i="4" s="1"/>
  <c r="CO24" i="4"/>
  <c r="CP24" i="4"/>
  <c r="CQ24" i="4"/>
  <c r="CR24" i="4"/>
  <c r="CS24" i="4"/>
  <c r="CT24" i="4"/>
  <c r="CT28" i="4" s="1"/>
  <c r="CU24" i="4"/>
  <c r="CV24" i="4"/>
  <c r="CW24" i="4"/>
  <c r="CX24" i="4"/>
  <c r="CY24" i="4"/>
  <c r="CZ24" i="4"/>
  <c r="DA24" i="4"/>
  <c r="DB24" i="4"/>
  <c r="DC24" i="4"/>
  <c r="DD24" i="4"/>
  <c r="DD28" i="4" s="1"/>
  <c r="DE24" i="4"/>
  <c r="DF24" i="4"/>
  <c r="DG24" i="4"/>
  <c r="DH24" i="4"/>
  <c r="DI24" i="4"/>
  <c r="DJ24" i="4"/>
  <c r="DJ28" i="4" s="1"/>
  <c r="DK24" i="4"/>
  <c r="DL24" i="4"/>
  <c r="DM24" i="4"/>
  <c r="DN24" i="4"/>
  <c r="DO24" i="4"/>
  <c r="DP24" i="4"/>
  <c r="DQ24" i="4"/>
  <c r="DR24" i="4"/>
  <c r="DS24" i="4"/>
  <c r="DT24" i="4"/>
  <c r="DT28" i="4" s="1"/>
  <c r="DU24" i="4"/>
  <c r="DV24" i="4"/>
  <c r="DW24" i="4"/>
  <c r="DX24" i="4"/>
  <c r="DY24" i="4"/>
  <c r="DZ24" i="4"/>
  <c r="DZ28" i="4" s="1"/>
  <c r="EA24" i="4"/>
  <c r="EB24" i="4"/>
  <c r="EC24" i="4"/>
  <c r="ED24" i="4"/>
  <c r="EE24" i="4"/>
  <c r="EF24" i="4"/>
  <c r="EG24" i="4"/>
  <c r="EH24" i="4"/>
  <c r="EI24" i="4"/>
  <c r="EJ24" i="4"/>
  <c r="EJ28" i="4" s="1"/>
  <c r="EK24" i="4"/>
  <c r="EL24" i="4"/>
  <c r="EM24" i="4"/>
  <c r="EN24" i="4"/>
  <c r="EO24" i="4"/>
  <c r="EP24" i="4"/>
  <c r="EP28" i="4" s="1"/>
  <c r="EQ24" i="4"/>
  <c r="ER24" i="4"/>
  <c r="ES24" i="4"/>
  <c r="ET24" i="4"/>
  <c r="EU24" i="4"/>
  <c r="EV24" i="4"/>
  <c r="EW24" i="4"/>
  <c r="EX24" i="4"/>
  <c r="EY24" i="4"/>
  <c r="EZ24" i="4"/>
  <c r="EZ28" i="4" s="1"/>
  <c r="FA24" i="4"/>
  <c r="FB24" i="4"/>
  <c r="FC24" i="4"/>
  <c r="FD24" i="4"/>
  <c r="FE24" i="4"/>
  <c r="FF24" i="4"/>
  <c r="FF28" i="4" s="1"/>
  <c r="FG24" i="4"/>
  <c r="FH24" i="4"/>
  <c r="FI24" i="4"/>
  <c r="FJ24" i="4"/>
  <c r="FK24" i="4"/>
  <c r="FL24" i="4"/>
  <c r="FM24" i="4"/>
  <c r="FN24" i="4"/>
  <c r="FO24" i="4"/>
  <c r="FP24" i="4"/>
  <c r="FP28" i="4" s="1"/>
  <c r="FQ24" i="4"/>
  <c r="FR24" i="4"/>
  <c r="FS24" i="4"/>
  <c r="FT24" i="4"/>
  <c r="FU24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EQ25" i="4"/>
  <c r="ER25" i="4"/>
  <c r="ES25" i="4"/>
  <c r="ET25" i="4"/>
  <c r="EU25" i="4"/>
  <c r="EV25" i="4"/>
  <c r="EW25" i="4"/>
  <c r="EX25" i="4"/>
  <c r="EY25" i="4"/>
  <c r="EZ25" i="4"/>
  <c r="FA25" i="4"/>
  <c r="FB25" i="4"/>
  <c r="FC25" i="4"/>
  <c r="FD25" i="4"/>
  <c r="FE25" i="4"/>
  <c r="FF25" i="4"/>
  <c r="FG25" i="4"/>
  <c r="FH25" i="4"/>
  <c r="FI25" i="4"/>
  <c r="FJ25" i="4"/>
  <c r="FK25" i="4"/>
  <c r="FL25" i="4"/>
  <c r="FM25" i="4"/>
  <c r="FN25" i="4"/>
  <c r="FO25" i="4"/>
  <c r="FP25" i="4"/>
  <c r="FQ25" i="4"/>
  <c r="FR25" i="4"/>
  <c r="FS25" i="4"/>
  <c r="FT25" i="4"/>
  <c r="FU25" i="4"/>
  <c r="G28" i="4"/>
  <c r="J28" i="4"/>
  <c r="K28" i="4"/>
  <c r="O28" i="4"/>
  <c r="S28" i="4"/>
  <c r="T28" i="4"/>
  <c r="U28" i="4"/>
  <c r="W28" i="4"/>
  <c r="Z28" i="4"/>
  <c r="AA28" i="4"/>
  <c r="AE28" i="4"/>
  <c r="AI28" i="4"/>
  <c r="AJ28" i="4"/>
  <c r="AK28" i="4"/>
  <c r="AM28" i="4"/>
  <c r="AP28" i="4"/>
  <c r="AQ28" i="4"/>
  <c r="AU28" i="4"/>
  <c r="AY28" i="4"/>
  <c r="AZ28" i="4"/>
  <c r="BA28" i="4"/>
  <c r="BC28" i="4"/>
  <c r="BF28" i="4"/>
  <c r="BG28" i="4"/>
  <c r="BK28" i="4"/>
  <c r="BO28" i="4"/>
  <c r="BP28" i="4"/>
  <c r="BQ28" i="4"/>
  <c r="BS28" i="4"/>
  <c r="BV28" i="4"/>
  <c r="BW28" i="4"/>
  <c r="CA28" i="4"/>
  <c r="CE28" i="4"/>
  <c r="CF28" i="4"/>
  <c r="CG28" i="4"/>
  <c r="CI28" i="4"/>
  <c r="CL28" i="4"/>
  <c r="CM28" i="4"/>
  <c r="CQ28" i="4"/>
  <c r="CU28" i="4"/>
  <c r="CV28" i="4"/>
  <c r="CW28" i="4"/>
  <c r="CY28" i="4"/>
  <c r="DB28" i="4"/>
  <c r="DC28" i="4"/>
  <c r="DG28" i="4"/>
  <c r="DK28" i="4"/>
  <c r="DL28" i="4"/>
  <c r="DM28" i="4"/>
  <c r="DO28" i="4"/>
  <c r="DR28" i="4"/>
  <c r="DS28" i="4"/>
  <c r="DW28" i="4"/>
  <c r="EA28" i="4"/>
  <c r="EB28" i="4"/>
  <c r="EC28" i="4"/>
  <c r="EE28" i="4"/>
  <c r="EH28" i="4"/>
  <c r="EI28" i="4"/>
  <c r="EM28" i="4"/>
  <c r="EQ28" i="4"/>
  <c r="ER28" i="4"/>
  <c r="ES28" i="4"/>
  <c r="EU28" i="4"/>
  <c r="EX28" i="4"/>
  <c r="EY28" i="4"/>
  <c r="FC28" i="4"/>
  <c r="FG28" i="4"/>
  <c r="FH28" i="4"/>
  <c r="FI28" i="4"/>
  <c r="FK28" i="4"/>
  <c r="FN28" i="4"/>
  <c r="FO28" i="4"/>
  <c r="FS28" i="4"/>
  <c r="E28" i="4"/>
  <c r="F21" i="3"/>
  <c r="G21" i="3"/>
  <c r="H21" i="3"/>
  <c r="I21" i="3"/>
  <c r="J21" i="3"/>
  <c r="K21" i="3"/>
  <c r="L21" i="3"/>
  <c r="M21" i="3"/>
  <c r="N21" i="3"/>
  <c r="O21" i="3"/>
  <c r="P21" i="3"/>
  <c r="Q21" i="3"/>
  <c r="Q27" i="3" s="1"/>
  <c r="N20" i="13" s="1"/>
  <c r="N38" i="13" s="1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G27" i="3" s="1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C27" i="3" s="1"/>
  <c r="CD21" i="3"/>
  <c r="CE21" i="3"/>
  <c r="CE27" i="3" s="1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S27" i="3" s="1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I27" i="3" s="1"/>
  <c r="DJ21" i="3"/>
  <c r="DK21" i="3"/>
  <c r="DK27" i="3" s="1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Y27" i="3" s="1"/>
  <c r="DZ21" i="3"/>
  <c r="EA21" i="3"/>
  <c r="EA27" i="3" s="1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O27" i="3" s="1"/>
  <c r="EP21" i="3"/>
  <c r="EQ21" i="3"/>
  <c r="EQ27" i="3" s="1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E27" i="3" s="1"/>
  <c r="FF21" i="3"/>
  <c r="FG21" i="3"/>
  <c r="FG27" i="3" s="1"/>
  <c r="FH21" i="3"/>
  <c r="FI21" i="3"/>
  <c r="FJ21" i="3"/>
  <c r="FK21" i="3"/>
  <c r="FL21" i="3"/>
  <c r="FM21" i="3"/>
  <c r="FN21" i="3"/>
  <c r="FO21" i="3"/>
  <c r="FP21" i="3"/>
  <c r="FQ21" i="3"/>
  <c r="FR21" i="3"/>
  <c r="FS21" i="3"/>
  <c r="FT21" i="3"/>
  <c r="FT27" i="3" s="1"/>
  <c r="FU21" i="3"/>
  <c r="F22" i="3"/>
  <c r="G22" i="3"/>
  <c r="G27" i="3" s="1"/>
  <c r="D20" i="13" s="1"/>
  <c r="D38" i="13" s="1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T27" i="3" s="1"/>
  <c r="Q20" i="13" s="1"/>
  <c r="Q38" i="13" s="1"/>
  <c r="U22" i="3"/>
  <c r="U27" i="3" s="1"/>
  <c r="R20" i="13" s="1"/>
  <c r="R38" i="13" s="1"/>
  <c r="V22" i="3"/>
  <c r="W22" i="3"/>
  <c r="W27" i="3" s="1"/>
  <c r="T20" i="13" s="1"/>
  <c r="T38" i="13" s="1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Q27" i="3" s="1"/>
  <c r="BR22" i="3"/>
  <c r="BS22" i="3"/>
  <c r="BS27" i="3" s="1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Y27" i="3" s="1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B27" i="3" s="1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U27" i="3" s="1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FS22" i="3"/>
  <c r="FT22" i="3"/>
  <c r="FU22" i="3"/>
  <c r="F23" i="3"/>
  <c r="G23" i="3"/>
  <c r="H23" i="3"/>
  <c r="I23" i="3"/>
  <c r="J23" i="3"/>
  <c r="K23" i="3"/>
  <c r="K27" i="3" s="1"/>
  <c r="H20" i="13" s="1"/>
  <c r="H38" i="13" s="1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X27" i="3" s="1"/>
  <c r="U20" i="13" s="1"/>
  <c r="U38" i="13" s="1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Q27" i="3" s="1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D27" i="3" s="1"/>
  <c r="BE23" i="3"/>
  <c r="BE27" i="3" s="1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T27" i="3" s="1"/>
  <c r="BU23" i="3"/>
  <c r="BU27" i="3" s="1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M27" i="3" s="1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P27" i="3" s="1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V27" i="3" s="1"/>
  <c r="EW23" i="3"/>
  <c r="EX23" i="3"/>
  <c r="EY23" i="3"/>
  <c r="EY27" i="3" s="1"/>
  <c r="EZ23" i="3"/>
  <c r="FA23" i="3"/>
  <c r="FB23" i="3"/>
  <c r="FC23" i="3"/>
  <c r="FD23" i="3"/>
  <c r="FE23" i="3"/>
  <c r="FF23" i="3"/>
  <c r="FG23" i="3"/>
  <c r="FH23" i="3"/>
  <c r="FI23" i="3"/>
  <c r="FJ23" i="3"/>
  <c r="FK23" i="3"/>
  <c r="FL23" i="3"/>
  <c r="FM23" i="3"/>
  <c r="FN23" i="3"/>
  <c r="FO23" i="3"/>
  <c r="FO27" i="3" s="1"/>
  <c r="FP23" i="3"/>
  <c r="FQ23" i="3"/>
  <c r="FR23" i="3"/>
  <c r="FS23" i="3"/>
  <c r="FT23" i="3"/>
  <c r="FU23" i="3"/>
  <c r="F24" i="3"/>
  <c r="G24" i="3"/>
  <c r="H24" i="3"/>
  <c r="I24" i="3"/>
  <c r="J24" i="3"/>
  <c r="K24" i="3"/>
  <c r="L24" i="3"/>
  <c r="M24" i="3"/>
  <c r="N24" i="3"/>
  <c r="O24" i="3"/>
  <c r="O27" i="3" s="1"/>
  <c r="L20" i="13" s="1"/>
  <c r="L38" i="13" s="1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E27" i="3" s="1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U27" i="3" s="1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K27" i="3" s="1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A27" i="3" s="1"/>
  <c r="CB24" i="3"/>
  <c r="CC24" i="3"/>
  <c r="CD24" i="3"/>
  <c r="CE24" i="3"/>
  <c r="CF24" i="3"/>
  <c r="CG24" i="3"/>
  <c r="CH24" i="3"/>
  <c r="CH27" i="3" s="1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X27" i="3" s="1"/>
  <c r="CY24" i="3"/>
  <c r="CZ24" i="3"/>
  <c r="DA24" i="3"/>
  <c r="DB24" i="3"/>
  <c r="DC24" i="3"/>
  <c r="DD24" i="3"/>
  <c r="DD27" i="3" s="1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T27" i="3" s="1"/>
  <c r="DU24" i="3"/>
  <c r="DV24" i="3"/>
  <c r="DW24" i="3"/>
  <c r="DW27" i="3" s="1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C27" i="3" s="1"/>
  <c r="FD24" i="3"/>
  <c r="FE24" i="3"/>
  <c r="FF24" i="3"/>
  <c r="FG24" i="3"/>
  <c r="FH24" i="3"/>
  <c r="FI24" i="3"/>
  <c r="FJ24" i="3"/>
  <c r="FJ27" i="3" s="1"/>
  <c r="FK24" i="3"/>
  <c r="FL24" i="3"/>
  <c r="FM24" i="3"/>
  <c r="FN24" i="3"/>
  <c r="FO24" i="3"/>
  <c r="FP24" i="3"/>
  <c r="FQ24" i="3"/>
  <c r="FR24" i="3"/>
  <c r="FS24" i="3"/>
  <c r="FS27" i="3" s="1"/>
  <c r="FT24" i="3"/>
  <c r="FU24" i="3"/>
  <c r="E22" i="3"/>
  <c r="E23" i="3"/>
  <c r="E24" i="3"/>
  <c r="E21" i="3"/>
  <c r="E20" i="4"/>
  <c r="E21" i="4"/>
  <c r="E22" i="4"/>
  <c r="E23" i="4"/>
  <c r="E24" i="4"/>
  <c r="E25" i="4"/>
  <c r="E19" i="4"/>
  <c r="E18" i="4"/>
  <c r="A19" i="4"/>
  <c r="B19" i="4"/>
  <c r="C19" i="4"/>
  <c r="D19" i="4"/>
  <c r="A20" i="4"/>
  <c r="B20" i="4"/>
  <c r="C20" i="4"/>
  <c r="D20" i="4"/>
  <c r="A21" i="4"/>
  <c r="B21" i="4"/>
  <c r="C21" i="4"/>
  <c r="D21" i="4"/>
  <c r="A22" i="4"/>
  <c r="B22" i="4"/>
  <c r="C22" i="4"/>
  <c r="D22" i="4"/>
  <c r="A23" i="4"/>
  <c r="B23" i="4"/>
  <c r="C23" i="4"/>
  <c r="D23" i="4"/>
  <c r="A24" i="4"/>
  <c r="B24" i="4"/>
  <c r="C24" i="4"/>
  <c r="D24" i="4"/>
  <c r="A25" i="4"/>
  <c r="B25" i="4"/>
  <c r="C25" i="4"/>
  <c r="D25" i="4"/>
  <c r="B18" i="4"/>
  <c r="C18" i="4"/>
  <c r="D18" i="4"/>
  <c r="A18" i="4"/>
  <c r="E13" i="4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FC20" i="3"/>
  <c r="FD20" i="3"/>
  <c r="FE20" i="3"/>
  <c r="FF20" i="3"/>
  <c r="FG20" i="3"/>
  <c r="FH20" i="3"/>
  <c r="FI20" i="3"/>
  <c r="FJ20" i="3"/>
  <c r="FK20" i="3"/>
  <c r="FL20" i="3"/>
  <c r="FM20" i="3"/>
  <c r="FN20" i="3"/>
  <c r="FO20" i="3"/>
  <c r="FP20" i="3"/>
  <c r="FQ20" i="3"/>
  <c r="FR20" i="3"/>
  <c r="FS20" i="3"/>
  <c r="FT20" i="3"/>
  <c r="FU20" i="3"/>
  <c r="N27" i="3"/>
  <c r="K20" i="13" s="1"/>
  <c r="K38" i="13" s="1"/>
  <c r="P27" i="3"/>
  <c r="M20" i="13" s="1"/>
  <c r="M38" i="13" s="1"/>
  <c r="AV27" i="3"/>
  <c r="BH27" i="3"/>
  <c r="BL27" i="3"/>
  <c r="CP27" i="3"/>
  <c r="DX27" i="3"/>
  <c r="EL27" i="3"/>
  <c r="BN27" i="3"/>
  <c r="ER27" i="3"/>
  <c r="H27" i="3"/>
  <c r="E20" i="13" s="1"/>
  <c r="E38" i="13" s="1"/>
  <c r="AN27" i="3"/>
  <c r="DB27" i="3"/>
  <c r="DR27" i="3"/>
  <c r="FN27" i="3"/>
  <c r="E20" i="3"/>
  <c r="F10" i="3"/>
  <c r="C2" i="13" s="1"/>
  <c r="C37" i="13" s="1"/>
  <c r="G10" i="3"/>
  <c r="D2" i="13" s="1"/>
  <c r="D37" i="13" s="1"/>
  <c r="H10" i="3"/>
  <c r="E2" i="13" s="1"/>
  <c r="E37" i="13" s="1"/>
  <c r="I10" i="3"/>
  <c r="F2" i="13" s="1"/>
  <c r="F37" i="13" s="1"/>
  <c r="J10" i="3"/>
  <c r="G2" i="13" s="1"/>
  <c r="G37" i="13" s="1"/>
  <c r="K10" i="3"/>
  <c r="H2" i="13" s="1"/>
  <c r="H37" i="13" s="1"/>
  <c r="L10" i="3"/>
  <c r="I2" i="13" s="1"/>
  <c r="I37" i="13" s="1"/>
  <c r="M10" i="3"/>
  <c r="J2" i="13" s="1"/>
  <c r="J37" i="13" s="1"/>
  <c r="N10" i="3"/>
  <c r="K2" i="13" s="1"/>
  <c r="K37" i="13" s="1"/>
  <c r="O10" i="3"/>
  <c r="L2" i="13" s="1"/>
  <c r="L37" i="13" s="1"/>
  <c r="P10" i="3"/>
  <c r="M2" i="13" s="1"/>
  <c r="M37" i="13" s="1"/>
  <c r="Q10" i="3"/>
  <c r="N2" i="13" s="1"/>
  <c r="N37" i="13" s="1"/>
  <c r="R10" i="3"/>
  <c r="O2" i="13" s="1"/>
  <c r="O37" i="13" s="1"/>
  <c r="S10" i="3"/>
  <c r="P2" i="13" s="1"/>
  <c r="P37" i="13" s="1"/>
  <c r="T10" i="3"/>
  <c r="Q2" i="13" s="1"/>
  <c r="Q37" i="13" s="1"/>
  <c r="U10" i="3"/>
  <c r="R2" i="13" s="1"/>
  <c r="R37" i="13" s="1"/>
  <c r="V10" i="3"/>
  <c r="S2" i="13" s="1"/>
  <c r="S37" i="13" s="1"/>
  <c r="W10" i="3"/>
  <c r="T2" i="13" s="1"/>
  <c r="T37" i="13" s="1"/>
  <c r="X10" i="3"/>
  <c r="U2" i="13" s="1"/>
  <c r="U37" i="13" s="1"/>
  <c r="Y10" i="3"/>
  <c r="V2" i="13" s="1"/>
  <c r="V37" i="13" s="1"/>
  <c r="Z10" i="3"/>
  <c r="W2" i="13" s="1"/>
  <c r="W37" i="13" s="1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FT10" i="3"/>
  <c r="FU10" i="3"/>
  <c r="E10" i="3"/>
  <c r="B2" i="13" s="1"/>
  <c r="B37" i="13" s="1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E121" i="2"/>
  <c r="CV27" i="3" l="1"/>
  <c r="ET27" i="3"/>
  <c r="ED27" i="3"/>
  <c r="DN27" i="3"/>
  <c r="BR27" i="3"/>
  <c r="BB27" i="3"/>
  <c r="AL27" i="3"/>
  <c r="V27" i="3"/>
  <c r="S20" i="13" s="1"/>
  <c r="S38" i="13" s="1"/>
  <c r="F27" i="3"/>
  <c r="C20" i="13" s="1"/>
  <c r="C38" i="13" s="1"/>
  <c r="FF27" i="3"/>
  <c r="EP27" i="3"/>
  <c r="DZ27" i="3"/>
  <c r="DJ27" i="3"/>
  <c r="CT27" i="3"/>
  <c r="CD27" i="3"/>
  <c r="AH27" i="3"/>
  <c r="R27" i="3"/>
  <c r="O20" i="13" s="1"/>
  <c r="O38" i="13" s="1"/>
  <c r="EI27" i="3"/>
  <c r="DS27" i="3"/>
  <c r="DC27" i="3"/>
  <c r="BW27" i="3"/>
  <c r="BG27" i="3"/>
  <c r="AA27" i="3"/>
  <c r="FK27" i="3"/>
  <c r="EE27" i="3"/>
  <c r="DO27" i="3"/>
  <c r="CI27" i="3"/>
  <c r="BC27" i="3"/>
  <c r="AM27" i="3"/>
  <c r="CU27" i="3"/>
  <c r="BO27" i="3"/>
  <c r="AY27" i="3"/>
  <c r="AI27" i="3"/>
  <c r="S27" i="3"/>
  <c r="P20" i="13" s="1"/>
  <c r="P38" i="13" s="1"/>
  <c r="EM27" i="3"/>
  <c r="DG27" i="3"/>
  <c r="CQ27" i="3"/>
  <c r="AX27" i="3"/>
  <c r="FR27" i="3"/>
  <c r="FB27" i="3"/>
  <c r="DV27" i="3"/>
  <c r="DF27" i="3"/>
  <c r="BZ27" i="3"/>
  <c r="BJ27" i="3"/>
  <c r="AT27" i="3"/>
  <c r="AD27" i="3"/>
  <c r="EX27" i="3"/>
  <c r="EH27" i="3"/>
  <c r="CL27" i="3"/>
  <c r="BV27" i="3"/>
  <c r="BF27" i="3"/>
  <c r="AP27" i="3"/>
  <c r="Z27" i="3"/>
  <c r="W20" i="13" s="1"/>
  <c r="W38" i="13" s="1"/>
  <c r="J27" i="3"/>
  <c r="G20" i="13" s="1"/>
  <c r="G38" i="13" s="1"/>
  <c r="BM27" i="3"/>
  <c r="AW27" i="3"/>
  <c r="FQ27" i="3"/>
  <c r="FA27" i="3"/>
  <c r="DE27" i="3"/>
  <c r="CO27" i="3"/>
  <c r="BY27" i="3"/>
  <c r="BI27" i="3"/>
  <c r="AS27" i="3"/>
  <c r="AC27" i="3"/>
  <c r="M27" i="3"/>
  <c r="J20" i="13" s="1"/>
  <c r="J38" i="13" s="1"/>
  <c r="FM27" i="3"/>
  <c r="EW27" i="3"/>
  <c r="EG27" i="3"/>
  <c r="CK27" i="3"/>
  <c r="AO27" i="3"/>
  <c r="Y27" i="3"/>
  <c r="V20" i="13" s="1"/>
  <c r="V38" i="13" s="1"/>
  <c r="I27" i="3"/>
  <c r="F20" i="13" s="1"/>
  <c r="F38" i="13" s="1"/>
  <c r="FD27" i="3"/>
  <c r="EN27" i="3"/>
  <c r="DH27" i="3"/>
  <c r="CR27" i="3"/>
  <c r="CB27" i="3"/>
  <c r="AF27" i="3"/>
  <c r="FP27" i="3"/>
  <c r="CN27" i="3"/>
  <c r="BX27" i="3"/>
  <c r="AR27" i="3"/>
  <c r="AB27" i="3"/>
  <c r="L27" i="3"/>
  <c r="I20" i="13" s="1"/>
  <c r="I38" i="13" s="1"/>
  <c r="FL27" i="3"/>
  <c r="EF27" i="3"/>
  <c r="CJ27" i="3"/>
  <c r="E27" i="3"/>
  <c r="B20" i="13" s="1"/>
  <c r="B38" i="13" s="1"/>
  <c r="FU27" i="3"/>
  <c r="EK27" i="3"/>
  <c r="DU27" i="3"/>
  <c r="DQ27" i="3"/>
  <c r="DA27" i="3"/>
  <c r="FI27" i="3"/>
  <c r="ES27" i="3"/>
  <c r="EC27" i="3"/>
  <c r="DM27" i="3"/>
  <c r="CW27" i="3"/>
  <c r="CG27" i="3"/>
  <c r="BA27" i="3"/>
  <c r="AK27" i="3"/>
  <c r="EZ27" i="3"/>
  <c r="EJ27" i="3"/>
  <c r="CZ27" i="3"/>
  <c r="FH27" i="3"/>
  <c r="DL27" i="3"/>
  <c r="CF27" i="3"/>
  <c r="BP27" i="3"/>
  <c r="AZ27" i="3"/>
  <c r="AJ27" i="3"/>
  <c r="A4" i="11" a="1"/>
  <c r="A4" i="11" s="1"/>
  <c r="A4" i="10" a="1"/>
  <c r="A4" i="10" s="1"/>
  <c r="A4" i="9" a="1"/>
  <c r="A4" i="9" s="1"/>
  <c r="A4" i="8" a="1"/>
  <c r="A4" i="8" s="1"/>
  <c r="A4" i="7" a="1"/>
  <c r="A4" i="7" s="1"/>
  <c r="A4" i="6" a="1"/>
  <c r="A4" i="6" s="1"/>
  <c r="FU3" i="11"/>
  <c r="FT3" i="11"/>
  <c r="FS3" i="11"/>
  <c r="FR3" i="11"/>
  <c r="FQ3" i="11"/>
  <c r="FP3" i="11"/>
  <c r="FO3" i="11"/>
  <c r="FN3" i="11"/>
  <c r="FM3" i="11"/>
  <c r="FL3" i="11"/>
  <c r="FK3" i="11"/>
  <c r="FJ3" i="11"/>
  <c r="FI3" i="11"/>
  <c r="FH3" i="11"/>
  <c r="FG3" i="11"/>
  <c r="FF3" i="11"/>
  <c r="FE3" i="11"/>
  <c r="FD3" i="11"/>
  <c r="FC3" i="11"/>
  <c r="FB3" i="11"/>
  <c r="FA3" i="11"/>
  <c r="EZ3" i="11"/>
  <c r="EY3" i="11"/>
  <c r="EX3" i="11"/>
  <c r="EW3" i="11"/>
  <c r="EV3" i="11"/>
  <c r="EU3" i="11"/>
  <c r="ET3" i="11"/>
  <c r="ES3" i="11"/>
  <c r="ER3" i="11"/>
  <c r="EQ3" i="11"/>
  <c r="EP3" i="11"/>
  <c r="EO3" i="11"/>
  <c r="EN3" i="11"/>
  <c r="EM3" i="11"/>
  <c r="EL3" i="11"/>
  <c r="EK3" i="11"/>
  <c r="EJ3" i="11"/>
  <c r="EI3" i="11"/>
  <c r="EH3" i="11"/>
  <c r="EG3" i="11"/>
  <c r="EF3" i="11"/>
  <c r="EE3" i="11"/>
  <c r="ED3" i="11"/>
  <c r="EC3" i="11"/>
  <c r="EB3" i="11"/>
  <c r="EA3" i="11"/>
  <c r="DZ3" i="11"/>
  <c r="DY3" i="11"/>
  <c r="DX3" i="11"/>
  <c r="DW3" i="11"/>
  <c r="DV3" i="11"/>
  <c r="DU3" i="11"/>
  <c r="DT3" i="11"/>
  <c r="DS3" i="11"/>
  <c r="DR3" i="11"/>
  <c r="DQ3" i="11"/>
  <c r="DP3" i="11"/>
  <c r="DO3" i="11"/>
  <c r="DN3" i="11"/>
  <c r="DM3" i="11"/>
  <c r="DL3" i="11"/>
  <c r="DK3" i="11"/>
  <c r="DJ3" i="11"/>
  <c r="DI3" i="11"/>
  <c r="DH3" i="11"/>
  <c r="DG3" i="11"/>
  <c r="DF3" i="11"/>
  <c r="DE3" i="11"/>
  <c r="DD3" i="11"/>
  <c r="DC3" i="11"/>
  <c r="DB3" i="11"/>
  <c r="DA3" i="11"/>
  <c r="CZ3" i="11"/>
  <c r="CY3" i="11"/>
  <c r="CX3" i="11"/>
  <c r="CW3" i="11"/>
  <c r="CV3" i="11"/>
  <c r="CU3" i="11"/>
  <c r="CT3" i="11"/>
  <c r="CS3" i="11"/>
  <c r="CR3" i="11"/>
  <c r="CQ3" i="11"/>
  <c r="CP3" i="11"/>
  <c r="CO3" i="11"/>
  <c r="CN3" i="11"/>
  <c r="CM3" i="11"/>
  <c r="CL3" i="11"/>
  <c r="CK3" i="11"/>
  <c r="CJ3" i="11"/>
  <c r="CI3" i="11"/>
  <c r="CH3" i="11"/>
  <c r="CG3" i="11"/>
  <c r="CF3" i="11"/>
  <c r="CE3" i="11"/>
  <c r="CD3" i="11"/>
  <c r="CC3" i="11"/>
  <c r="CB3" i="11"/>
  <c r="CA3" i="11"/>
  <c r="BZ3" i="11"/>
  <c r="BY3" i="11"/>
  <c r="BX3" i="11"/>
  <c r="BW3" i="11"/>
  <c r="BV3" i="11"/>
  <c r="BU3" i="11"/>
  <c r="BT3" i="11"/>
  <c r="BS3" i="11"/>
  <c r="BR3" i="11"/>
  <c r="BQ3" i="11"/>
  <c r="BP3" i="11"/>
  <c r="BO3" i="11"/>
  <c r="BN3" i="11"/>
  <c r="BM3" i="11"/>
  <c r="BL3" i="11"/>
  <c r="BK3" i="11"/>
  <c r="BJ3" i="11"/>
  <c r="BI3" i="11"/>
  <c r="BH3" i="11"/>
  <c r="BG3" i="11"/>
  <c r="BF3" i="11"/>
  <c r="BE3" i="11"/>
  <c r="BD3" i="11"/>
  <c r="BC3" i="11"/>
  <c r="BB3" i="11"/>
  <c r="BA3" i="11"/>
  <c r="AZ3" i="11"/>
  <c r="AY3" i="11"/>
  <c r="AX3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FU3" i="10"/>
  <c r="FT3" i="10"/>
  <c r="FS3" i="10"/>
  <c r="FR3" i="10"/>
  <c r="FQ3" i="10"/>
  <c r="FP3" i="10"/>
  <c r="FO3" i="10"/>
  <c r="FN3" i="10"/>
  <c r="FM3" i="10"/>
  <c r="FL3" i="10"/>
  <c r="FK3" i="10"/>
  <c r="FJ3" i="10"/>
  <c r="FI3" i="10"/>
  <c r="FH3" i="10"/>
  <c r="FG3" i="10"/>
  <c r="FF3" i="10"/>
  <c r="FE3" i="10"/>
  <c r="FD3" i="10"/>
  <c r="FC3" i="10"/>
  <c r="FB3" i="10"/>
  <c r="FA3" i="10"/>
  <c r="EZ3" i="10"/>
  <c r="EY3" i="10"/>
  <c r="EX3" i="10"/>
  <c r="EW3" i="10"/>
  <c r="EV3" i="10"/>
  <c r="EU3" i="10"/>
  <c r="ET3" i="10"/>
  <c r="ES3" i="10"/>
  <c r="ER3" i="10"/>
  <c r="EQ3" i="10"/>
  <c r="EP3" i="10"/>
  <c r="EO3" i="10"/>
  <c r="EN3" i="10"/>
  <c r="EM3" i="10"/>
  <c r="EL3" i="10"/>
  <c r="EK3" i="10"/>
  <c r="EJ3" i="10"/>
  <c r="EI3" i="10"/>
  <c r="EH3" i="10"/>
  <c r="EG3" i="10"/>
  <c r="EF3" i="10"/>
  <c r="EE3" i="10"/>
  <c r="ED3" i="10"/>
  <c r="EC3" i="10"/>
  <c r="EB3" i="10"/>
  <c r="EA3" i="10"/>
  <c r="DZ3" i="10"/>
  <c r="DY3" i="10"/>
  <c r="DX3" i="10"/>
  <c r="DW3" i="10"/>
  <c r="DV3" i="10"/>
  <c r="DU3" i="10"/>
  <c r="DT3" i="10"/>
  <c r="DS3" i="10"/>
  <c r="DR3" i="10"/>
  <c r="DQ3" i="10"/>
  <c r="DP3" i="10"/>
  <c r="DO3" i="10"/>
  <c r="DN3" i="10"/>
  <c r="DM3" i="10"/>
  <c r="DL3" i="10"/>
  <c r="DK3" i="10"/>
  <c r="DJ3" i="10"/>
  <c r="DI3" i="10"/>
  <c r="DH3" i="10"/>
  <c r="DG3" i="10"/>
  <c r="DF3" i="10"/>
  <c r="DE3" i="10"/>
  <c r="DD3" i="10"/>
  <c r="DC3" i="10"/>
  <c r="DB3" i="10"/>
  <c r="DA3" i="10"/>
  <c r="CZ3" i="10"/>
  <c r="CY3" i="10"/>
  <c r="CX3" i="10"/>
  <c r="CW3" i="10"/>
  <c r="CV3" i="10"/>
  <c r="CU3" i="10"/>
  <c r="CT3" i="10"/>
  <c r="CS3" i="10"/>
  <c r="CR3" i="10"/>
  <c r="CQ3" i="10"/>
  <c r="CP3" i="10"/>
  <c r="CO3" i="10"/>
  <c r="CN3" i="10"/>
  <c r="CM3" i="10"/>
  <c r="CL3" i="10"/>
  <c r="CK3" i="10"/>
  <c r="CJ3" i="10"/>
  <c r="CI3" i="10"/>
  <c r="CH3" i="10"/>
  <c r="CG3" i="10"/>
  <c r="CF3" i="10"/>
  <c r="CE3" i="10"/>
  <c r="CD3" i="10"/>
  <c r="CC3" i="10"/>
  <c r="CB3" i="10"/>
  <c r="CA3" i="10"/>
  <c r="BZ3" i="10"/>
  <c r="BY3" i="10"/>
  <c r="BX3" i="10"/>
  <c r="BW3" i="10"/>
  <c r="BV3" i="10"/>
  <c r="BU3" i="10"/>
  <c r="BT3" i="10"/>
  <c r="BS3" i="10"/>
  <c r="BR3" i="10"/>
  <c r="BQ3" i="10"/>
  <c r="BP3" i="10"/>
  <c r="BO3" i="10"/>
  <c r="BN3" i="10"/>
  <c r="BM3" i="10"/>
  <c r="BL3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FU3" i="9"/>
  <c r="FT3" i="9"/>
  <c r="FS3" i="9"/>
  <c r="FR3" i="9"/>
  <c r="FQ3" i="9"/>
  <c r="FP3" i="9"/>
  <c r="FO3" i="9"/>
  <c r="FN3" i="9"/>
  <c r="FM3" i="9"/>
  <c r="FL3" i="9"/>
  <c r="FK3" i="9"/>
  <c r="FJ3" i="9"/>
  <c r="FI3" i="9"/>
  <c r="FH3" i="9"/>
  <c r="FG3" i="9"/>
  <c r="FF3" i="9"/>
  <c r="FE3" i="9"/>
  <c r="FD3" i="9"/>
  <c r="FC3" i="9"/>
  <c r="FB3" i="9"/>
  <c r="FA3" i="9"/>
  <c r="EZ3" i="9"/>
  <c r="EY3" i="9"/>
  <c r="EX3" i="9"/>
  <c r="EW3" i="9"/>
  <c r="EV3" i="9"/>
  <c r="EU3" i="9"/>
  <c r="ET3" i="9"/>
  <c r="ES3" i="9"/>
  <c r="ER3" i="9"/>
  <c r="EQ3" i="9"/>
  <c r="EP3" i="9"/>
  <c r="EO3" i="9"/>
  <c r="EN3" i="9"/>
  <c r="EM3" i="9"/>
  <c r="EL3" i="9"/>
  <c r="EK3" i="9"/>
  <c r="EJ3" i="9"/>
  <c r="EI3" i="9"/>
  <c r="EH3" i="9"/>
  <c r="EG3" i="9"/>
  <c r="EF3" i="9"/>
  <c r="EE3" i="9"/>
  <c r="ED3" i="9"/>
  <c r="EC3" i="9"/>
  <c r="EB3" i="9"/>
  <c r="EA3" i="9"/>
  <c r="DZ3" i="9"/>
  <c r="DY3" i="9"/>
  <c r="DX3" i="9"/>
  <c r="DW3" i="9"/>
  <c r="DV3" i="9"/>
  <c r="DU3" i="9"/>
  <c r="DT3" i="9"/>
  <c r="DS3" i="9"/>
  <c r="DR3" i="9"/>
  <c r="DQ3" i="9"/>
  <c r="DP3" i="9"/>
  <c r="DO3" i="9"/>
  <c r="DN3" i="9"/>
  <c r="DM3" i="9"/>
  <c r="DL3" i="9"/>
  <c r="DK3" i="9"/>
  <c r="DJ3" i="9"/>
  <c r="DI3" i="9"/>
  <c r="DH3" i="9"/>
  <c r="DG3" i="9"/>
  <c r="DF3" i="9"/>
  <c r="DE3" i="9"/>
  <c r="DD3" i="9"/>
  <c r="DC3" i="9"/>
  <c r="DB3" i="9"/>
  <c r="DA3" i="9"/>
  <c r="CZ3" i="9"/>
  <c r="CY3" i="9"/>
  <c r="CX3" i="9"/>
  <c r="CW3" i="9"/>
  <c r="CV3" i="9"/>
  <c r="CU3" i="9"/>
  <c r="CT3" i="9"/>
  <c r="CS3" i="9"/>
  <c r="CR3" i="9"/>
  <c r="CQ3" i="9"/>
  <c r="CP3" i="9"/>
  <c r="CO3" i="9"/>
  <c r="CN3" i="9"/>
  <c r="CM3" i="9"/>
  <c r="CL3" i="9"/>
  <c r="CK3" i="9"/>
  <c r="CJ3" i="9"/>
  <c r="CI3" i="9"/>
  <c r="CH3" i="9"/>
  <c r="CG3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BR3" i="9"/>
  <c r="BQ3" i="9"/>
  <c r="BP3" i="9"/>
  <c r="BO3" i="9"/>
  <c r="BN3" i="9"/>
  <c r="BM3" i="9"/>
  <c r="BL3" i="9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FU3" i="8"/>
  <c r="FT3" i="8"/>
  <c r="FS3" i="8"/>
  <c r="FR3" i="8"/>
  <c r="FQ3" i="8"/>
  <c r="FP3" i="8"/>
  <c r="FO3" i="8"/>
  <c r="FN3" i="8"/>
  <c r="FM3" i="8"/>
  <c r="FL3" i="8"/>
  <c r="FK3" i="8"/>
  <c r="FJ3" i="8"/>
  <c r="FI3" i="8"/>
  <c r="FH3" i="8"/>
  <c r="FG3" i="8"/>
  <c r="FF3" i="8"/>
  <c r="FE3" i="8"/>
  <c r="FD3" i="8"/>
  <c r="FC3" i="8"/>
  <c r="FB3" i="8"/>
  <c r="FA3" i="8"/>
  <c r="EZ3" i="8"/>
  <c r="EY3" i="8"/>
  <c r="EX3" i="8"/>
  <c r="EW3" i="8"/>
  <c r="EV3" i="8"/>
  <c r="EU3" i="8"/>
  <c r="ET3" i="8"/>
  <c r="ES3" i="8"/>
  <c r="ER3" i="8"/>
  <c r="EQ3" i="8"/>
  <c r="EP3" i="8"/>
  <c r="EO3" i="8"/>
  <c r="EN3" i="8"/>
  <c r="EM3" i="8"/>
  <c r="EL3" i="8"/>
  <c r="EK3" i="8"/>
  <c r="EJ3" i="8"/>
  <c r="EI3" i="8"/>
  <c r="EH3" i="8"/>
  <c r="EG3" i="8"/>
  <c r="EF3" i="8"/>
  <c r="EE3" i="8"/>
  <c r="ED3" i="8"/>
  <c r="EC3" i="8"/>
  <c r="EB3" i="8"/>
  <c r="EA3" i="8"/>
  <c r="DZ3" i="8"/>
  <c r="DY3" i="8"/>
  <c r="DX3" i="8"/>
  <c r="DW3" i="8"/>
  <c r="DV3" i="8"/>
  <c r="DU3" i="8"/>
  <c r="DT3" i="8"/>
  <c r="DS3" i="8"/>
  <c r="DR3" i="8"/>
  <c r="DQ3" i="8"/>
  <c r="DP3" i="8"/>
  <c r="DO3" i="8"/>
  <c r="DN3" i="8"/>
  <c r="DM3" i="8"/>
  <c r="DL3" i="8"/>
  <c r="DK3" i="8"/>
  <c r="DJ3" i="8"/>
  <c r="DI3" i="8"/>
  <c r="DH3" i="8"/>
  <c r="DG3" i="8"/>
  <c r="DF3" i="8"/>
  <c r="DE3" i="8"/>
  <c r="DD3" i="8"/>
  <c r="DC3" i="8"/>
  <c r="DB3" i="8"/>
  <c r="DA3" i="8"/>
  <c r="CZ3" i="8"/>
  <c r="CY3" i="8"/>
  <c r="CX3" i="8"/>
  <c r="CW3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FU3" i="7"/>
  <c r="FT3" i="7"/>
  <c r="FS3" i="7"/>
  <c r="FR3" i="7"/>
  <c r="FQ3" i="7"/>
  <c r="FP3" i="7"/>
  <c r="FO3" i="7"/>
  <c r="FN3" i="7"/>
  <c r="FM3" i="7"/>
  <c r="FL3" i="7"/>
  <c r="FK3" i="7"/>
  <c r="FJ3" i="7"/>
  <c r="FI3" i="7"/>
  <c r="FH3" i="7"/>
  <c r="FG3" i="7"/>
  <c r="FF3" i="7"/>
  <c r="FE3" i="7"/>
  <c r="FD3" i="7"/>
  <c r="FC3" i="7"/>
  <c r="FB3" i="7"/>
  <c r="FA3" i="7"/>
  <c r="EZ3" i="7"/>
  <c r="EY3" i="7"/>
  <c r="EX3" i="7"/>
  <c r="EW3" i="7"/>
  <c r="EV3" i="7"/>
  <c r="EU3" i="7"/>
  <c r="ET3" i="7"/>
  <c r="ES3" i="7"/>
  <c r="ER3" i="7"/>
  <c r="EQ3" i="7"/>
  <c r="EP3" i="7"/>
  <c r="EO3" i="7"/>
  <c r="EN3" i="7"/>
  <c r="EM3" i="7"/>
  <c r="EL3" i="7"/>
  <c r="EK3" i="7"/>
  <c r="EJ3" i="7"/>
  <c r="EI3" i="7"/>
  <c r="EH3" i="7"/>
  <c r="EG3" i="7"/>
  <c r="EF3" i="7"/>
  <c r="EE3" i="7"/>
  <c r="ED3" i="7"/>
  <c r="EC3" i="7"/>
  <c r="EB3" i="7"/>
  <c r="EA3" i="7"/>
  <c r="DZ3" i="7"/>
  <c r="DY3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FU3" i="6"/>
  <c r="FT3" i="6"/>
  <c r="FS3" i="6"/>
  <c r="FR3" i="6"/>
  <c r="FQ3" i="6"/>
  <c r="FP3" i="6"/>
  <c r="FO3" i="6"/>
  <c r="FN3" i="6"/>
  <c r="FM3" i="6"/>
  <c r="FL3" i="6"/>
  <c r="FK3" i="6"/>
  <c r="FJ3" i="6"/>
  <c r="FI3" i="6"/>
  <c r="FH3" i="6"/>
  <c r="FG3" i="6"/>
  <c r="FF3" i="6"/>
  <c r="FE3" i="6"/>
  <c r="FD3" i="6"/>
  <c r="FC3" i="6"/>
  <c r="FB3" i="6"/>
  <c r="FA3" i="6"/>
  <c r="EZ3" i="6"/>
  <c r="EY3" i="6"/>
  <c r="EX3" i="6"/>
  <c r="EW3" i="6"/>
  <c r="EV3" i="6"/>
  <c r="EU3" i="6"/>
  <c r="ET3" i="6"/>
  <c r="ES3" i="6"/>
  <c r="ER3" i="6"/>
  <c r="EQ3" i="6"/>
  <c r="EP3" i="6"/>
  <c r="EO3" i="6"/>
  <c r="EN3" i="6"/>
  <c r="EM3" i="6"/>
  <c r="EL3" i="6"/>
  <c r="EK3" i="6"/>
  <c r="EJ3" i="6"/>
  <c r="EI3" i="6"/>
  <c r="EH3" i="6"/>
  <c r="EG3" i="6"/>
  <c r="EF3" i="6"/>
  <c r="EE3" i="6"/>
  <c r="ED3" i="6"/>
  <c r="EC3" i="6"/>
  <c r="EB3" i="6"/>
  <c r="EA3" i="6"/>
  <c r="DZ3" i="6"/>
  <c r="DY3" i="6"/>
  <c r="DX3" i="6"/>
  <c r="DW3" i="6"/>
  <c r="DV3" i="6"/>
  <c r="DU3" i="6"/>
  <c r="DT3" i="6"/>
  <c r="DS3" i="6"/>
  <c r="DR3" i="6"/>
  <c r="DQ3" i="6"/>
  <c r="DP3" i="6"/>
  <c r="DO3" i="6"/>
  <c r="DN3" i="6"/>
  <c r="DM3" i="6"/>
  <c r="DL3" i="6"/>
  <c r="DK3" i="6"/>
  <c r="DJ3" i="6"/>
  <c r="DI3" i="6"/>
  <c r="DH3" i="6"/>
  <c r="DG3" i="6"/>
  <c r="DF3" i="6"/>
  <c r="DE3" i="6"/>
  <c r="DD3" i="6"/>
  <c r="DC3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FU3" i="5"/>
  <c r="FT3" i="5"/>
  <c r="FS3" i="5"/>
  <c r="FR3" i="5"/>
  <c r="FQ3" i="5"/>
  <c r="FP3" i="5"/>
  <c r="FO3" i="5"/>
  <c r="FN3" i="5"/>
  <c r="FM3" i="5"/>
  <c r="FL3" i="5"/>
  <c r="FK3" i="5"/>
  <c r="FJ3" i="5"/>
  <c r="FI3" i="5"/>
  <c r="FH3" i="5"/>
  <c r="FG3" i="5"/>
  <c r="FF3" i="5"/>
  <c r="FE3" i="5"/>
  <c r="FD3" i="5"/>
  <c r="FC3" i="5"/>
  <c r="FB3" i="5"/>
  <c r="FA3" i="5"/>
  <c r="EZ3" i="5"/>
  <c r="EY3" i="5"/>
  <c r="EX3" i="5"/>
  <c r="EW3" i="5"/>
  <c r="EV3" i="5"/>
  <c r="EU3" i="5"/>
  <c r="ET3" i="5"/>
  <c r="ES3" i="5"/>
  <c r="ER3" i="5"/>
  <c r="EQ3" i="5"/>
  <c r="EP3" i="5"/>
  <c r="EO3" i="5"/>
  <c r="EN3" i="5"/>
  <c r="EM3" i="5"/>
  <c r="EL3" i="5"/>
  <c r="EK3" i="5"/>
  <c r="EJ3" i="5"/>
  <c r="EI3" i="5"/>
  <c r="EH3" i="5"/>
  <c r="EG3" i="5"/>
  <c r="EF3" i="5"/>
  <c r="EE3" i="5"/>
  <c r="ED3" i="5"/>
  <c r="EC3" i="5"/>
  <c r="EB3" i="5"/>
  <c r="EA3" i="5"/>
  <c r="DZ3" i="5"/>
  <c r="DY3" i="5"/>
  <c r="DX3" i="5"/>
  <c r="DW3" i="5"/>
  <c r="DV3" i="5"/>
  <c r="DU3" i="5"/>
  <c r="DT3" i="5"/>
  <c r="DS3" i="5"/>
  <c r="DR3" i="5"/>
  <c r="DQ3" i="5"/>
  <c r="DP3" i="5"/>
  <c r="DO3" i="5"/>
  <c r="DN3" i="5"/>
  <c r="DM3" i="5"/>
  <c r="DL3" i="5"/>
  <c r="DK3" i="5"/>
  <c r="DJ3" i="5"/>
  <c r="DI3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K3" i="5"/>
  <c r="CJ3" i="5"/>
  <c r="CI3" i="5"/>
  <c r="CH3" i="5"/>
  <c r="CG3" i="5"/>
  <c r="CF3" i="5"/>
  <c r="CE3" i="5"/>
  <c r="CD3" i="5"/>
  <c r="CC3" i="5"/>
  <c r="CB3" i="5"/>
  <c r="CA3" i="5"/>
  <c r="BZ3" i="5"/>
  <c r="BY3" i="5"/>
  <c r="BX3" i="5"/>
  <c r="BW3" i="5"/>
  <c r="BV3" i="5"/>
  <c r="BU3" i="5"/>
  <c r="BT3" i="5"/>
  <c r="BS3" i="5"/>
  <c r="BR3" i="5"/>
  <c r="BQ3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FU3" i="4"/>
  <c r="FT3" i="4"/>
  <c r="FS3" i="4"/>
  <c r="FR3" i="4"/>
  <c r="FQ3" i="4"/>
  <c r="FP3" i="4"/>
  <c r="FO3" i="4"/>
  <c r="FN3" i="4"/>
  <c r="FM3" i="4"/>
  <c r="FL3" i="4"/>
  <c r="FK3" i="4"/>
  <c r="FJ3" i="4"/>
  <c r="FI3" i="4"/>
  <c r="FH3" i="4"/>
  <c r="FG3" i="4"/>
  <c r="FF3" i="4"/>
  <c r="FE3" i="4"/>
  <c r="FD3" i="4"/>
  <c r="FC3" i="4"/>
  <c r="FB3" i="4"/>
  <c r="FA3" i="4"/>
  <c r="EZ3" i="4"/>
  <c r="EY3" i="4"/>
  <c r="EX3" i="4"/>
  <c r="EW3" i="4"/>
  <c r="EV3" i="4"/>
  <c r="EU3" i="4"/>
  <c r="ET3" i="4"/>
  <c r="ES3" i="4"/>
  <c r="ER3" i="4"/>
  <c r="EQ3" i="4"/>
  <c r="EP3" i="4"/>
  <c r="EO3" i="4"/>
  <c r="EN3" i="4"/>
  <c r="EM3" i="4"/>
  <c r="EL3" i="4"/>
  <c r="EK3" i="4"/>
  <c r="EJ3" i="4"/>
  <c r="EI3" i="4"/>
  <c r="EH3" i="4"/>
  <c r="EG3" i="4"/>
  <c r="EF3" i="4"/>
  <c r="EE3" i="4"/>
  <c r="ED3" i="4"/>
  <c r="EC3" i="4"/>
  <c r="EB3" i="4"/>
  <c r="EA3" i="4"/>
  <c r="DZ3" i="4"/>
  <c r="DY3" i="4"/>
  <c r="DX3" i="4"/>
  <c r="DW3" i="4"/>
  <c r="DV3" i="4"/>
  <c r="DU3" i="4"/>
  <c r="DT3" i="4"/>
  <c r="DS3" i="4"/>
  <c r="DR3" i="4"/>
  <c r="DQ3" i="4"/>
  <c r="DP3" i="4"/>
  <c r="DO3" i="4"/>
  <c r="DN3" i="4"/>
  <c r="DM3" i="4"/>
  <c r="DL3" i="4"/>
  <c r="DK3" i="4"/>
  <c r="DJ3" i="4"/>
  <c r="DI3" i="4"/>
  <c r="DH3" i="4"/>
  <c r="DG3" i="4"/>
  <c r="DF3" i="4"/>
  <c r="DE3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A4" i="5" a="1"/>
  <c r="A4" i="5" s="1"/>
  <c r="A4" i="4" a="1"/>
  <c r="A4" i="4" s="1"/>
  <c r="A4" i="3" a="1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FT3" i="3"/>
  <c r="FU3" i="3"/>
  <c r="E3" i="3"/>
  <c r="A4" i="3" l="1"/>
  <c r="A21" i="3" s="1"/>
  <c r="A22" i="3"/>
  <c r="B21" i="3"/>
  <c r="B22" i="3"/>
  <c r="C22" i="3"/>
  <c r="D22" i="3"/>
  <c r="A23" i="3"/>
  <c r="D24" i="3"/>
  <c r="D21" i="3"/>
  <c r="B23" i="3"/>
  <c r="C24" i="3"/>
  <c r="C23" i="3"/>
  <c r="D23" i="3"/>
  <c r="A24" i="3"/>
  <c r="B24" i="3"/>
  <c r="C2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<sst xmlns="http://schemas.openxmlformats.org/spreadsheetml/2006/main" count="579" uniqueCount="198">
  <si>
    <t>Weapon</t>
  </si>
  <si>
    <t>Skin</t>
  </si>
  <si>
    <t>Type</t>
  </si>
  <si>
    <t>M4A4</t>
  </si>
  <si>
    <t>StatTrak Cyber Security MW</t>
  </si>
  <si>
    <t>Sawed-Off</t>
  </si>
  <si>
    <t>Heavy</t>
  </si>
  <si>
    <t>MAG-7</t>
  </si>
  <si>
    <t>Collection</t>
  </si>
  <si>
    <t>Broken Fang</t>
  </si>
  <si>
    <t>Gamma</t>
  </si>
  <si>
    <t>Limelight MW</t>
  </si>
  <si>
    <t>Popdog FN</t>
  </si>
  <si>
    <t>CS20</t>
  </si>
  <si>
    <t>UMP-45</t>
  </si>
  <si>
    <t xml:space="preserve"> Plastique MW</t>
  </si>
  <si>
    <t>SMG</t>
  </si>
  <si>
    <t>PP-Bizon</t>
  </si>
  <si>
    <t>Revolver</t>
  </si>
  <si>
    <t>MP9</t>
  </si>
  <si>
    <t>Fuel Rod FT</t>
  </si>
  <si>
    <t>Hydra MW</t>
  </si>
  <si>
    <t>MP7</t>
  </si>
  <si>
    <t>Impire MW</t>
  </si>
  <si>
    <t>Wildfire</t>
  </si>
  <si>
    <t>MAC-10</t>
  </si>
  <si>
    <t>Malachite MW</t>
  </si>
  <si>
    <t>Chroma</t>
  </si>
  <si>
    <t>SSG 08</t>
  </si>
  <si>
    <t>Necropos MW</t>
  </si>
  <si>
    <t>Other Rifle</t>
  </si>
  <si>
    <t>SG 553</t>
  </si>
  <si>
    <t>Atlas FN</t>
  </si>
  <si>
    <t>Chroma 3</t>
  </si>
  <si>
    <t>SCAR-20</t>
  </si>
  <si>
    <t>Powercore MW</t>
  </si>
  <si>
    <t>Gamma 2</t>
  </si>
  <si>
    <t>M4A1-S</t>
  </si>
  <si>
    <t>Flashback FN</t>
  </si>
  <si>
    <t>Glove</t>
  </si>
  <si>
    <t>Galil AR</t>
  </si>
  <si>
    <t>Eco FT</t>
  </si>
  <si>
    <t>Chroma 2</t>
  </si>
  <si>
    <t>FAMAS</t>
  </si>
  <si>
    <t>Macabre MW</t>
  </si>
  <si>
    <t>Hydra</t>
  </si>
  <si>
    <t>USP-S</t>
  </si>
  <si>
    <t>Flashback MW</t>
  </si>
  <si>
    <t>Pistol</t>
  </si>
  <si>
    <t>Danger Zone</t>
  </si>
  <si>
    <t>Glock-18</t>
  </si>
  <si>
    <t>Nuclear Garden FT</t>
  </si>
  <si>
    <t>2018 Nuke</t>
  </si>
  <si>
    <t>Five-SeveN</t>
  </si>
  <si>
    <t>Hot Shot MW</t>
  </si>
  <si>
    <t>Cache</t>
  </si>
  <si>
    <t>Dual Berettas</t>
  </si>
  <si>
    <t>Emerald FN</t>
  </si>
  <si>
    <t>Canals</t>
  </si>
  <si>
    <t>Desert Eagle</t>
  </si>
  <si>
    <t>Midnight Storm MW</t>
  </si>
  <si>
    <t>Rising Sun</t>
  </si>
  <si>
    <t>Bayonet</t>
  </si>
  <si>
    <t>Rust Coat BS</t>
  </si>
  <si>
    <t>Knife</t>
  </si>
  <si>
    <t>R8 Revolver</t>
  </si>
  <si>
    <t>Canal Spray FT</t>
  </si>
  <si>
    <t>Night Borre FT</t>
  </si>
  <si>
    <t>Norse</t>
  </si>
  <si>
    <t>MP5-SD</t>
  </si>
  <si>
    <t>Bamboo Garden MW</t>
  </si>
  <si>
    <t>St. Marc</t>
  </si>
  <si>
    <t>Tornado BS</t>
  </si>
  <si>
    <t>StatTrak Neon Rider MW</t>
  </si>
  <si>
    <t>AWP</t>
  </si>
  <si>
    <t>Atheris MW</t>
  </si>
  <si>
    <t>Prisma</t>
  </si>
  <si>
    <t>StatTrak Buddy MW</t>
  </si>
  <si>
    <t>Neo-Noir FN</t>
  </si>
  <si>
    <t>StatTrak Cyrex MW</t>
  </si>
  <si>
    <t>Breakout</t>
  </si>
  <si>
    <t>StatTrak Weasel FT</t>
  </si>
  <si>
    <t>Code Red MW</t>
  </si>
  <si>
    <t>Horizon</t>
  </si>
  <si>
    <t>XM1014</t>
  </si>
  <si>
    <t>Souvenir VariCamo Blue FN</t>
  </si>
  <si>
    <t>Overpass</t>
  </si>
  <si>
    <t>Momentum FN</t>
  </si>
  <si>
    <t>The Battlestar FN</t>
  </si>
  <si>
    <t>Hypnotic FN</t>
  </si>
  <si>
    <t>Arms Deal</t>
  </si>
  <si>
    <t>Neo-Noir MW</t>
  </si>
  <si>
    <t>Clutch</t>
  </si>
  <si>
    <t>Boom MW</t>
  </si>
  <si>
    <t>eSports 2013</t>
  </si>
  <si>
    <t>AK-47</t>
  </si>
  <si>
    <t>Aquamarine Revenge MW</t>
  </si>
  <si>
    <t>Falchion</t>
  </si>
  <si>
    <t>AUG</t>
  </si>
  <si>
    <t>StatTrak Momentum MW</t>
  </si>
  <si>
    <t>Light Rail FN</t>
  </si>
  <si>
    <t>Butterfly Knife</t>
  </si>
  <si>
    <t>Tiger Tooth FN</t>
  </si>
  <si>
    <t>Spectrum</t>
  </si>
  <si>
    <t>Mortis MW</t>
  </si>
  <si>
    <t>SWAG-7 FT</t>
  </si>
  <si>
    <t>Hyper Beast MW</t>
  </si>
  <si>
    <t>Angry Mob MW</t>
  </si>
  <si>
    <t>P250</t>
  </si>
  <si>
    <t>See Ya Later MW</t>
  </si>
  <si>
    <t>Spectrum 2</t>
  </si>
  <si>
    <t>Wasteland Rebel MW</t>
  </si>
  <si>
    <t>Bloodsport MW</t>
  </si>
  <si>
    <t>Frontside Misty MW</t>
  </si>
  <si>
    <t>Shadow</t>
  </si>
  <si>
    <t>StatTrak Hyper Beast FT</t>
  </si>
  <si>
    <t>StatTrak Conspiracy MW</t>
  </si>
  <si>
    <t>StatTrak Point Disarray FT</t>
  </si>
  <si>
    <t>Hellfire MW</t>
  </si>
  <si>
    <t>Vulcan MW</t>
  </si>
  <si>
    <t>Huntsman</t>
  </si>
  <si>
    <t>Stone Cold FT</t>
  </si>
  <si>
    <t>Nova</t>
  </si>
  <si>
    <t>Toy Soldier MW</t>
  </si>
  <si>
    <t>Candy Apple MW</t>
  </si>
  <si>
    <t>Italy</t>
  </si>
  <si>
    <t>StatTrak Death's Head MW</t>
  </si>
  <si>
    <t>Nemesis MW</t>
  </si>
  <si>
    <t>Cyrex WW</t>
  </si>
  <si>
    <t>Evil Daimyo FN</t>
  </si>
  <si>
    <t>StatTrak Monkey Business FT</t>
  </si>
  <si>
    <t>Wild Six FT</t>
  </si>
  <si>
    <t>CZ75-Auto</t>
  </si>
  <si>
    <t>StatTrak Eco MW</t>
  </si>
  <si>
    <t>Flip Knife</t>
  </si>
  <si>
    <t>Freehand FN</t>
  </si>
  <si>
    <t>StatTrak Cyrex FN</t>
  </si>
  <si>
    <t>StatTrak Primal Saber FT</t>
  </si>
  <si>
    <t>Urban Shock MW</t>
  </si>
  <si>
    <t>StatTrak Water Elemental FT</t>
  </si>
  <si>
    <t>Elite Build FT</t>
  </si>
  <si>
    <t>Redline FT</t>
  </si>
  <si>
    <t>Phoenix</t>
  </si>
  <si>
    <t>Roll Cage MW</t>
  </si>
  <si>
    <t>Golden Coil FT</t>
  </si>
  <si>
    <t>Bullet Rain MW</t>
  </si>
  <si>
    <t>eSports 2014</t>
  </si>
  <si>
    <t>Fever Dream MW</t>
  </si>
  <si>
    <t>Desolate Space MW</t>
  </si>
  <si>
    <t>Reboot FT</t>
  </si>
  <si>
    <t>G3SG1</t>
  </si>
  <si>
    <t>Stinger FN</t>
  </si>
  <si>
    <t>StatTrak Red Astor MW</t>
  </si>
  <si>
    <t>StatTrak Dart MW</t>
  </si>
  <si>
    <t>Vanguard</t>
  </si>
  <si>
    <t>P2000</t>
  </si>
  <si>
    <t>StatTrak Imperial Dragon FT</t>
  </si>
  <si>
    <t>Kumicho Dragon MW</t>
  </si>
  <si>
    <t>StatTrak Valence FT</t>
  </si>
  <si>
    <t>Hyper Beast FT</t>
  </si>
  <si>
    <t>Blood in the Water MW</t>
  </si>
  <si>
    <t>Arms Deal 2</t>
  </si>
  <si>
    <t>Negev</t>
  </si>
  <si>
    <t>Power Loader MW</t>
  </si>
  <si>
    <t>StatTrak Tiger Moth FT</t>
  </si>
  <si>
    <t>Tec-9</t>
  </si>
  <si>
    <t>StatTrak Avalanche FT</t>
  </si>
  <si>
    <t>StatTrak Wingshot MW</t>
  </si>
  <si>
    <t>StatTrak Dualing Dragons MW</t>
  </si>
  <si>
    <t>Chameleon MW</t>
  </si>
  <si>
    <t>StatTrak Dragon King MW</t>
  </si>
  <si>
    <t>Karmabit</t>
  </si>
  <si>
    <t>Ultraviolet FT</t>
  </si>
  <si>
    <t>Original</t>
  </si>
  <si>
    <t>Heaven Guard FT</t>
  </si>
  <si>
    <t>Kill Confirmed BS</t>
  </si>
  <si>
    <t>The Kraken MW</t>
  </si>
  <si>
    <t>Winter Offensive</t>
  </si>
  <si>
    <t>P90</t>
  </si>
  <si>
    <t>Asiimov FT</t>
  </si>
  <si>
    <t>Cardiac FT</t>
  </si>
  <si>
    <t>StatTrak Heat FT</t>
  </si>
  <si>
    <t>StatTrak Osiris FT</t>
  </si>
  <si>
    <t>Knives</t>
  </si>
  <si>
    <t>Other Rifles</t>
  </si>
  <si>
    <t>TOTAL</t>
  </si>
  <si>
    <t>Total</t>
  </si>
  <si>
    <t>Category</t>
  </si>
  <si>
    <t>Investments</t>
  </si>
  <si>
    <t>Cases</t>
  </si>
  <si>
    <t>Prisma 2</t>
  </si>
  <si>
    <t>Fracture</t>
  </si>
  <si>
    <t>Shattered Web</t>
  </si>
  <si>
    <t>Fracture Cases</t>
  </si>
  <si>
    <t>Sale-Revenue</t>
  </si>
  <si>
    <t>Buy-value</t>
  </si>
  <si>
    <t>Case-Investments</t>
  </si>
  <si>
    <t>Skin-Investments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</si>
</sst>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Total!$A$37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Total!$B$36:$FR$36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Total!$B$37:$FR$37</c:f>
              <c:numCache>
                <c:formatCode>General</c:formatCode>
                <c:ptCount val="173"/>
                <c:pt idx="0">
                  <c:v>3626.0399999999986</c:v>
                </c:pt>
                <c:pt idx="1">
                  <c:v>3630.9199999999996</c:v>
                </c:pt>
                <c:pt idx="2">
                  <c:v>3662.2800000000007</c:v>
                </c:pt>
                <c:pt idx="3">
                  <c:v>3678.14</c:v>
                </c:pt>
                <c:pt idx="4">
                  <c:v>3704.2099999999996</c:v>
                </c:pt>
                <c:pt idx="5">
                  <c:v>3658.4899999999993</c:v>
                </c:pt>
                <c:pt idx="6">
                  <c:v>3759.4799999999996</c:v>
                </c:pt>
                <c:pt idx="7">
                  <c:v>3811.119999999999</c:v>
                </c:pt>
                <c:pt idx="8">
                  <c:v>3775.15</c:v>
                </c:pt>
                <c:pt idx="9">
                  <c:v>4003.1</c:v>
                </c:pt>
                <c:pt idx="10">
                  <c:v>3974.1400000000003</c:v>
                </c:pt>
                <c:pt idx="11">
                  <c:v>3940</c:v>
                </c:pt>
                <c:pt idx="12">
                  <c:v>3892.2500000000005</c:v>
                </c:pt>
                <c:pt idx="13">
                  <c:v>3897.7400000000002</c:v>
                </c:pt>
                <c:pt idx="14">
                  <c:v>3898.47</c:v>
                </c:pt>
                <c:pt idx="15">
                  <c:v>3924.34</c:v>
                </c:pt>
                <c:pt idx="16">
                  <c:v>3964.25</c:v>
                </c:pt>
                <c:pt idx="17">
                  <c:v>3970.9499999999994</c:v>
                </c:pt>
                <c:pt idx="18">
                  <c:v>4084.64</c:v>
                </c:pt>
                <c:pt idx="19">
                  <c:v>4311.4099999999989</c:v>
                </c:pt>
                <c:pt idx="20">
                  <c:v>4312.4599999999991</c:v>
                </c:pt>
                <c:pt idx="21">
                  <c:v>576.70000000000005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97-4400-8485-CED880D20029}"/>
            </c:ext>
          </c:extLst>
        </c:ser>
        <c:ser>
          <c:idx val="1"/>
          <c:order val="1"/>
          <c:tx>
            <c:strRef>
              <c:f>Total!$A$38</c:f>
              <c:strCache>
                <c:ptCount val="1"/>
                <c:pt idx="0">
                  <c:v>Sale-Revenue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Total!$B$36:$FR$36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Total!$B$38:$FR$38</c:f>
              <c:numCache>
                <c:formatCode>General</c:formatCode>
                <c:ptCount val="173"/>
                <c:pt idx="0">
                  <c:v>2485.1799999999998</c:v>
                </c:pt>
                <c:pt idx="1">
                  <c:v>2488.59</c:v>
                </c:pt>
                <c:pt idx="2">
                  <c:v>2510.5299999999997</c:v>
                </c:pt>
                <c:pt idx="3">
                  <c:v>2523.0400000000004</c:v>
                </c:pt>
                <c:pt idx="4">
                  <c:v>2542.3700000000003</c:v>
                </c:pt>
                <c:pt idx="5">
                  <c:v>2509.7700000000004</c:v>
                </c:pt>
                <c:pt idx="6">
                  <c:v>2578.9700000000003</c:v>
                </c:pt>
                <c:pt idx="7">
                  <c:v>2617.1</c:v>
                </c:pt>
                <c:pt idx="8">
                  <c:v>2590.8900000000003</c:v>
                </c:pt>
                <c:pt idx="9">
                  <c:v>2751.47</c:v>
                </c:pt>
                <c:pt idx="10">
                  <c:v>2730.17</c:v>
                </c:pt>
                <c:pt idx="11">
                  <c:v>2706.2700000000009</c:v>
                </c:pt>
                <c:pt idx="12">
                  <c:v>2671.9799999999991</c:v>
                </c:pt>
                <c:pt idx="13">
                  <c:v>2674.81</c:v>
                </c:pt>
                <c:pt idx="14">
                  <c:v>2677.6499999999996</c:v>
                </c:pt>
                <c:pt idx="15">
                  <c:v>2696.3799999999997</c:v>
                </c:pt>
                <c:pt idx="16">
                  <c:v>2723.3900000000003</c:v>
                </c:pt>
                <c:pt idx="17">
                  <c:v>2729.02</c:v>
                </c:pt>
                <c:pt idx="18">
                  <c:v>2805.19</c:v>
                </c:pt>
                <c:pt idx="19">
                  <c:v>2968.54</c:v>
                </c:pt>
                <c:pt idx="20">
                  <c:v>2962.33</c:v>
                </c:pt>
                <c:pt idx="21">
                  <c:v>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97-4400-8485-CED880D20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5417904"/>
        <c:axId val="929113200"/>
      </c:lineChart>
      <c:dateAx>
        <c:axId val="1075417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29113200"/>
        <c:crosses val="autoZero"/>
        <c:auto val="1"/>
        <c:lblOffset val="100"/>
        <c:baseTimeUnit val="days"/>
      </c:dateAx>
      <c:valAx>
        <c:axId val="9291132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7541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Invested Cases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Cases!$C$5</c:f>
              <c:strCache>
                <c:ptCount val="1"/>
                <c:pt idx="0">
                  <c:v>Prisma 2</c:v>
                </c:pt>
              </c:strCache>
            </c:strRef>
          </c:tx>
          <c:marker>
            <c:symbol val="none"/>
          </c:marker>
          <c:cat>
            <c:numRef>
              <c:f>Cases!$D$4:$FT$4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Cases!$D$5:$FT$5</c:f>
              <c:numCache>
                <c:formatCode>General</c:formatCode>
                <c:ptCount val="173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0.05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0.05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7.0000000000000007E-2</c:v>
                </c:pt>
                <c:pt idx="19">
                  <c:v>0.08</c:v>
                </c:pt>
                <c:pt idx="20">
                  <c:v>7.0000000000000007E-2</c:v>
                </c:pt>
                <c:pt idx="2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1EA-4D76-86EA-DF0E46244C65}"/>
            </c:ext>
          </c:extLst>
        </c:ser>
        <c:ser>
          <c:idx val="6"/>
          <c:order val="1"/>
          <c:tx>
            <c:strRef>
              <c:f>Cases!$C$6</c:f>
              <c:strCache>
                <c:ptCount val="1"/>
                <c:pt idx="0">
                  <c:v>Danger Zone</c:v>
                </c:pt>
              </c:strCache>
            </c:strRef>
          </c:tx>
          <c:marker>
            <c:symbol val="none"/>
          </c:marker>
          <c:cat>
            <c:numRef>
              <c:f>Cases!$D$4:$FT$4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Cases!$D$6:$FT$6</c:f>
              <c:numCache>
                <c:formatCode>General</c:formatCode>
                <c:ptCount val="173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0.08</c:v>
                </c:pt>
                <c:pt idx="2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1EA-4D76-86EA-DF0E46244C65}"/>
            </c:ext>
          </c:extLst>
        </c:ser>
        <c:ser>
          <c:idx val="7"/>
          <c:order val="2"/>
          <c:tx>
            <c:strRef>
              <c:f>Cases!$C$7</c:f>
              <c:strCache>
                <c:ptCount val="1"/>
                <c:pt idx="0">
                  <c:v>Prisma</c:v>
                </c:pt>
              </c:strCache>
            </c:strRef>
          </c:tx>
          <c:marker>
            <c:symbol val="none"/>
          </c:marker>
          <c:cat>
            <c:numRef>
              <c:f>Cases!$D$4:$FT$4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Cases!$D$7:$FT$7</c:f>
              <c:numCache>
                <c:formatCode>General</c:formatCode>
                <c:ptCount val="173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0.09</c:v>
                </c:pt>
                <c:pt idx="19">
                  <c:v>0.12</c:v>
                </c:pt>
                <c:pt idx="20">
                  <c:v>0.1</c:v>
                </c:pt>
                <c:pt idx="2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1EA-4D76-86EA-DF0E46244C65}"/>
            </c:ext>
          </c:extLst>
        </c:ser>
        <c:ser>
          <c:idx val="8"/>
          <c:order val="3"/>
          <c:tx>
            <c:strRef>
              <c:f>Cases!$C$8</c:f>
              <c:strCache>
                <c:ptCount val="1"/>
                <c:pt idx="0">
                  <c:v>Horizon</c:v>
                </c:pt>
              </c:strCache>
            </c:strRef>
          </c:tx>
          <c:marker>
            <c:symbol val="none"/>
          </c:marker>
          <c:cat>
            <c:numRef>
              <c:f>Cases!$D$4:$FT$4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Cases!$D$8:$FT$8</c:f>
              <c:numCache>
                <c:formatCode>General</c:formatCode>
                <c:ptCount val="173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0.12</c:v>
                </c:pt>
                <c:pt idx="19">
                  <c:v>0.14000000000000001</c:v>
                </c:pt>
                <c:pt idx="20">
                  <c:v>0.11</c:v>
                </c:pt>
                <c:pt idx="21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1EA-4D76-86EA-DF0E46244C65}"/>
            </c:ext>
          </c:extLst>
        </c:ser>
        <c:ser>
          <c:idx val="9"/>
          <c:order val="4"/>
          <c:tx>
            <c:strRef>
              <c:f>Cases!$C$9</c:f>
              <c:strCache>
                <c:ptCount val="1"/>
                <c:pt idx="0">
                  <c:v>CS20</c:v>
                </c:pt>
              </c:strCache>
            </c:strRef>
          </c:tx>
          <c:marker>
            <c:symbol val="none"/>
          </c:marker>
          <c:cat>
            <c:numRef>
              <c:f>Cases!$D$4:$FT$4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Cases!$D$9:$FT$9</c:f>
              <c:numCache>
                <c:formatCode>General</c:formatCode>
                <c:ptCount val="173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0.16</c:v>
                </c:pt>
                <c:pt idx="19">
                  <c:v>0.21</c:v>
                </c:pt>
                <c:pt idx="20">
                  <c:v>0.17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1EA-4D76-86EA-DF0E46244C65}"/>
            </c:ext>
          </c:extLst>
        </c:ser>
        <c:ser>
          <c:idx val="10"/>
          <c:order val="5"/>
          <c:tx>
            <c:strRef>
              <c:f>Cases!$C$10</c:f>
              <c:strCache>
                <c:ptCount val="1"/>
                <c:pt idx="0">
                  <c:v>Fracture</c:v>
                </c:pt>
              </c:strCache>
            </c:strRef>
          </c:tx>
          <c:marker>
            <c:symbol val="none"/>
          </c:marker>
          <c:cat>
            <c:numRef>
              <c:f>Cases!$D$4:$FT$4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Cases!$D$10:$FT$10</c:f>
              <c:numCache>
                <c:formatCode>General</c:formatCode>
                <c:ptCount val="173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0.31</c:v>
                </c:pt>
                <c:pt idx="4">
                  <c:v>0.3</c:v>
                </c:pt>
                <c:pt idx="5">
                  <c:v>0.34</c:v>
                </c:pt>
                <c:pt idx="6">
                  <c:v>0.3</c:v>
                </c:pt>
                <c:pt idx="7">
                  <c:v>0.3</c:v>
                </c:pt>
                <c:pt idx="8">
                  <c:v>0.31</c:v>
                </c:pt>
                <c:pt idx="9">
                  <c:v>0.3</c:v>
                </c:pt>
                <c:pt idx="10">
                  <c:v>0.31</c:v>
                </c:pt>
                <c:pt idx="11">
                  <c:v>0.3</c:v>
                </c:pt>
                <c:pt idx="12">
                  <c:v>0.32</c:v>
                </c:pt>
                <c:pt idx="13">
                  <c:v>0.32</c:v>
                </c:pt>
                <c:pt idx="14">
                  <c:v>0.34</c:v>
                </c:pt>
                <c:pt idx="15">
                  <c:v>0.3</c:v>
                </c:pt>
                <c:pt idx="16">
                  <c:v>0.32</c:v>
                </c:pt>
                <c:pt idx="17">
                  <c:v>0.3</c:v>
                </c:pt>
                <c:pt idx="18">
                  <c:v>0.35</c:v>
                </c:pt>
                <c:pt idx="19">
                  <c:v>0.35</c:v>
                </c:pt>
                <c:pt idx="20">
                  <c:v>0.32</c:v>
                </c:pt>
                <c:pt idx="2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1EA-4D76-86EA-DF0E46244C65}"/>
            </c:ext>
          </c:extLst>
        </c:ser>
        <c:ser>
          <c:idx val="11"/>
          <c:order val="6"/>
          <c:tx>
            <c:strRef>
              <c:f>Cases!$C$11</c:f>
              <c:strCache>
                <c:ptCount val="1"/>
                <c:pt idx="0">
                  <c:v>Clutch</c:v>
                </c:pt>
              </c:strCache>
            </c:strRef>
          </c:tx>
          <c:marker>
            <c:symbol val="none"/>
          </c:marker>
          <c:cat>
            <c:numRef>
              <c:f>Cases!$D$4:$FT$4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Cases!$D$11:$FT$11</c:f>
              <c:numCache>
                <c:formatCode>General</c:formatCode>
                <c:ptCount val="173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0.21</c:v>
                </c:pt>
                <c:pt idx="7">
                  <c:v>0.21</c:v>
                </c:pt>
                <c:pt idx="8">
                  <c:v>0.21</c:v>
                </c:pt>
                <c:pt idx="9">
                  <c:v>0.2</c:v>
                </c:pt>
                <c:pt idx="10">
                  <c:v>0.2</c:v>
                </c:pt>
                <c:pt idx="11">
                  <c:v>0.21</c:v>
                </c:pt>
                <c:pt idx="12">
                  <c:v>0.21</c:v>
                </c:pt>
                <c:pt idx="13">
                  <c:v>0.24</c:v>
                </c:pt>
                <c:pt idx="14">
                  <c:v>0.24</c:v>
                </c:pt>
                <c:pt idx="15">
                  <c:v>0.24</c:v>
                </c:pt>
                <c:pt idx="16">
                  <c:v>0.26</c:v>
                </c:pt>
                <c:pt idx="17">
                  <c:v>0.27</c:v>
                </c:pt>
                <c:pt idx="18">
                  <c:v>0.34</c:v>
                </c:pt>
                <c:pt idx="19">
                  <c:v>0.43</c:v>
                </c:pt>
                <c:pt idx="20">
                  <c:v>0.3</c:v>
                </c:pt>
                <c:pt idx="21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1EA-4D76-86EA-DF0E46244C65}"/>
            </c:ext>
          </c:extLst>
        </c:ser>
        <c:ser>
          <c:idx val="12"/>
          <c:order val="7"/>
          <c:tx>
            <c:strRef>
              <c:f>Cases!$C$12</c:f>
              <c:strCache>
                <c:ptCount val="1"/>
                <c:pt idx="0">
                  <c:v>Spectrum 2</c:v>
                </c:pt>
              </c:strCache>
            </c:strRef>
          </c:tx>
          <c:marker>
            <c:symbol val="none"/>
          </c:marker>
          <c:cat>
            <c:numRef>
              <c:f>Cases!$D$4:$FT$4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Cases!$D$12:$FT$12</c:f>
              <c:numCache>
                <c:formatCode>General</c:formatCode>
                <c:ptCount val="173"/>
                <c:pt idx="0">
                  <c:v>0.17</c:v>
                </c:pt>
                <c:pt idx="1">
                  <c:v>0.17</c:v>
                </c:pt>
                <c:pt idx="2">
                  <c:v>0.19</c:v>
                </c:pt>
                <c:pt idx="3">
                  <c:v>0.19</c:v>
                </c:pt>
                <c:pt idx="4">
                  <c:v>0.17</c:v>
                </c:pt>
                <c:pt idx="5">
                  <c:v>0.18</c:v>
                </c:pt>
                <c:pt idx="6">
                  <c:v>0.18</c:v>
                </c:pt>
                <c:pt idx="7">
                  <c:v>0.17</c:v>
                </c:pt>
                <c:pt idx="8">
                  <c:v>0.17</c:v>
                </c:pt>
                <c:pt idx="9">
                  <c:v>0.18</c:v>
                </c:pt>
                <c:pt idx="10">
                  <c:v>0.18</c:v>
                </c:pt>
                <c:pt idx="11">
                  <c:v>0.19</c:v>
                </c:pt>
                <c:pt idx="12">
                  <c:v>0.2</c:v>
                </c:pt>
                <c:pt idx="13">
                  <c:v>0.21</c:v>
                </c:pt>
                <c:pt idx="14">
                  <c:v>0.21</c:v>
                </c:pt>
                <c:pt idx="15">
                  <c:v>0.24</c:v>
                </c:pt>
                <c:pt idx="16">
                  <c:v>0.24</c:v>
                </c:pt>
                <c:pt idx="17">
                  <c:v>0.23</c:v>
                </c:pt>
                <c:pt idx="18">
                  <c:v>0.34</c:v>
                </c:pt>
                <c:pt idx="19">
                  <c:v>0.39</c:v>
                </c:pt>
                <c:pt idx="20">
                  <c:v>0.34</c:v>
                </c:pt>
                <c:pt idx="21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1EA-4D76-86EA-DF0E46244C65}"/>
            </c:ext>
          </c:extLst>
        </c:ser>
        <c:ser>
          <c:idx val="13"/>
          <c:order val="8"/>
          <c:tx>
            <c:strRef>
              <c:f>Cases!$C$13</c:f>
              <c:strCache>
                <c:ptCount val="1"/>
                <c:pt idx="0">
                  <c:v>Spectrum</c:v>
                </c:pt>
              </c:strCache>
            </c:strRef>
          </c:tx>
          <c:marker>
            <c:symbol val="none"/>
          </c:marker>
          <c:cat>
            <c:numRef>
              <c:f>Cases!$D$4:$FT$4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Cases!$D$13:$FT$13</c:f>
              <c:numCache>
                <c:formatCode>General</c:formatCode>
                <c:ptCount val="173"/>
                <c:pt idx="0">
                  <c:v>0.59</c:v>
                </c:pt>
                <c:pt idx="1">
                  <c:v>0.57999999999999996</c:v>
                </c:pt>
                <c:pt idx="2">
                  <c:v>0.55000000000000004</c:v>
                </c:pt>
                <c:pt idx="3">
                  <c:v>0.53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0.61</c:v>
                </c:pt>
                <c:pt idx="8">
                  <c:v>0.57999999999999996</c:v>
                </c:pt>
                <c:pt idx="9">
                  <c:v>0.61</c:v>
                </c:pt>
                <c:pt idx="10">
                  <c:v>0.57999999999999996</c:v>
                </c:pt>
                <c:pt idx="11">
                  <c:v>0.62</c:v>
                </c:pt>
                <c:pt idx="12">
                  <c:v>0.65</c:v>
                </c:pt>
                <c:pt idx="13">
                  <c:v>0.66</c:v>
                </c:pt>
                <c:pt idx="14">
                  <c:v>0.65</c:v>
                </c:pt>
                <c:pt idx="15">
                  <c:v>0.66</c:v>
                </c:pt>
                <c:pt idx="16">
                  <c:v>0.64</c:v>
                </c:pt>
                <c:pt idx="17">
                  <c:v>0.64</c:v>
                </c:pt>
                <c:pt idx="18">
                  <c:v>0.72</c:v>
                </c:pt>
                <c:pt idx="19">
                  <c:v>0.86</c:v>
                </c:pt>
                <c:pt idx="20">
                  <c:v>0.73</c:v>
                </c:pt>
                <c:pt idx="21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1EA-4D76-86EA-DF0E46244C65}"/>
            </c:ext>
          </c:extLst>
        </c:ser>
        <c:ser>
          <c:idx val="14"/>
          <c:order val="9"/>
          <c:tx>
            <c:strRef>
              <c:f>Cases!$C$14</c:f>
              <c:strCache>
                <c:ptCount val="1"/>
                <c:pt idx="0">
                  <c:v>Shattered Web</c:v>
                </c:pt>
              </c:strCache>
            </c:strRef>
          </c:tx>
          <c:marker>
            <c:symbol val="none"/>
          </c:marker>
          <c:cat>
            <c:numRef>
              <c:f>Cases!$D$4:$FT$4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Cases!$D$14:$FT$14</c:f>
              <c:numCache>
                <c:formatCode>General</c:formatCode>
                <c:ptCount val="173"/>
                <c:pt idx="0">
                  <c:v>1.1200000000000001</c:v>
                </c:pt>
                <c:pt idx="1">
                  <c:v>1.1200000000000001</c:v>
                </c:pt>
                <c:pt idx="2">
                  <c:v>1.2</c:v>
                </c:pt>
                <c:pt idx="3">
                  <c:v>1.24</c:v>
                </c:pt>
                <c:pt idx="4">
                  <c:v>1.21</c:v>
                </c:pt>
                <c:pt idx="5">
                  <c:v>1.26</c:v>
                </c:pt>
                <c:pt idx="6">
                  <c:v>1.27</c:v>
                </c:pt>
                <c:pt idx="7">
                  <c:v>1.31</c:v>
                </c:pt>
                <c:pt idx="8">
                  <c:v>1.53</c:v>
                </c:pt>
                <c:pt idx="9">
                  <c:v>1.45</c:v>
                </c:pt>
                <c:pt idx="10">
                  <c:v>1.51</c:v>
                </c:pt>
                <c:pt idx="11">
                  <c:v>1.49</c:v>
                </c:pt>
                <c:pt idx="12">
                  <c:v>1.41</c:v>
                </c:pt>
                <c:pt idx="13">
                  <c:v>1.39</c:v>
                </c:pt>
                <c:pt idx="14">
                  <c:v>1.31</c:v>
                </c:pt>
                <c:pt idx="15">
                  <c:v>1.34</c:v>
                </c:pt>
                <c:pt idx="16">
                  <c:v>1.31</c:v>
                </c:pt>
                <c:pt idx="17">
                  <c:v>1.35</c:v>
                </c:pt>
                <c:pt idx="18">
                  <c:v>1.35</c:v>
                </c:pt>
                <c:pt idx="19">
                  <c:v>1.35</c:v>
                </c:pt>
                <c:pt idx="20">
                  <c:v>1.46</c:v>
                </c:pt>
                <c:pt idx="21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1EA-4D76-86EA-DF0E46244C65}"/>
            </c:ext>
          </c:extLst>
        </c:ser>
        <c:ser>
          <c:idx val="0"/>
          <c:order val="10"/>
          <c:tx>
            <c:strRef>
              <c:f>Cases!$C$19</c:f>
              <c:strCache>
                <c:ptCount val="1"/>
                <c:pt idx="0">
                  <c:v>Prisma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Cases!$D$18:$FT$18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Cases!$D$19:$FT$19</c:f>
              <c:numCache>
                <c:formatCode>General</c:formatCode>
                <c:ptCount val="173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0.05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0.05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7.0000000000000007E-2</c:v>
                </c:pt>
                <c:pt idx="19">
                  <c:v>0.08</c:v>
                </c:pt>
                <c:pt idx="20">
                  <c:v>7.0000000000000007E-2</c:v>
                </c:pt>
                <c:pt idx="2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EA-4D76-86EA-DF0E46244C65}"/>
            </c:ext>
          </c:extLst>
        </c:ser>
        <c:ser>
          <c:idx val="1"/>
          <c:order val="11"/>
          <c:tx>
            <c:strRef>
              <c:f>Cases!$C$20</c:f>
              <c:strCache>
                <c:ptCount val="1"/>
                <c:pt idx="0">
                  <c:v>Danger Zone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Cases!$D$18:$FT$18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Cases!$D$20:$FT$20</c:f>
              <c:numCache>
                <c:formatCode>General</c:formatCode>
                <c:ptCount val="173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0.08</c:v>
                </c:pt>
                <c:pt idx="2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1EA-4D76-86EA-DF0E46244C65}"/>
            </c:ext>
          </c:extLst>
        </c:ser>
        <c:ser>
          <c:idx val="2"/>
          <c:order val="12"/>
          <c:tx>
            <c:strRef>
              <c:f>Cases!$C$21</c:f>
              <c:strCache>
                <c:ptCount val="1"/>
                <c:pt idx="0">
                  <c:v>Horizon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Cases!$D$18:$FT$18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Cases!$D$21:$FT$21</c:f>
              <c:numCache>
                <c:formatCode>General</c:formatCode>
                <c:ptCount val="173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0.12</c:v>
                </c:pt>
                <c:pt idx="19">
                  <c:v>0.14000000000000001</c:v>
                </c:pt>
                <c:pt idx="20">
                  <c:v>0.11</c:v>
                </c:pt>
                <c:pt idx="21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1EA-4D76-86EA-DF0E46244C65}"/>
            </c:ext>
          </c:extLst>
        </c:ser>
        <c:ser>
          <c:idx val="3"/>
          <c:order val="13"/>
          <c:tx>
            <c:strRef>
              <c:f>Cases!$C$22</c:f>
              <c:strCache>
                <c:ptCount val="1"/>
                <c:pt idx="0">
                  <c:v>CS20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Cases!$D$18:$FT$18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Cases!$D$22:$FT$22</c:f>
              <c:numCache>
                <c:formatCode>General</c:formatCode>
                <c:ptCount val="173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0.16</c:v>
                </c:pt>
                <c:pt idx="19">
                  <c:v>0.21</c:v>
                </c:pt>
                <c:pt idx="20">
                  <c:v>0.17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1EA-4D76-86EA-DF0E46244C65}"/>
            </c:ext>
          </c:extLst>
        </c:ser>
        <c:ser>
          <c:idx val="4"/>
          <c:order val="14"/>
          <c:tx>
            <c:strRef>
              <c:f>Cases!$C$23</c:f>
              <c:strCache>
                <c:ptCount val="1"/>
                <c:pt idx="0">
                  <c:v>Fracture Cases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Cases!$D$18:$FT$18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Cases!$D$23:$FT$23</c:f>
              <c:numCache>
                <c:formatCode>General</c:formatCode>
                <c:ptCount val="173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0.31</c:v>
                </c:pt>
                <c:pt idx="4">
                  <c:v>0.3</c:v>
                </c:pt>
                <c:pt idx="5">
                  <c:v>0.34</c:v>
                </c:pt>
                <c:pt idx="6">
                  <c:v>0.3</c:v>
                </c:pt>
                <c:pt idx="7">
                  <c:v>0.3</c:v>
                </c:pt>
                <c:pt idx="8">
                  <c:v>0.31</c:v>
                </c:pt>
                <c:pt idx="9">
                  <c:v>0.3</c:v>
                </c:pt>
                <c:pt idx="10">
                  <c:v>0.31</c:v>
                </c:pt>
                <c:pt idx="11">
                  <c:v>0.3</c:v>
                </c:pt>
                <c:pt idx="12">
                  <c:v>0.32</c:v>
                </c:pt>
                <c:pt idx="13">
                  <c:v>0.32</c:v>
                </c:pt>
                <c:pt idx="14">
                  <c:v>0.34</c:v>
                </c:pt>
                <c:pt idx="15">
                  <c:v>0.3</c:v>
                </c:pt>
                <c:pt idx="16">
                  <c:v>0.32</c:v>
                </c:pt>
                <c:pt idx="17">
                  <c:v>0.3</c:v>
                </c:pt>
                <c:pt idx="18">
                  <c:v>0.35</c:v>
                </c:pt>
                <c:pt idx="19">
                  <c:v>0.35</c:v>
                </c:pt>
                <c:pt idx="20">
                  <c:v>0.32</c:v>
                </c:pt>
                <c:pt idx="2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1EA-4D76-86EA-DF0E46244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02192"/>
        <c:axId val="1069276736"/>
      </c:lineChart>
      <c:dateAx>
        <c:axId val="9986021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69276736"/>
        <c:crosses val="autoZero"/>
        <c:auto val="1"/>
        <c:lblOffset val="100"/>
        <c:baseTimeUnit val="days"/>
      </c:dateAx>
      <c:valAx>
        <c:axId val="106927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9860219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Invested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Cases!$C$19</c:f>
              <c:strCache>
                <c:ptCount val="1"/>
                <c:pt idx="0">
                  <c:v>Prisma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Cases!$D$18:$FT$18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Cases!$D$19:$FT$19</c:f>
              <c:numCache>
                <c:formatCode>General</c:formatCode>
                <c:ptCount val="173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0.05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0.05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7.0000000000000007E-2</c:v>
                </c:pt>
                <c:pt idx="19">
                  <c:v>0.08</c:v>
                </c:pt>
                <c:pt idx="20">
                  <c:v>7.0000000000000007E-2</c:v>
                </c:pt>
                <c:pt idx="2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F1-48C5-99A4-BBC07B9CD651}"/>
            </c:ext>
          </c:extLst>
        </c:ser>
        <c:ser>
          <c:idx val="1"/>
          <c:order val="1"/>
          <c:tx>
            <c:strRef>
              <c:f>Cases!$C$20</c:f>
              <c:strCache>
                <c:ptCount val="1"/>
                <c:pt idx="0">
                  <c:v>Danger Zone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Cases!$D$18:$FT$18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Cases!$D$20:$FT$20</c:f>
              <c:numCache>
                <c:formatCode>General</c:formatCode>
                <c:ptCount val="173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0.08</c:v>
                </c:pt>
                <c:pt idx="2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F1-48C5-99A4-BBC07B9CD651}"/>
            </c:ext>
          </c:extLst>
        </c:ser>
        <c:ser>
          <c:idx val="2"/>
          <c:order val="2"/>
          <c:tx>
            <c:strRef>
              <c:f>Cases!$C$21</c:f>
              <c:strCache>
                <c:ptCount val="1"/>
                <c:pt idx="0">
                  <c:v>Horizon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Cases!$D$18:$FT$18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Cases!$D$21:$FT$21</c:f>
              <c:numCache>
                <c:formatCode>General</c:formatCode>
                <c:ptCount val="173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0.12</c:v>
                </c:pt>
                <c:pt idx="19">
                  <c:v>0.14000000000000001</c:v>
                </c:pt>
                <c:pt idx="20">
                  <c:v>0.11</c:v>
                </c:pt>
                <c:pt idx="21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F1-48C5-99A4-BBC07B9CD651}"/>
            </c:ext>
          </c:extLst>
        </c:ser>
        <c:ser>
          <c:idx val="3"/>
          <c:order val="3"/>
          <c:tx>
            <c:strRef>
              <c:f>Cases!$C$22</c:f>
              <c:strCache>
                <c:ptCount val="1"/>
                <c:pt idx="0">
                  <c:v>CS20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Cases!$D$18:$FT$18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Cases!$D$22:$FT$22</c:f>
              <c:numCache>
                <c:formatCode>General</c:formatCode>
                <c:ptCount val="173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0.16</c:v>
                </c:pt>
                <c:pt idx="19">
                  <c:v>0.21</c:v>
                </c:pt>
                <c:pt idx="20">
                  <c:v>0.17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F1-48C5-99A4-BBC07B9CD651}"/>
            </c:ext>
          </c:extLst>
        </c:ser>
        <c:ser>
          <c:idx val="4"/>
          <c:order val="4"/>
          <c:tx>
            <c:strRef>
              <c:f>Cases!$C$23</c:f>
              <c:strCache>
                <c:ptCount val="1"/>
                <c:pt idx="0">
                  <c:v>Fracture Cases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Cases!$D$18:$FT$18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Cases!$D$23:$FT$23</c:f>
              <c:numCache>
                <c:formatCode>General</c:formatCode>
                <c:ptCount val="173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0.31</c:v>
                </c:pt>
                <c:pt idx="4">
                  <c:v>0.3</c:v>
                </c:pt>
                <c:pt idx="5">
                  <c:v>0.34</c:v>
                </c:pt>
                <c:pt idx="6">
                  <c:v>0.3</c:v>
                </c:pt>
                <c:pt idx="7">
                  <c:v>0.3</c:v>
                </c:pt>
                <c:pt idx="8">
                  <c:v>0.31</c:v>
                </c:pt>
                <c:pt idx="9">
                  <c:v>0.3</c:v>
                </c:pt>
                <c:pt idx="10">
                  <c:v>0.31</c:v>
                </c:pt>
                <c:pt idx="11">
                  <c:v>0.3</c:v>
                </c:pt>
                <c:pt idx="12">
                  <c:v>0.32</c:v>
                </c:pt>
                <c:pt idx="13">
                  <c:v>0.32</c:v>
                </c:pt>
                <c:pt idx="14">
                  <c:v>0.34</c:v>
                </c:pt>
                <c:pt idx="15">
                  <c:v>0.3</c:v>
                </c:pt>
                <c:pt idx="16">
                  <c:v>0.32</c:v>
                </c:pt>
                <c:pt idx="17">
                  <c:v>0.3</c:v>
                </c:pt>
                <c:pt idx="18">
                  <c:v>0.35</c:v>
                </c:pt>
                <c:pt idx="19">
                  <c:v>0.35</c:v>
                </c:pt>
                <c:pt idx="20">
                  <c:v>0.32</c:v>
                </c:pt>
                <c:pt idx="2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F1-48C5-99A4-BBC07B9CD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02192"/>
        <c:axId val="1069276736"/>
      </c:lineChart>
      <c:dateAx>
        <c:axId val="9986021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69276736"/>
        <c:crosses val="autoZero"/>
        <c:auto val="1"/>
        <c:lblOffset val="100"/>
        <c:baseTimeUnit val="days"/>
      </c:dateAx>
      <c:valAx>
        <c:axId val="106927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9860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Inventory!$A$2:$B$2</c:f>
              <c:strCache>
                <c:ptCount val="2"/>
                <c:pt idx="0">
                  <c:v>M4A4</c:v>
                </c:pt>
                <c:pt idx="1">
                  <c:v>StatTrak Cyber Security 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Inventory!$E$2:$FU$2</c:f>
              <c:numCache>
                <c:formatCode>General</c:formatCode>
                <c:ptCount val="173"/>
                <c:pt idx="0">
                  <c:v>33.21</c:v>
                </c:pt>
                <c:pt idx="1">
                  <c:v>31.65</c:v>
                </c:pt>
                <c:pt idx="2">
                  <c:v>29.18</c:v>
                </c:pt>
                <c:pt idx="3">
                  <c:v>31.74</c:v>
                </c:pt>
                <c:pt idx="4">
                  <c:v>29.35</c:v>
                </c:pt>
                <c:pt idx="5">
                  <c:v>30.3</c:v>
                </c:pt>
                <c:pt idx="6">
                  <c:v>30.75</c:v>
                </c:pt>
                <c:pt idx="7">
                  <c:v>28.8</c:v>
                </c:pt>
                <c:pt idx="8">
                  <c:v>30.22</c:v>
                </c:pt>
                <c:pt idx="9">
                  <c:v>28.81</c:v>
                </c:pt>
                <c:pt idx="10">
                  <c:v>28.69</c:v>
                </c:pt>
                <c:pt idx="11">
                  <c:v>27.92</c:v>
                </c:pt>
                <c:pt idx="12">
                  <c:v>28.87</c:v>
                </c:pt>
                <c:pt idx="13">
                  <c:v>29.99</c:v>
                </c:pt>
                <c:pt idx="14">
                  <c:v>28.9</c:v>
                </c:pt>
                <c:pt idx="15">
                  <c:v>29.12</c:v>
                </c:pt>
                <c:pt idx="16">
                  <c:v>29.62</c:v>
                </c:pt>
                <c:pt idx="17">
                  <c:v>28.55</c:v>
                </c:pt>
                <c:pt idx="18">
                  <c:v>29.16</c:v>
                </c:pt>
                <c:pt idx="19">
                  <c:v>29.07</c:v>
                </c:pt>
                <c:pt idx="20">
                  <c:v>29.04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2B-4D8C-A44C-037A0DAC4CE1}"/>
            </c:ext>
          </c:extLst>
        </c:ser>
        <c:ser>
          <c:idx val="1"/>
          <c:order val="1"/>
          <c:tx>
            <c:strRef>
              <c:f>Inventory!$A$3:$D$3</c:f>
              <c:strCache>
                <c:ptCount val="4"/>
                <c:pt idx="0">
                  <c:v>Sawed-Off</c:v>
                </c:pt>
                <c:pt idx="1">
                  <c:v>Limelight MW</c:v>
                </c:pt>
                <c:pt idx="2">
                  <c:v>Heavy</c:v>
                </c:pt>
                <c:pt idx="3">
                  <c:v>Gamma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Inventory!$E$3:$FU$3</c:f>
              <c:numCache>
                <c:formatCode>General</c:formatCode>
                <c:ptCount val="173"/>
                <c:pt idx="0">
                  <c:v>0.89</c:v>
                </c:pt>
                <c:pt idx="1">
                  <c:v>0.88</c:v>
                </c:pt>
                <c:pt idx="2">
                  <c:v>0.96</c:v>
                </c:pt>
                <c:pt idx="3">
                  <c:v>0.92</c:v>
                </c:pt>
                <c:pt idx="4">
                  <c:v>0.87</c:v>
                </c:pt>
                <c:pt idx="5">
                  <c:v>0.92</c:v>
                </c:pt>
                <c:pt idx="6">
                  <c:v>0.86</c:v>
                </c:pt>
                <c:pt idx="7">
                  <c:v>0.87</c:v>
                </c:pt>
                <c:pt idx="8">
                  <c:v>0.88</c:v>
                </c:pt>
                <c:pt idx="9">
                  <c:v>0.94</c:v>
                </c:pt>
                <c:pt idx="10">
                  <c:v>0.93</c:v>
                </c:pt>
                <c:pt idx="11">
                  <c:v>0.84</c:v>
                </c:pt>
                <c:pt idx="12">
                  <c:v>0.87</c:v>
                </c:pt>
                <c:pt idx="13">
                  <c:v>0.86</c:v>
                </c:pt>
                <c:pt idx="14">
                  <c:v>0.93</c:v>
                </c:pt>
                <c:pt idx="15">
                  <c:v>0.82</c:v>
                </c:pt>
                <c:pt idx="16">
                  <c:v>0.88</c:v>
                </c:pt>
                <c:pt idx="17">
                  <c:v>0.77</c:v>
                </c:pt>
                <c:pt idx="18">
                  <c:v>0.89</c:v>
                </c:pt>
                <c:pt idx="19">
                  <c:v>0.92</c:v>
                </c:pt>
                <c:pt idx="20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2B-4D8C-A44C-037A0DAC4CE1}"/>
            </c:ext>
          </c:extLst>
        </c:ser>
        <c:ser>
          <c:idx val="2"/>
          <c:order val="2"/>
          <c:tx>
            <c:strRef>
              <c:f>Inventory!$A$4:$D$4</c:f>
              <c:strCache>
                <c:ptCount val="4"/>
                <c:pt idx="0">
                  <c:v>MAG-7</c:v>
                </c:pt>
                <c:pt idx="1">
                  <c:v>Popdog FN</c:v>
                </c:pt>
                <c:pt idx="2">
                  <c:v>Heavy</c:v>
                </c:pt>
                <c:pt idx="3">
                  <c:v>CS20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Inventory!$E$4:$FU$4</c:f>
              <c:numCache>
                <c:formatCode>General</c:formatCode>
                <c:ptCount val="173"/>
                <c:pt idx="0">
                  <c:v>0.3</c:v>
                </c:pt>
                <c:pt idx="1">
                  <c:v>0.3</c:v>
                </c:pt>
                <c:pt idx="2">
                  <c:v>0.34</c:v>
                </c:pt>
                <c:pt idx="3">
                  <c:v>0.34</c:v>
                </c:pt>
                <c:pt idx="4">
                  <c:v>0.32</c:v>
                </c:pt>
                <c:pt idx="5">
                  <c:v>0.36</c:v>
                </c:pt>
                <c:pt idx="6">
                  <c:v>0.34</c:v>
                </c:pt>
                <c:pt idx="7">
                  <c:v>0.3</c:v>
                </c:pt>
                <c:pt idx="8">
                  <c:v>0.34</c:v>
                </c:pt>
                <c:pt idx="9">
                  <c:v>0.32</c:v>
                </c:pt>
                <c:pt idx="10">
                  <c:v>0.34</c:v>
                </c:pt>
                <c:pt idx="11">
                  <c:v>0.3</c:v>
                </c:pt>
                <c:pt idx="12">
                  <c:v>0.31</c:v>
                </c:pt>
                <c:pt idx="13">
                  <c:v>0.32</c:v>
                </c:pt>
                <c:pt idx="14">
                  <c:v>0.3</c:v>
                </c:pt>
                <c:pt idx="15">
                  <c:v>0.32</c:v>
                </c:pt>
                <c:pt idx="16">
                  <c:v>0.32</c:v>
                </c:pt>
                <c:pt idx="17">
                  <c:v>0.28999999999999998</c:v>
                </c:pt>
                <c:pt idx="18">
                  <c:v>0.28999999999999998</c:v>
                </c:pt>
                <c:pt idx="19">
                  <c:v>0.28999999999999998</c:v>
                </c:pt>
                <c:pt idx="20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2B-4D8C-A44C-037A0DAC4CE1}"/>
            </c:ext>
          </c:extLst>
        </c:ser>
        <c:ser>
          <c:idx val="3"/>
          <c:order val="3"/>
          <c:tx>
            <c:strRef>
              <c:f>Inventory!$A$5:$D$5</c:f>
              <c:strCache>
                <c:ptCount val="4"/>
                <c:pt idx="0">
                  <c:v>UMP-45</c:v>
                </c:pt>
                <c:pt idx="1">
                  <c:v> Plastique MW</c:v>
                </c:pt>
                <c:pt idx="2">
                  <c:v>SMG</c:v>
                </c:pt>
                <c:pt idx="3">
                  <c:v>CS20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Inventory!$E$5:$FU$5</c:f>
              <c:numCache>
                <c:formatCode>General</c:formatCode>
                <c:ptCount val="173"/>
                <c:pt idx="0">
                  <c:v>0.8</c:v>
                </c:pt>
                <c:pt idx="1">
                  <c:v>0.83</c:v>
                </c:pt>
                <c:pt idx="2">
                  <c:v>0.82</c:v>
                </c:pt>
                <c:pt idx="3">
                  <c:v>0.76</c:v>
                </c:pt>
                <c:pt idx="4">
                  <c:v>0.82</c:v>
                </c:pt>
                <c:pt idx="5">
                  <c:v>0.83</c:v>
                </c:pt>
                <c:pt idx="6">
                  <c:v>0.84</c:v>
                </c:pt>
                <c:pt idx="7">
                  <c:v>0.84</c:v>
                </c:pt>
                <c:pt idx="8">
                  <c:v>0.84</c:v>
                </c:pt>
                <c:pt idx="9">
                  <c:v>0.83</c:v>
                </c:pt>
                <c:pt idx="10">
                  <c:v>0.85</c:v>
                </c:pt>
                <c:pt idx="11">
                  <c:v>0.85</c:v>
                </c:pt>
                <c:pt idx="12">
                  <c:v>0.87</c:v>
                </c:pt>
                <c:pt idx="13">
                  <c:v>0.85</c:v>
                </c:pt>
                <c:pt idx="14">
                  <c:v>0.83</c:v>
                </c:pt>
                <c:pt idx="15">
                  <c:v>0.84</c:v>
                </c:pt>
                <c:pt idx="16">
                  <c:v>0.83</c:v>
                </c:pt>
                <c:pt idx="17">
                  <c:v>0.75</c:v>
                </c:pt>
                <c:pt idx="18">
                  <c:v>0.81</c:v>
                </c:pt>
                <c:pt idx="19">
                  <c:v>0.82</c:v>
                </c:pt>
                <c:pt idx="20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2B-4D8C-A44C-037A0DAC4CE1}"/>
            </c:ext>
          </c:extLst>
        </c:ser>
        <c:ser>
          <c:idx val="4"/>
          <c:order val="4"/>
          <c:tx>
            <c:strRef>
              <c:f>Inventory!$A$6:$D$6</c:f>
              <c:strCache>
                <c:ptCount val="4"/>
                <c:pt idx="0">
                  <c:v>PP-Bizon</c:v>
                </c:pt>
                <c:pt idx="1">
                  <c:v>Fuel Rod FT</c:v>
                </c:pt>
                <c:pt idx="2">
                  <c:v>SMG</c:v>
                </c:pt>
                <c:pt idx="3">
                  <c:v>Revolver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Inventory!$E$6:$FU$6</c:f>
              <c:numCache>
                <c:formatCode>General</c:formatCode>
                <c:ptCount val="173"/>
                <c:pt idx="0">
                  <c:v>1.1000000000000001</c:v>
                </c:pt>
                <c:pt idx="1">
                  <c:v>1.04</c:v>
                </c:pt>
                <c:pt idx="2">
                  <c:v>0.98</c:v>
                </c:pt>
                <c:pt idx="3">
                  <c:v>0.93</c:v>
                </c:pt>
                <c:pt idx="4">
                  <c:v>0.88</c:v>
                </c:pt>
                <c:pt idx="5">
                  <c:v>0.98</c:v>
                </c:pt>
                <c:pt idx="6">
                  <c:v>0.94</c:v>
                </c:pt>
                <c:pt idx="7">
                  <c:v>0.93</c:v>
                </c:pt>
                <c:pt idx="8">
                  <c:v>0.96</c:v>
                </c:pt>
                <c:pt idx="9">
                  <c:v>0.93</c:v>
                </c:pt>
                <c:pt idx="10">
                  <c:v>0.98</c:v>
                </c:pt>
                <c:pt idx="11">
                  <c:v>0.98</c:v>
                </c:pt>
                <c:pt idx="12">
                  <c:v>0.88</c:v>
                </c:pt>
                <c:pt idx="13">
                  <c:v>0.87</c:v>
                </c:pt>
                <c:pt idx="14">
                  <c:v>0.85</c:v>
                </c:pt>
                <c:pt idx="15">
                  <c:v>0.84</c:v>
                </c:pt>
                <c:pt idx="16">
                  <c:v>0.92</c:v>
                </c:pt>
                <c:pt idx="17">
                  <c:v>0.86</c:v>
                </c:pt>
                <c:pt idx="18">
                  <c:v>0.89</c:v>
                </c:pt>
                <c:pt idx="19">
                  <c:v>0.85</c:v>
                </c:pt>
                <c:pt idx="2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2B-4D8C-A44C-037A0DAC4CE1}"/>
            </c:ext>
          </c:extLst>
        </c:ser>
        <c:ser>
          <c:idx val="5"/>
          <c:order val="5"/>
          <c:tx>
            <c:strRef>
              <c:f>Inventory!$A$7:$D$7</c:f>
              <c:strCache>
                <c:ptCount val="4"/>
                <c:pt idx="0">
                  <c:v>MP9</c:v>
                </c:pt>
                <c:pt idx="1">
                  <c:v>Hydra MW</c:v>
                </c:pt>
                <c:pt idx="2">
                  <c:v>SMG</c:v>
                </c:pt>
                <c:pt idx="3">
                  <c:v>CS20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Inventory!$E$7:$FU$7</c:f>
              <c:numCache>
                <c:formatCode>General</c:formatCode>
                <c:ptCount val="173"/>
                <c:pt idx="0">
                  <c:v>6.38</c:v>
                </c:pt>
                <c:pt idx="1">
                  <c:v>5.63</c:v>
                </c:pt>
                <c:pt idx="2">
                  <c:v>5.7</c:v>
                </c:pt>
                <c:pt idx="3">
                  <c:v>5.94</c:v>
                </c:pt>
                <c:pt idx="4">
                  <c:v>5.87</c:v>
                </c:pt>
                <c:pt idx="5">
                  <c:v>6.21</c:v>
                </c:pt>
                <c:pt idx="6">
                  <c:v>5.92</c:v>
                </c:pt>
                <c:pt idx="7">
                  <c:v>6.18</c:v>
                </c:pt>
                <c:pt idx="8">
                  <c:v>5.84</c:v>
                </c:pt>
                <c:pt idx="9">
                  <c:v>5.87</c:v>
                </c:pt>
                <c:pt idx="10">
                  <c:v>6.07</c:v>
                </c:pt>
                <c:pt idx="11">
                  <c:v>5.77</c:v>
                </c:pt>
                <c:pt idx="12">
                  <c:v>5.94</c:v>
                </c:pt>
                <c:pt idx="13">
                  <c:v>5.78</c:v>
                </c:pt>
                <c:pt idx="14">
                  <c:v>6.27</c:v>
                </c:pt>
                <c:pt idx="15">
                  <c:v>6.04</c:v>
                </c:pt>
                <c:pt idx="16">
                  <c:v>6.14</c:v>
                </c:pt>
                <c:pt idx="17">
                  <c:v>5.75</c:v>
                </c:pt>
                <c:pt idx="18">
                  <c:v>5.92</c:v>
                </c:pt>
                <c:pt idx="19">
                  <c:v>5.93</c:v>
                </c:pt>
                <c:pt idx="20">
                  <c:v>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2B-4D8C-A44C-037A0DAC4CE1}"/>
            </c:ext>
          </c:extLst>
        </c:ser>
        <c:ser>
          <c:idx val="6"/>
          <c:order val="6"/>
          <c:tx>
            <c:strRef>
              <c:f>Inventory!$A$8:$D$8</c:f>
              <c:strCache>
                <c:ptCount val="4"/>
                <c:pt idx="0">
                  <c:v>MP7</c:v>
                </c:pt>
                <c:pt idx="1">
                  <c:v>Impire MW</c:v>
                </c:pt>
                <c:pt idx="2">
                  <c:v>SMG</c:v>
                </c:pt>
                <c:pt idx="3">
                  <c:v>Wildfire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Inventory!$E$8:$FU$8</c:f>
              <c:numCache>
                <c:formatCode>General</c:formatCode>
                <c:ptCount val="173"/>
                <c:pt idx="0">
                  <c:v>1.46</c:v>
                </c:pt>
                <c:pt idx="1">
                  <c:v>1.44</c:v>
                </c:pt>
                <c:pt idx="2">
                  <c:v>1.49</c:v>
                </c:pt>
                <c:pt idx="3">
                  <c:v>1.46</c:v>
                </c:pt>
                <c:pt idx="4">
                  <c:v>1.53</c:v>
                </c:pt>
                <c:pt idx="5">
                  <c:v>1.53</c:v>
                </c:pt>
                <c:pt idx="6">
                  <c:v>1.45</c:v>
                </c:pt>
                <c:pt idx="7">
                  <c:v>1.53</c:v>
                </c:pt>
                <c:pt idx="8">
                  <c:v>1.46</c:v>
                </c:pt>
                <c:pt idx="9">
                  <c:v>1.49</c:v>
                </c:pt>
                <c:pt idx="10">
                  <c:v>1.52</c:v>
                </c:pt>
                <c:pt idx="11">
                  <c:v>1.51</c:v>
                </c:pt>
                <c:pt idx="12">
                  <c:v>1.56</c:v>
                </c:pt>
                <c:pt idx="13">
                  <c:v>1.54</c:v>
                </c:pt>
                <c:pt idx="14">
                  <c:v>1.41</c:v>
                </c:pt>
                <c:pt idx="15">
                  <c:v>1.51</c:v>
                </c:pt>
                <c:pt idx="16">
                  <c:v>1.45</c:v>
                </c:pt>
                <c:pt idx="17">
                  <c:v>1.51</c:v>
                </c:pt>
                <c:pt idx="18">
                  <c:v>1.41</c:v>
                </c:pt>
                <c:pt idx="19">
                  <c:v>1.46</c:v>
                </c:pt>
                <c:pt idx="20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2B-4D8C-A44C-037A0DAC4CE1}"/>
            </c:ext>
          </c:extLst>
        </c:ser>
        <c:ser>
          <c:idx val="7"/>
          <c:order val="7"/>
          <c:tx>
            <c:strRef>
              <c:f>Inventory!$A$9:$D$9</c:f>
              <c:strCache>
                <c:ptCount val="4"/>
                <c:pt idx="0">
                  <c:v>MAC-10</c:v>
                </c:pt>
                <c:pt idx="1">
                  <c:v>Malachite MW</c:v>
                </c:pt>
                <c:pt idx="2">
                  <c:v>SMG</c:v>
                </c:pt>
                <c:pt idx="3">
                  <c:v>Chroma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Inventory!$E$9:$FU$9</c:f>
              <c:numCache>
                <c:formatCode>General</c:formatCode>
                <c:ptCount val="173"/>
                <c:pt idx="0">
                  <c:v>1.5</c:v>
                </c:pt>
                <c:pt idx="1">
                  <c:v>1.45</c:v>
                </c:pt>
                <c:pt idx="2">
                  <c:v>1.4</c:v>
                </c:pt>
                <c:pt idx="3">
                  <c:v>1.39</c:v>
                </c:pt>
                <c:pt idx="4">
                  <c:v>1.51</c:v>
                </c:pt>
                <c:pt idx="5">
                  <c:v>1.54</c:v>
                </c:pt>
                <c:pt idx="6">
                  <c:v>1.46</c:v>
                </c:pt>
                <c:pt idx="7">
                  <c:v>1.55</c:v>
                </c:pt>
                <c:pt idx="8">
                  <c:v>1.55</c:v>
                </c:pt>
                <c:pt idx="9">
                  <c:v>1.51</c:v>
                </c:pt>
                <c:pt idx="10">
                  <c:v>1.49</c:v>
                </c:pt>
                <c:pt idx="11">
                  <c:v>1.5</c:v>
                </c:pt>
                <c:pt idx="12">
                  <c:v>1.51</c:v>
                </c:pt>
                <c:pt idx="13">
                  <c:v>1.54</c:v>
                </c:pt>
                <c:pt idx="14">
                  <c:v>1.54</c:v>
                </c:pt>
                <c:pt idx="15">
                  <c:v>1.55</c:v>
                </c:pt>
                <c:pt idx="16">
                  <c:v>1.56</c:v>
                </c:pt>
                <c:pt idx="17">
                  <c:v>1.52</c:v>
                </c:pt>
                <c:pt idx="18">
                  <c:v>1.46</c:v>
                </c:pt>
                <c:pt idx="19">
                  <c:v>1.51</c:v>
                </c:pt>
                <c:pt idx="20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2B-4D8C-A44C-037A0DAC4CE1}"/>
            </c:ext>
          </c:extLst>
        </c:ser>
        <c:ser>
          <c:idx val="8"/>
          <c:order val="8"/>
          <c:tx>
            <c:strRef>
              <c:f>Inventory!$A$10:$D$10</c:f>
              <c:strCache>
                <c:ptCount val="4"/>
                <c:pt idx="0">
                  <c:v>SSG 08</c:v>
                </c:pt>
                <c:pt idx="1">
                  <c:v>Necropos MW</c:v>
                </c:pt>
                <c:pt idx="2">
                  <c:v>Other Rifle</c:v>
                </c:pt>
                <c:pt idx="3">
                  <c:v>Wildfire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Inventory!$E$10:$FU$10</c:f>
              <c:numCache>
                <c:formatCode>General</c:formatCode>
                <c:ptCount val="173"/>
                <c:pt idx="6">
                  <c:v>0.34</c:v>
                </c:pt>
                <c:pt idx="7">
                  <c:v>0.3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0.31</c:v>
                </c:pt>
                <c:pt idx="12">
                  <c:v>0.3</c:v>
                </c:pt>
                <c:pt idx="13">
                  <c:v>0.32</c:v>
                </c:pt>
                <c:pt idx="14">
                  <c:v>0.31</c:v>
                </c:pt>
                <c:pt idx="15">
                  <c:v>0.31</c:v>
                </c:pt>
                <c:pt idx="16">
                  <c:v>0.31</c:v>
                </c:pt>
                <c:pt idx="17">
                  <c:v>0.31</c:v>
                </c:pt>
                <c:pt idx="18">
                  <c:v>0.28999999999999998</c:v>
                </c:pt>
                <c:pt idx="19">
                  <c:v>0.3</c:v>
                </c:pt>
                <c:pt idx="20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2B-4D8C-A44C-037A0DAC4CE1}"/>
            </c:ext>
          </c:extLst>
        </c:ser>
        <c:ser>
          <c:idx val="9"/>
          <c:order val="9"/>
          <c:tx>
            <c:strRef>
              <c:f>Inventory!$A$11:$D$11</c:f>
              <c:strCache>
                <c:ptCount val="4"/>
                <c:pt idx="0">
                  <c:v>SG 553</c:v>
                </c:pt>
                <c:pt idx="1">
                  <c:v>Atlas FN</c:v>
                </c:pt>
                <c:pt idx="2">
                  <c:v>Other Rifle</c:v>
                </c:pt>
                <c:pt idx="3">
                  <c:v>Chroma 3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Inventory!$E$11:$FU$11</c:f>
              <c:numCache>
                <c:formatCode>General</c:formatCode>
                <c:ptCount val="173"/>
                <c:pt idx="6">
                  <c:v>0.32</c:v>
                </c:pt>
                <c:pt idx="7">
                  <c:v>0.34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  <c:pt idx="12">
                  <c:v>0.3</c:v>
                </c:pt>
                <c:pt idx="13">
                  <c:v>0.31</c:v>
                </c:pt>
                <c:pt idx="14">
                  <c:v>0.28999999999999998</c:v>
                </c:pt>
                <c:pt idx="15">
                  <c:v>0.28999999999999998</c:v>
                </c:pt>
                <c:pt idx="16">
                  <c:v>0.28000000000000003</c:v>
                </c:pt>
                <c:pt idx="17">
                  <c:v>0.3</c:v>
                </c:pt>
                <c:pt idx="18">
                  <c:v>0.28999999999999998</c:v>
                </c:pt>
                <c:pt idx="19">
                  <c:v>0.28000000000000003</c:v>
                </c:pt>
                <c:pt idx="20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F2B-4D8C-A44C-037A0DAC4CE1}"/>
            </c:ext>
          </c:extLst>
        </c:ser>
        <c:ser>
          <c:idx val="10"/>
          <c:order val="10"/>
          <c:tx>
            <c:strRef>
              <c:f>Inventory!$A$12:$D$12</c:f>
              <c:strCache>
                <c:ptCount val="4"/>
                <c:pt idx="0">
                  <c:v>SCAR-20</c:v>
                </c:pt>
                <c:pt idx="1">
                  <c:v>Powercore MW</c:v>
                </c:pt>
                <c:pt idx="2">
                  <c:v>Other Rifle</c:v>
                </c:pt>
                <c:pt idx="3">
                  <c:v>Gamma 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Inventory!$E$12:$FU$12</c:f>
              <c:numCache>
                <c:formatCode>General</c:formatCode>
                <c:ptCount val="173"/>
                <c:pt idx="6">
                  <c:v>0.5</c:v>
                </c:pt>
                <c:pt idx="7">
                  <c:v>0.49</c:v>
                </c:pt>
                <c:pt idx="8">
                  <c:v>0.5</c:v>
                </c:pt>
                <c:pt idx="9">
                  <c:v>0.46</c:v>
                </c:pt>
                <c:pt idx="10">
                  <c:v>0.47</c:v>
                </c:pt>
                <c:pt idx="11">
                  <c:v>0.47</c:v>
                </c:pt>
                <c:pt idx="12">
                  <c:v>0.5</c:v>
                </c:pt>
                <c:pt idx="13">
                  <c:v>0.51</c:v>
                </c:pt>
                <c:pt idx="14">
                  <c:v>0.47</c:v>
                </c:pt>
                <c:pt idx="15">
                  <c:v>0.46</c:v>
                </c:pt>
                <c:pt idx="16">
                  <c:v>0.49</c:v>
                </c:pt>
                <c:pt idx="17">
                  <c:v>0.5</c:v>
                </c:pt>
                <c:pt idx="18">
                  <c:v>0.49</c:v>
                </c:pt>
                <c:pt idx="19">
                  <c:v>0.47</c:v>
                </c:pt>
                <c:pt idx="20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2B-4D8C-A44C-037A0DAC4CE1}"/>
            </c:ext>
          </c:extLst>
        </c:ser>
        <c:ser>
          <c:idx val="11"/>
          <c:order val="11"/>
          <c:tx>
            <c:strRef>
              <c:f>Inventory!$A$13:$D$13</c:f>
              <c:strCache>
                <c:ptCount val="4"/>
                <c:pt idx="0">
                  <c:v>M4A1-S</c:v>
                </c:pt>
                <c:pt idx="1">
                  <c:v>Flashback FN</c:v>
                </c:pt>
                <c:pt idx="2">
                  <c:v>M4A1-S</c:v>
                </c:pt>
                <c:pt idx="3">
                  <c:v>Glove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Inventory!$E$13:$FU$13</c:f>
              <c:numCache>
                <c:formatCode>General</c:formatCode>
                <c:ptCount val="173"/>
                <c:pt idx="0">
                  <c:v>2.92</c:v>
                </c:pt>
                <c:pt idx="1">
                  <c:v>3.01</c:v>
                </c:pt>
                <c:pt idx="2">
                  <c:v>2.89</c:v>
                </c:pt>
                <c:pt idx="3">
                  <c:v>2.81</c:v>
                </c:pt>
                <c:pt idx="4">
                  <c:v>2.82</c:v>
                </c:pt>
                <c:pt idx="5">
                  <c:v>2.91</c:v>
                </c:pt>
                <c:pt idx="6">
                  <c:v>2.84</c:v>
                </c:pt>
                <c:pt idx="7">
                  <c:v>2.78</c:v>
                </c:pt>
                <c:pt idx="8">
                  <c:v>2.71</c:v>
                </c:pt>
                <c:pt idx="9">
                  <c:v>2.68</c:v>
                </c:pt>
                <c:pt idx="10">
                  <c:v>2.81</c:v>
                </c:pt>
                <c:pt idx="11">
                  <c:v>2.54</c:v>
                </c:pt>
                <c:pt idx="12">
                  <c:v>2.64</c:v>
                </c:pt>
                <c:pt idx="13">
                  <c:v>2.77</c:v>
                </c:pt>
                <c:pt idx="14">
                  <c:v>2.5</c:v>
                </c:pt>
                <c:pt idx="15">
                  <c:v>2.5299999999999998</c:v>
                </c:pt>
                <c:pt idx="16">
                  <c:v>2.4500000000000002</c:v>
                </c:pt>
                <c:pt idx="17">
                  <c:v>2.5</c:v>
                </c:pt>
                <c:pt idx="18">
                  <c:v>2.4500000000000002</c:v>
                </c:pt>
                <c:pt idx="19">
                  <c:v>2.4700000000000002</c:v>
                </c:pt>
                <c:pt idx="20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F2B-4D8C-A44C-037A0DAC4CE1}"/>
            </c:ext>
          </c:extLst>
        </c:ser>
        <c:ser>
          <c:idx val="12"/>
          <c:order val="12"/>
          <c:tx>
            <c:strRef>
              <c:f>Inventory!$A$14:$D$14</c:f>
              <c:strCache>
                <c:ptCount val="4"/>
                <c:pt idx="0">
                  <c:v>Galil AR</c:v>
                </c:pt>
                <c:pt idx="1">
                  <c:v>Eco FT</c:v>
                </c:pt>
                <c:pt idx="2">
                  <c:v>Other Rifle</c:v>
                </c:pt>
                <c:pt idx="3">
                  <c:v>Chroma 2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Inventory!$E$14:$FU$14</c:f>
              <c:numCache>
                <c:formatCode>General</c:formatCode>
                <c:ptCount val="173"/>
                <c:pt idx="6">
                  <c:v>3.82</c:v>
                </c:pt>
                <c:pt idx="7">
                  <c:v>3.83</c:v>
                </c:pt>
                <c:pt idx="8">
                  <c:v>3.77</c:v>
                </c:pt>
                <c:pt idx="9">
                  <c:v>3.72</c:v>
                </c:pt>
                <c:pt idx="10">
                  <c:v>3.69</c:v>
                </c:pt>
                <c:pt idx="11">
                  <c:v>3.68</c:v>
                </c:pt>
                <c:pt idx="12">
                  <c:v>3.68</c:v>
                </c:pt>
                <c:pt idx="13">
                  <c:v>3.74</c:v>
                </c:pt>
                <c:pt idx="14">
                  <c:v>3.73</c:v>
                </c:pt>
                <c:pt idx="15">
                  <c:v>3.64</c:v>
                </c:pt>
                <c:pt idx="16">
                  <c:v>3.61</c:v>
                </c:pt>
                <c:pt idx="17">
                  <c:v>3.63</c:v>
                </c:pt>
                <c:pt idx="18">
                  <c:v>3.53</c:v>
                </c:pt>
                <c:pt idx="19">
                  <c:v>3.58</c:v>
                </c:pt>
                <c:pt idx="20">
                  <c:v>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2B-4D8C-A44C-037A0DAC4CE1}"/>
            </c:ext>
          </c:extLst>
        </c:ser>
        <c:ser>
          <c:idx val="13"/>
          <c:order val="13"/>
          <c:tx>
            <c:strRef>
              <c:f>Inventory!$A$15:$D$15</c:f>
              <c:strCache>
                <c:ptCount val="4"/>
                <c:pt idx="0">
                  <c:v>FAMAS</c:v>
                </c:pt>
                <c:pt idx="1">
                  <c:v>Macabre MW</c:v>
                </c:pt>
                <c:pt idx="2">
                  <c:v>Other Rifle</c:v>
                </c:pt>
                <c:pt idx="3">
                  <c:v>Hydra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Inventory!$E$15:$FU$15</c:f>
              <c:numCache>
                <c:formatCode>General</c:formatCode>
                <c:ptCount val="173"/>
                <c:pt idx="6">
                  <c:v>1.26</c:v>
                </c:pt>
                <c:pt idx="7">
                  <c:v>1.27</c:v>
                </c:pt>
                <c:pt idx="8">
                  <c:v>1.26</c:v>
                </c:pt>
                <c:pt idx="9">
                  <c:v>1.24</c:v>
                </c:pt>
                <c:pt idx="10">
                  <c:v>1.26</c:v>
                </c:pt>
                <c:pt idx="11">
                  <c:v>1.26</c:v>
                </c:pt>
                <c:pt idx="12">
                  <c:v>1.26</c:v>
                </c:pt>
                <c:pt idx="13">
                  <c:v>1.3</c:v>
                </c:pt>
                <c:pt idx="14">
                  <c:v>1.33</c:v>
                </c:pt>
                <c:pt idx="15">
                  <c:v>1.43</c:v>
                </c:pt>
                <c:pt idx="16">
                  <c:v>1.43</c:v>
                </c:pt>
                <c:pt idx="17">
                  <c:v>1.39</c:v>
                </c:pt>
                <c:pt idx="18">
                  <c:v>1.43</c:v>
                </c:pt>
                <c:pt idx="19">
                  <c:v>1.46</c:v>
                </c:pt>
                <c:pt idx="20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F2B-4D8C-A44C-037A0DAC4CE1}"/>
            </c:ext>
          </c:extLst>
        </c:ser>
        <c:ser>
          <c:idx val="14"/>
          <c:order val="14"/>
          <c:tx>
            <c:strRef>
              <c:f>Inventory!$A$16:$D$16</c:f>
              <c:strCache>
                <c:ptCount val="4"/>
                <c:pt idx="0">
                  <c:v>USP-S</c:v>
                </c:pt>
                <c:pt idx="1">
                  <c:v>Flashback MW</c:v>
                </c:pt>
                <c:pt idx="2">
                  <c:v>Pistol</c:v>
                </c:pt>
                <c:pt idx="3">
                  <c:v>Danger Zone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Inventory!$E$16:$FU$16</c:f>
              <c:numCache>
                <c:formatCode>General</c:formatCode>
                <c:ptCount val="173"/>
                <c:pt idx="0">
                  <c:v>0.92</c:v>
                </c:pt>
                <c:pt idx="1">
                  <c:v>0.85</c:v>
                </c:pt>
                <c:pt idx="2">
                  <c:v>0.87</c:v>
                </c:pt>
                <c:pt idx="3">
                  <c:v>0.93</c:v>
                </c:pt>
                <c:pt idx="4">
                  <c:v>0.92</c:v>
                </c:pt>
                <c:pt idx="5">
                  <c:v>0.93</c:v>
                </c:pt>
                <c:pt idx="6">
                  <c:v>0.86</c:v>
                </c:pt>
                <c:pt idx="7">
                  <c:v>0.97</c:v>
                </c:pt>
                <c:pt idx="8">
                  <c:v>0.85</c:v>
                </c:pt>
                <c:pt idx="9">
                  <c:v>0.94</c:v>
                </c:pt>
                <c:pt idx="10">
                  <c:v>0.93</c:v>
                </c:pt>
                <c:pt idx="11">
                  <c:v>0.84</c:v>
                </c:pt>
                <c:pt idx="12">
                  <c:v>0.86</c:v>
                </c:pt>
                <c:pt idx="13">
                  <c:v>0.86</c:v>
                </c:pt>
                <c:pt idx="14">
                  <c:v>0.88</c:v>
                </c:pt>
                <c:pt idx="15">
                  <c:v>0.88</c:v>
                </c:pt>
                <c:pt idx="16">
                  <c:v>0.87</c:v>
                </c:pt>
                <c:pt idx="17">
                  <c:v>0.88</c:v>
                </c:pt>
                <c:pt idx="18">
                  <c:v>0.85</c:v>
                </c:pt>
                <c:pt idx="19">
                  <c:v>0.86</c:v>
                </c:pt>
                <c:pt idx="2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F2B-4D8C-A44C-037A0DAC4CE1}"/>
            </c:ext>
          </c:extLst>
        </c:ser>
        <c:ser>
          <c:idx val="15"/>
          <c:order val="15"/>
          <c:tx>
            <c:strRef>
              <c:f>Inventory!$A$17:$D$17</c:f>
              <c:strCache>
                <c:ptCount val="4"/>
                <c:pt idx="0">
                  <c:v>Glock-18</c:v>
                </c:pt>
                <c:pt idx="1">
                  <c:v>Nuclear Garden FT</c:v>
                </c:pt>
                <c:pt idx="2">
                  <c:v>Pistol</c:v>
                </c:pt>
                <c:pt idx="3">
                  <c:v>2018 Nuke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Inventory!$E$17:$FU$17</c:f>
              <c:numCache>
                <c:formatCode>General</c:formatCode>
                <c:ptCount val="173"/>
                <c:pt idx="0">
                  <c:v>4.6399999999999997</c:v>
                </c:pt>
                <c:pt idx="1">
                  <c:v>4.57</c:v>
                </c:pt>
                <c:pt idx="2">
                  <c:v>4.4400000000000004</c:v>
                </c:pt>
                <c:pt idx="3">
                  <c:v>4.05</c:v>
                </c:pt>
                <c:pt idx="4">
                  <c:v>4.3</c:v>
                </c:pt>
                <c:pt idx="5">
                  <c:v>4.1900000000000004</c:v>
                </c:pt>
                <c:pt idx="6">
                  <c:v>4.6500000000000004</c:v>
                </c:pt>
                <c:pt idx="7">
                  <c:v>4.22</c:v>
                </c:pt>
                <c:pt idx="8">
                  <c:v>4.38</c:v>
                </c:pt>
                <c:pt idx="9">
                  <c:v>4.42</c:v>
                </c:pt>
                <c:pt idx="10">
                  <c:v>4.26</c:v>
                </c:pt>
                <c:pt idx="11">
                  <c:v>4.3099999999999996</c:v>
                </c:pt>
                <c:pt idx="12">
                  <c:v>4.22</c:v>
                </c:pt>
                <c:pt idx="13">
                  <c:v>4.29</c:v>
                </c:pt>
                <c:pt idx="14">
                  <c:v>4.33</c:v>
                </c:pt>
                <c:pt idx="15">
                  <c:v>4.34</c:v>
                </c:pt>
                <c:pt idx="16">
                  <c:v>4.29</c:v>
                </c:pt>
                <c:pt idx="17">
                  <c:v>4.34</c:v>
                </c:pt>
                <c:pt idx="18">
                  <c:v>4.0999999999999996</c:v>
                </c:pt>
                <c:pt idx="19">
                  <c:v>4.22</c:v>
                </c:pt>
                <c:pt idx="20">
                  <c:v>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F2B-4D8C-A44C-037A0DAC4CE1}"/>
            </c:ext>
          </c:extLst>
        </c:ser>
        <c:ser>
          <c:idx val="16"/>
          <c:order val="16"/>
          <c:tx>
            <c:strRef>
              <c:f>Inventory!$A$18:$D$18</c:f>
              <c:strCache>
                <c:ptCount val="4"/>
                <c:pt idx="0">
                  <c:v>Five-SeveN</c:v>
                </c:pt>
                <c:pt idx="1">
                  <c:v>Hot Shot MW</c:v>
                </c:pt>
                <c:pt idx="2">
                  <c:v>Pistol</c:v>
                </c:pt>
                <c:pt idx="3">
                  <c:v>Cache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Inventory!$E$18:$FU$18</c:f>
              <c:numCache>
                <c:formatCode>General</c:formatCode>
                <c:ptCount val="173"/>
                <c:pt idx="0">
                  <c:v>0.73</c:v>
                </c:pt>
                <c:pt idx="1">
                  <c:v>0.73</c:v>
                </c:pt>
                <c:pt idx="2">
                  <c:v>0.74</c:v>
                </c:pt>
                <c:pt idx="3">
                  <c:v>0.82</c:v>
                </c:pt>
                <c:pt idx="4">
                  <c:v>0.82</c:v>
                </c:pt>
                <c:pt idx="5">
                  <c:v>0.82</c:v>
                </c:pt>
                <c:pt idx="6">
                  <c:v>0.81</c:v>
                </c:pt>
                <c:pt idx="7">
                  <c:v>0.8</c:v>
                </c:pt>
                <c:pt idx="8">
                  <c:v>0.82</c:v>
                </c:pt>
                <c:pt idx="9">
                  <c:v>0.81</c:v>
                </c:pt>
                <c:pt idx="10">
                  <c:v>0.82</c:v>
                </c:pt>
                <c:pt idx="11">
                  <c:v>0.82</c:v>
                </c:pt>
                <c:pt idx="12">
                  <c:v>0.82</c:v>
                </c:pt>
                <c:pt idx="13">
                  <c:v>0.81</c:v>
                </c:pt>
                <c:pt idx="14">
                  <c:v>0.84</c:v>
                </c:pt>
                <c:pt idx="15">
                  <c:v>0.78</c:v>
                </c:pt>
                <c:pt idx="16">
                  <c:v>0.85</c:v>
                </c:pt>
                <c:pt idx="17">
                  <c:v>0.81</c:v>
                </c:pt>
                <c:pt idx="18">
                  <c:v>0.84</c:v>
                </c:pt>
                <c:pt idx="19">
                  <c:v>0.84</c:v>
                </c:pt>
                <c:pt idx="2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F2B-4D8C-A44C-037A0DAC4CE1}"/>
            </c:ext>
          </c:extLst>
        </c:ser>
        <c:ser>
          <c:idx val="17"/>
          <c:order val="17"/>
          <c:tx>
            <c:strRef>
              <c:f>Inventory!$A$19:$D$19</c:f>
              <c:strCache>
                <c:ptCount val="4"/>
                <c:pt idx="0">
                  <c:v>Dual Berettas</c:v>
                </c:pt>
                <c:pt idx="1">
                  <c:v>Emerald FN</c:v>
                </c:pt>
                <c:pt idx="2">
                  <c:v>Pistol</c:v>
                </c:pt>
                <c:pt idx="3">
                  <c:v>Canals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Inventory!$E$19:$FU$19</c:f>
              <c:numCache>
                <c:formatCode>General</c:formatCode>
                <c:ptCount val="173"/>
                <c:pt idx="0">
                  <c:v>11.4</c:v>
                </c:pt>
                <c:pt idx="1">
                  <c:v>11.35</c:v>
                </c:pt>
                <c:pt idx="2">
                  <c:v>11.04</c:v>
                </c:pt>
                <c:pt idx="3">
                  <c:v>12.32</c:v>
                </c:pt>
                <c:pt idx="4">
                  <c:v>12.32</c:v>
                </c:pt>
                <c:pt idx="5">
                  <c:v>12.34</c:v>
                </c:pt>
                <c:pt idx="6">
                  <c:v>14.23</c:v>
                </c:pt>
                <c:pt idx="7">
                  <c:v>18.350000000000001</c:v>
                </c:pt>
                <c:pt idx="8">
                  <c:v>19.45</c:v>
                </c:pt>
                <c:pt idx="9">
                  <c:v>25.73</c:v>
                </c:pt>
                <c:pt idx="10">
                  <c:v>30.27</c:v>
                </c:pt>
                <c:pt idx="11">
                  <c:v>24.72</c:v>
                </c:pt>
                <c:pt idx="12">
                  <c:v>29.14</c:v>
                </c:pt>
                <c:pt idx="13">
                  <c:v>26.94</c:v>
                </c:pt>
                <c:pt idx="14">
                  <c:v>26.19</c:v>
                </c:pt>
                <c:pt idx="15">
                  <c:v>26.24</c:v>
                </c:pt>
                <c:pt idx="16">
                  <c:v>26.29</c:v>
                </c:pt>
                <c:pt idx="17">
                  <c:v>36.42</c:v>
                </c:pt>
                <c:pt idx="18">
                  <c:v>38.909999999999997</c:v>
                </c:pt>
                <c:pt idx="19">
                  <c:v>42.79</c:v>
                </c:pt>
                <c:pt idx="20">
                  <c:v>40.04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F2B-4D8C-A44C-037A0DAC4CE1}"/>
            </c:ext>
          </c:extLst>
        </c:ser>
        <c:ser>
          <c:idx val="18"/>
          <c:order val="18"/>
          <c:tx>
            <c:strRef>
              <c:f>Inventory!$A$20:$D$20</c:f>
              <c:strCache>
                <c:ptCount val="4"/>
                <c:pt idx="0">
                  <c:v>Desert Eagle</c:v>
                </c:pt>
                <c:pt idx="1">
                  <c:v>Midnight Storm MW</c:v>
                </c:pt>
                <c:pt idx="2">
                  <c:v>Pistol</c:v>
                </c:pt>
                <c:pt idx="3">
                  <c:v>Rising Sun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Inventory!$E$20:$FU$20</c:f>
              <c:numCache>
                <c:formatCode>General</c:formatCode>
                <c:ptCount val="173"/>
                <c:pt idx="0">
                  <c:v>9.14</c:v>
                </c:pt>
                <c:pt idx="1">
                  <c:v>9.0399999999999991</c:v>
                </c:pt>
                <c:pt idx="2">
                  <c:v>8.65</c:v>
                </c:pt>
                <c:pt idx="3">
                  <c:v>9.56</c:v>
                </c:pt>
                <c:pt idx="4">
                  <c:v>9.01</c:v>
                </c:pt>
                <c:pt idx="5">
                  <c:v>10.08</c:v>
                </c:pt>
                <c:pt idx="6">
                  <c:v>9.1</c:v>
                </c:pt>
                <c:pt idx="7">
                  <c:v>9.6</c:v>
                </c:pt>
                <c:pt idx="8">
                  <c:v>9.58</c:v>
                </c:pt>
                <c:pt idx="9">
                  <c:v>9.48</c:v>
                </c:pt>
                <c:pt idx="10">
                  <c:v>11.35</c:v>
                </c:pt>
                <c:pt idx="11">
                  <c:v>12.34</c:v>
                </c:pt>
                <c:pt idx="12">
                  <c:v>12.21</c:v>
                </c:pt>
                <c:pt idx="13">
                  <c:v>11.98</c:v>
                </c:pt>
                <c:pt idx="14">
                  <c:v>12.07</c:v>
                </c:pt>
                <c:pt idx="15">
                  <c:v>11.78</c:v>
                </c:pt>
                <c:pt idx="16">
                  <c:v>12.2</c:v>
                </c:pt>
                <c:pt idx="17">
                  <c:v>12.1</c:v>
                </c:pt>
                <c:pt idx="18">
                  <c:v>13.7</c:v>
                </c:pt>
                <c:pt idx="19">
                  <c:v>13.34</c:v>
                </c:pt>
                <c:pt idx="20">
                  <c:v>13.35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F2B-4D8C-A44C-037A0DAC4CE1}"/>
            </c:ext>
          </c:extLst>
        </c:ser>
        <c:ser>
          <c:idx val="19"/>
          <c:order val="19"/>
          <c:tx>
            <c:strRef>
              <c:f>Inventory!$A$21:$D$21</c:f>
              <c:strCache>
                <c:ptCount val="4"/>
                <c:pt idx="0">
                  <c:v>Bayonet</c:v>
                </c:pt>
                <c:pt idx="1">
                  <c:v>Rust Coat BS</c:v>
                </c:pt>
                <c:pt idx="2">
                  <c:v>Knife</c:v>
                </c:pt>
                <c:pt idx="3">
                  <c:v>Chroma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Inventory!$E$21:$FU$21</c:f>
              <c:numCache>
                <c:formatCode>General</c:formatCode>
                <c:ptCount val="173"/>
                <c:pt idx="0">
                  <c:v>196.27</c:v>
                </c:pt>
                <c:pt idx="1">
                  <c:v>201.82</c:v>
                </c:pt>
                <c:pt idx="2">
                  <c:v>197</c:v>
                </c:pt>
                <c:pt idx="3">
                  <c:v>196.88</c:v>
                </c:pt>
                <c:pt idx="4">
                  <c:v>207.18</c:v>
                </c:pt>
                <c:pt idx="5">
                  <c:v>209.46</c:v>
                </c:pt>
                <c:pt idx="6">
                  <c:v>201.89</c:v>
                </c:pt>
                <c:pt idx="7">
                  <c:v>202.48</c:v>
                </c:pt>
                <c:pt idx="8">
                  <c:v>196.23</c:v>
                </c:pt>
                <c:pt idx="9">
                  <c:v>204.01</c:v>
                </c:pt>
                <c:pt idx="10">
                  <c:v>206.61</c:v>
                </c:pt>
                <c:pt idx="11">
                  <c:v>209.15</c:v>
                </c:pt>
                <c:pt idx="12">
                  <c:v>207.58</c:v>
                </c:pt>
                <c:pt idx="13">
                  <c:v>207.32</c:v>
                </c:pt>
                <c:pt idx="14">
                  <c:v>202.17</c:v>
                </c:pt>
                <c:pt idx="15">
                  <c:v>201.3</c:v>
                </c:pt>
                <c:pt idx="16">
                  <c:v>201.79</c:v>
                </c:pt>
                <c:pt idx="17">
                  <c:v>203.29</c:v>
                </c:pt>
                <c:pt idx="18">
                  <c:v>201.2</c:v>
                </c:pt>
                <c:pt idx="19">
                  <c:v>207</c:v>
                </c:pt>
                <c:pt idx="20">
                  <c:v>207.01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F2B-4D8C-A44C-037A0DAC4CE1}"/>
            </c:ext>
          </c:extLst>
        </c:ser>
        <c:ser>
          <c:idx val="20"/>
          <c:order val="20"/>
          <c:tx>
            <c:strRef>
              <c:f>Inventory!$A$22:$D$22</c:f>
              <c:strCache>
                <c:ptCount val="4"/>
                <c:pt idx="0">
                  <c:v>R8 Revolver</c:v>
                </c:pt>
                <c:pt idx="1">
                  <c:v>Canal Spray FT</c:v>
                </c:pt>
                <c:pt idx="2">
                  <c:v>Pistol</c:v>
                </c:pt>
                <c:pt idx="3">
                  <c:v>Canals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Inventory!$E$22:$FU$22</c:f>
              <c:numCache>
                <c:formatCode>General</c:formatCode>
                <c:ptCount val="173"/>
                <c:pt idx="0">
                  <c:v>0.41</c:v>
                </c:pt>
                <c:pt idx="1">
                  <c:v>0.43</c:v>
                </c:pt>
                <c:pt idx="2">
                  <c:v>0.41</c:v>
                </c:pt>
                <c:pt idx="3">
                  <c:v>0.41</c:v>
                </c:pt>
                <c:pt idx="4">
                  <c:v>0.46</c:v>
                </c:pt>
                <c:pt idx="5">
                  <c:v>0.49</c:v>
                </c:pt>
                <c:pt idx="6">
                  <c:v>0.53</c:v>
                </c:pt>
                <c:pt idx="7">
                  <c:v>0.54</c:v>
                </c:pt>
                <c:pt idx="8">
                  <c:v>0.6</c:v>
                </c:pt>
                <c:pt idx="9">
                  <c:v>0.6</c:v>
                </c:pt>
                <c:pt idx="10">
                  <c:v>0.81</c:v>
                </c:pt>
                <c:pt idx="11">
                  <c:v>0.78</c:v>
                </c:pt>
                <c:pt idx="12">
                  <c:v>0.71</c:v>
                </c:pt>
                <c:pt idx="13">
                  <c:v>0.65</c:v>
                </c:pt>
                <c:pt idx="14">
                  <c:v>0.61</c:v>
                </c:pt>
                <c:pt idx="15">
                  <c:v>0.56999999999999995</c:v>
                </c:pt>
                <c:pt idx="16">
                  <c:v>0.55000000000000004</c:v>
                </c:pt>
                <c:pt idx="17">
                  <c:v>0.62</c:v>
                </c:pt>
                <c:pt idx="18">
                  <c:v>0.64</c:v>
                </c:pt>
                <c:pt idx="19">
                  <c:v>0.73</c:v>
                </c:pt>
                <c:pt idx="20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F2B-4D8C-A44C-037A0DAC4CE1}"/>
            </c:ext>
          </c:extLst>
        </c:ser>
        <c:ser>
          <c:idx val="21"/>
          <c:order val="21"/>
          <c:tx>
            <c:strRef>
              <c:f>Inventory!$A$23:$D$23</c:f>
              <c:strCache>
                <c:ptCount val="4"/>
                <c:pt idx="0">
                  <c:v>FAMAS</c:v>
                </c:pt>
                <c:pt idx="1">
                  <c:v>Night Borre FT</c:v>
                </c:pt>
                <c:pt idx="2">
                  <c:v>Other Rifle</c:v>
                </c:pt>
                <c:pt idx="3">
                  <c:v>Norse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Inventory!$E$23:$FU$23</c:f>
              <c:numCache>
                <c:formatCode>General</c:formatCode>
                <c:ptCount val="173"/>
                <c:pt idx="6">
                  <c:v>1.0900000000000001</c:v>
                </c:pt>
                <c:pt idx="7">
                  <c:v>1.35</c:v>
                </c:pt>
                <c:pt idx="8">
                  <c:v>1.28</c:v>
                </c:pt>
                <c:pt idx="9">
                  <c:v>1.58</c:v>
                </c:pt>
                <c:pt idx="10">
                  <c:v>1.67</c:v>
                </c:pt>
                <c:pt idx="11">
                  <c:v>1.58</c:v>
                </c:pt>
                <c:pt idx="12">
                  <c:v>1.53</c:v>
                </c:pt>
                <c:pt idx="13">
                  <c:v>1.47</c:v>
                </c:pt>
                <c:pt idx="14">
                  <c:v>1.38</c:v>
                </c:pt>
                <c:pt idx="15">
                  <c:v>1.4</c:v>
                </c:pt>
                <c:pt idx="16">
                  <c:v>1.26</c:v>
                </c:pt>
                <c:pt idx="17">
                  <c:v>1.49</c:v>
                </c:pt>
                <c:pt idx="18">
                  <c:v>1.52</c:v>
                </c:pt>
                <c:pt idx="19">
                  <c:v>1.56</c:v>
                </c:pt>
                <c:pt idx="20">
                  <c:v>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F2B-4D8C-A44C-037A0DAC4CE1}"/>
            </c:ext>
          </c:extLst>
        </c:ser>
        <c:ser>
          <c:idx val="22"/>
          <c:order val="22"/>
          <c:tx>
            <c:strRef>
              <c:f>Inventory!$A$24:$D$24</c:f>
              <c:strCache>
                <c:ptCount val="4"/>
                <c:pt idx="0">
                  <c:v>MP5-SD</c:v>
                </c:pt>
                <c:pt idx="1">
                  <c:v>Bamboo Garden MW</c:v>
                </c:pt>
                <c:pt idx="2">
                  <c:v>SMG</c:v>
                </c:pt>
                <c:pt idx="3">
                  <c:v>St. Marc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Inventory!$E$24:$FU$24</c:f>
              <c:numCache>
                <c:formatCode>General</c:formatCode>
                <c:ptCount val="173"/>
                <c:pt idx="0">
                  <c:v>0.52</c:v>
                </c:pt>
                <c:pt idx="1">
                  <c:v>0.48</c:v>
                </c:pt>
                <c:pt idx="2">
                  <c:v>0.54</c:v>
                </c:pt>
                <c:pt idx="3">
                  <c:v>0.55000000000000004</c:v>
                </c:pt>
                <c:pt idx="4">
                  <c:v>0.53</c:v>
                </c:pt>
                <c:pt idx="5">
                  <c:v>0.61</c:v>
                </c:pt>
                <c:pt idx="6">
                  <c:v>0.76</c:v>
                </c:pt>
                <c:pt idx="7">
                  <c:v>0.78</c:v>
                </c:pt>
                <c:pt idx="8">
                  <c:v>0.83</c:v>
                </c:pt>
                <c:pt idx="9">
                  <c:v>1.06</c:v>
                </c:pt>
                <c:pt idx="10">
                  <c:v>1.29</c:v>
                </c:pt>
                <c:pt idx="11">
                  <c:v>1.21</c:v>
                </c:pt>
                <c:pt idx="12">
                  <c:v>1.0900000000000001</c:v>
                </c:pt>
                <c:pt idx="13">
                  <c:v>1.04</c:v>
                </c:pt>
                <c:pt idx="14">
                  <c:v>0.98</c:v>
                </c:pt>
                <c:pt idx="15">
                  <c:v>0.93</c:v>
                </c:pt>
                <c:pt idx="16">
                  <c:v>1.01</c:v>
                </c:pt>
                <c:pt idx="17">
                  <c:v>1.08</c:v>
                </c:pt>
                <c:pt idx="18">
                  <c:v>1.23</c:v>
                </c:pt>
                <c:pt idx="19">
                  <c:v>1.41</c:v>
                </c:pt>
                <c:pt idx="20">
                  <c:v>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F2B-4D8C-A44C-037A0DAC4CE1}"/>
            </c:ext>
          </c:extLst>
        </c:ser>
        <c:ser>
          <c:idx val="23"/>
          <c:order val="23"/>
          <c:tx>
            <c:strRef>
              <c:f>Inventory!$A$25:$D$25</c:f>
              <c:strCache>
                <c:ptCount val="4"/>
                <c:pt idx="0">
                  <c:v>Galil AR</c:v>
                </c:pt>
                <c:pt idx="1">
                  <c:v>Tornado BS</c:v>
                </c:pt>
                <c:pt idx="2">
                  <c:v>Other Rifle</c:v>
                </c:pt>
                <c:pt idx="3">
                  <c:v>Norse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Inventory!$E$25:$FU$25</c:f>
              <c:numCache>
                <c:formatCode>General</c:formatCode>
                <c:ptCount val="173"/>
                <c:pt idx="6">
                  <c:v>1.1000000000000001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1.52</c:v>
                </c:pt>
                <c:pt idx="10">
                  <c:v>1.61</c:v>
                </c:pt>
                <c:pt idx="11">
                  <c:v>1.41</c:v>
                </c:pt>
                <c:pt idx="12">
                  <c:v>1.45</c:v>
                </c:pt>
                <c:pt idx="13">
                  <c:v>1.42</c:v>
                </c:pt>
                <c:pt idx="14">
                  <c:v>1.46</c:v>
                </c:pt>
                <c:pt idx="15">
                  <c:v>1.46</c:v>
                </c:pt>
                <c:pt idx="16">
                  <c:v>1.44</c:v>
                </c:pt>
                <c:pt idx="17">
                  <c:v>1.41</c:v>
                </c:pt>
                <c:pt idx="18">
                  <c:v>1.42</c:v>
                </c:pt>
                <c:pt idx="19">
                  <c:v>1.44</c:v>
                </c:pt>
                <c:pt idx="20">
                  <c:v>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F2B-4D8C-A44C-037A0DAC4CE1}"/>
            </c:ext>
          </c:extLst>
        </c:ser>
        <c:ser>
          <c:idx val="24"/>
          <c:order val="24"/>
          <c:tx>
            <c:strRef>
              <c:f>Inventory!$A$26:$D$26</c:f>
              <c:strCache>
                <c:ptCount val="4"/>
                <c:pt idx="0">
                  <c:v>MAC-10</c:v>
                </c:pt>
                <c:pt idx="1">
                  <c:v>StatTrak Neon Rider MW</c:v>
                </c:pt>
                <c:pt idx="2">
                  <c:v>SMG</c:v>
                </c:pt>
                <c:pt idx="3">
                  <c:v>Chroma 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Inventory!$E$26:$FU$26</c:f>
              <c:numCache>
                <c:formatCode>General</c:formatCode>
                <c:ptCount val="173"/>
                <c:pt idx="0">
                  <c:v>22.48</c:v>
                </c:pt>
                <c:pt idx="1">
                  <c:v>23.47</c:v>
                </c:pt>
                <c:pt idx="2">
                  <c:v>20.71</c:v>
                </c:pt>
                <c:pt idx="3">
                  <c:v>19.8</c:v>
                </c:pt>
                <c:pt idx="4">
                  <c:v>21.98</c:v>
                </c:pt>
                <c:pt idx="5">
                  <c:v>23.47</c:v>
                </c:pt>
                <c:pt idx="6">
                  <c:v>23.57</c:v>
                </c:pt>
                <c:pt idx="7">
                  <c:v>22.65</c:v>
                </c:pt>
                <c:pt idx="8">
                  <c:v>23.03</c:v>
                </c:pt>
                <c:pt idx="9">
                  <c:v>23.07</c:v>
                </c:pt>
                <c:pt idx="10">
                  <c:v>22.67</c:v>
                </c:pt>
                <c:pt idx="11">
                  <c:v>22.71</c:v>
                </c:pt>
                <c:pt idx="12">
                  <c:v>21.96</c:v>
                </c:pt>
                <c:pt idx="13">
                  <c:v>21.29</c:v>
                </c:pt>
                <c:pt idx="14">
                  <c:v>22.8</c:v>
                </c:pt>
                <c:pt idx="15">
                  <c:v>22.7</c:v>
                </c:pt>
                <c:pt idx="16">
                  <c:v>22.81</c:v>
                </c:pt>
                <c:pt idx="17">
                  <c:v>22.88</c:v>
                </c:pt>
                <c:pt idx="18">
                  <c:v>21.67</c:v>
                </c:pt>
                <c:pt idx="19">
                  <c:v>22.85</c:v>
                </c:pt>
                <c:pt idx="20">
                  <c:v>21.98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F2B-4D8C-A44C-037A0DAC4CE1}"/>
            </c:ext>
          </c:extLst>
        </c:ser>
        <c:ser>
          <c:idx val="25"/>
          <c:order val="25"/>
          <c:tx>
            <c:strRef>
              <c:f>Inventory!$A$27:$D$27</c:f>
              <c:strCache>
                <c:ptCount val="4"/>
                <c:pt idx="0">
                  <c:v>AWP</c:v>
                </c:pt>
                <c:pt idx="1">
                  <c:v>Atheris MW</c:v>
                </c:pt>
                <c:pt idx="2">
                  <c:v>AWP</c:v>
                </c:pt>
                <c:pt idx="3">
                  <c:v>Prisma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Inventory!$E$27:$FU$27</c:f>
              <c:numCache>
                <c:formatCode>General</c:formatCode>
                <c:ptCount val="173"/>
                <c:pt idx="0">
                  <c:v>4.3099999999999996</c:v>
                </c:pt>
                <c:pt idx="1">
                  <c:v>4.54</c:v>
                </c:pt>
                <c:pt idx="2">
                  <c:v>4.37</c:v>
                </c:pt>
                <c:pt idx="3">
                  <c:v>4.41</c:v>
                </c:pt>
                <c:pt idx="4">
                  <c:v>4.16</c:v>
                </c:pt>
                <c:pt idx="5">
                  <c:v>4.4000000000000004</c:v>
                </c:pt>
                <c:pt idx="6">
                  <c:v>4.7300000000000004</c:v>
                </c:pt>
                <c:pt idx="7">
                  <c:v>4.6900000000000004</c:v>
                </c:pt>
                <c:pt idx="8">
                  <c:v>4.54</c:v>
                </c:pt>
                <c:pt idx="9">
                  <c:v>4.53</c:v>
                </c:pt>
                <c:pt idx="10">
                  <c:v>4.55</c:v>
                </c:pt>
                <c:pt idx="11">
                  <c:v>4.22</c:v>
                </c:pt>
                <c:pt idx="12">
                  <c:v>4.3899999999999997</c:v>
                </c:pt>
                <c:pt idx="13">
                  <c:v>4.2300000000000004</c:v>
                </c:pt>
                <c:pt idx="14">
                  <c:v>4.0599999999999996</c:v>
                </c:pt>
                <c:pt idx="15">
                  <c:v>4.2300000000000004</c:v>
                </c:pt>
                <c:pt idx="16">
                  <c:v>4.62</c:v>
                </c:pt>
                <c:pt idx="17">
                  <c:v>4.07</c:v>
                </c:pt>
                <c:pt idx="18">
                  <c:v>4.3</c:v>
                </c:pt>
                <c:pt idx="19">
                  <c:v>4.2300000000000004</c:v>
                </c:pt>
                <c:pt idx="20">
                  <c:v>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F2B-4D8C-A44C-037A0DAC4CE1}"/>
            </c:ext>
          </c:extLst>
        </c:ser>
        <c:ser>
          <c:idx val="26"/>
          <c:order val="26"/>
          <c:tx>
            <c:strRef>
              <c:f>Inventory!$A$28:$D$28</c:f>
              <c:strCache>
                <c:ptCount val="4"/>
                <c:pt idx="0">
                  <c:v>Five-SeveN</c:v>
                </c:pt>
                <c:pt idx="1">
                  <c:v>StatTrak Buddy MW</c:v>
                </c:pt>
                <c:pt idx="2">
                  <c:v>Pistol</c:v>
                </c:pt>
                <c:pt idx="3">
                  <c:v>CS20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Inventory!$E$28:$FU$28</c:f>
              <c:numCache>
                <c:formatCode>General</c:formatCode>
                <c:ptCount val="173"/>
                <c:pt idx="0">
                  <c:v>2.2599999999999998</c:v>
                </c:pt>
                <c:pt idx="1">
                  <c:v>2.1</c:v>
                </c:pt>
                <c:pt idx="2">
                  <c:v>2.2000000000000002</c:v>
                </c:pt>
                <c:pt idx="3">
                  <c:v>2.25</c:v>
                </c:pt>
                <c:pt idx="4">
                  <c:v>2.11</c:v>
                </c:pt>
                <c:pt idx="5">
                  <c:v>2.21</c:v>
                </c:pt>
                <c:pt idx="6">
                  <c:v>2.16</c:v>
                </c:pt>
                <c:pt idx="7">
                  <c:v>2.2200000000000002</c:v>
                </c:pt>
                <c:pt idx="8">
                  <c:v>2.27</c:v>
                </c:pt>
                <c:pt idx="9">
                  <c:v>2.31</c:v>
                </c:pt>
                <c:pt idx="10">
                  <c:v>2.2200000000000002</c:v>
                </c:pt>
                <c:pt idx="11">
                  <c:v>2.2400000000000002</c:v>
                </c:pt>
                <c:pt idx="12">
                  <c:v>2.14</c:v>
                </c:pt>
                <c:pt idx="13">
                  <c:v>2.1</c:v>
                </c:pt>
                <c:pt idx="14">
                  <c:v>1.97</c:v>
                </c:pt>
                <c:pt idx="15">
                  <c:v>2.09</c:v>
                </c:pt>
                <c:pt idx="16">
                  <c:v>2.09</c:v>
                </c:pt>
                <c:pt idx="17">
                  <c:v>2.23</c:v>
                </c:pt>
                <c:pt idx="18">
                  <c:v>2.19</c:v>
                </c:pt>
                <c:pt idx="19">
                  <c:v>2.14</c:v>
                </c:pt>
                <c:pt idx="20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F2B-4D8C-A44C-037A0DAC4CE1}"/>
            </c:ext>
          </c:extLst>
        </c:ser>
        <c:ser>
          <c:idx val="27"/>
          <c:order val="27"/>
          <c:tx>
            <c:strRef>
              <c:f>Inventory!$A$29:$D$29</c:f>
              <c:strCache>
                <c:ptCount val="4"/>
                <c:pt idx="0">
                  <c:v>AWP</c:v>
                </c:pt>
                <c:pt idx="1">
                  <c:v>Neo-Noir FN</c:v>
                </c:pt>
                <c:pt idx="2">
                  <c:v>AWP</c:v>
                </c:pt>
                <c:pt idx="3">
                  <c:v>Danger Zone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Inventory!$E$29:$FU$29</c:f>
              <c:numCache>
                <c:formatCode>General</c:formatCode>
                <c:ptCount val="173"/>
                <c:pt idx="0">
                  <c:v>47</c:v>
                </c:pt>
                <c:pt idx="1">
                  <c:v>45.93</c:v>
                </c:pt>
                <c:pt idx="2">
                  <c:v>44.54</c:v>
                </c:pt>
                <c:pt idx="3">
                  <c:v>45.51</c:v>
                </c:pt>
                <c:pt idx="4">
                  <c:v>46.05</c:v>
                </c:pt>
                <c:pt idx="5">
                  <c:v>46.08</c:v>
                </c:pt>
                <c:pt idx="6">
                  <c:v>46.57</c:v>
                </c:pt>
                <c:pt idx="7">
                  <c:v>47.69</c:v>
                </c:pt>
                <c:pt idx="8">
                  <c:v>44.11</c:v>
                </c:pt>
                <c:pt idx="9">
                  <c:v>44.01</c:v>
                </c:pt>
                <c:pt idx="10">
                  <c:v>45.22</c:v>
                </c:pt>
                <c:pt idx="11">
                  <c:v>46.55</c:v>
                </c:pt>
                <c:pt idx="12">
                  <c:v>46.98</c:v>
                </c:pt>
                <c:pt idx="13">
                  <c:v>43.94</c:v>
                </c:pt>
                <c:pt idx="14">
                  <c:v>46.39</c:v>
                </c:pt>
                <c:pt idx="15">
                  <c:v>46.37</c:v>
                </c:pt>
                <c:pt idx="16">
                  <c:v>47.84</c:v>
                </c:pt>
                <c:pt idx="17">
                  <c:v>44.88</c:v>
                </c:pt>
                <c:pt idx="18">
                  <c:v>48.07</c:v>
                </c:pt>
                <c:pt idx="19">
                  <c:v>48.33</c:v>
                </c:pt>
                <c:pt idx="20">
                  <c:v>47.69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F2B-4D8C-A44C-037A0DAC4CE1}"/>
            </c:ext>
          </c:extLst>
        </c:ser>
        <c:ser>
          <c:idx val="28"/>
          <c:order val="28"/>
          <c:tx>
            <c:strRef>
              <c:f>Inventory!$A$30:$D$30</c:f>
              <c:strCache>
                <c:ptCount val="4"/>
                <c:pt idx="0">
                  <c:v>M4A1-S</c:v>
                </c:pt>
                <c:pt idx="1">
                  <c:v>StatTrak Cyrex MW</c:v>
                </c:pt>
                <c:pt idx="2">
                  <c:v>M4A1-S</c:v>
                </c:pt>
                <c:pt idx="3">
                  <c:v>Breakout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Inventory!$E$30:$FU$30</c:f>
              <c:numCache>
                <c:formatCode>General</c:formatCode>
                <c:ptCount val="173"/>
                <c:pt idx="0">
                  <c:v>36.200000000000003</c:v>
                </c:pt>
                <c:pt idx="1">
                  <c:v>34.799999999999997</c:v>
                </c:pt>
                <c:pt idx="2">
                  <c:v>33.229999999999997</c:v>
                </c:pt>
                <c:pt idx="3">
                  <c:v>33.31</c:v>
                </c:pt>
                <c:pt idx="4">
                  <c:v>34.51</c:v>
                </c:pt>
                <c:pt idx="5">
                  <c:v>33.049999999999997</c:v>
                </c:pt>
                <c:pt idx="6">
                  <c:v>31.31</c:v>
                </c:pt>
                <c:pt idx="7">
                  <c:v>33.380000000000003</c:v>
                </c:pt>
                <c:pt idx="8">
                  <c:v>33.380000000000003</c:v>
                </c:pt>
                <c:pt idx="9">
                  <c:v>33.01</c:v>
                </c:pt>
                <c:pt idx="10">
                  <c:v>30.97</c:v>
                </c:pt>
                <c:pt idx="11">
                  <c:v>34.409999999999997</c:v>
                </c:pt>
                <c:pt idx="12">
                  <c:v>34.11</c:v>
                </c:pt>
                <c:pt idx="13">
                  <c:v>41.12</c:v>
                </c:pt>
                <c:pt idx="14">
                  <c:v>36.270000000000003</c:v>
                </c:pt>
                <c:pt idx="15">
                  <c:v>35.090000000000003</c:v>
                </c:pt>
                <c:pt idx="16">
                  <c:v>35.93</c:v>
                </c:pt>
                <c:pt idx="17">
                  <c:v>33.97</c:v>
                </c:pt>
                <c:pt idx="18">
                  <c:v>35.33</c:v>
                </c:pt>
                <c:pt idx="19">
                  <c:v>32.56</c:v>
                </c:pt>
                <c:pt idx="20">
                  <c:v>31.05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F2B-4D8C-A44C-037A0DAC4CE1}"/>
            </c:ext>
          </c:extLst>
        </c:ser>
        <c:ser>
          <c:idx val="29"/>
          <c:order val="29"/>
          <c:tx>
            <c:strRef>
              <c:f>Inventory!$A$31:$D$31</c:f>
              <c:strCache>
                <c:ptCount val="4"/>
                <c:pt idx="0">
                  <c:v>Glock-18</c:v>
                </c:pt>
                <c:pt idx="1">
                  <c:v>StatTrak Weasel FT</c:v>
                </c:pt>
                <c:pt idx="2">
                  <c:v>Pistol</c:v>
                </c:pt>
                <c:pt idx="3">
                  <c:v>Gamma 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Inventory!$E$31:$FU$31</c:f>
              <c:numCache>
                <c:formatCode>General</c:formatCode>
                <c:ptCount val="173"/>
                <c:pt idx="0">
                  <c:v>1.86</c:v>
                </c:pt>
                <c:pt idx="1">
                  <c:v>1.84</c:v>
                </c:pt>
                <c:pt idx="2">
                  <c:v>1.65</c:v>
                </c:pt>
                <c:pt idx="3">
                  <c:v>1.79</c:v>
                </c:pt>
                <c:pt idx="4">
                  <c:v>1.79</c:v>
                </c:pt>
                <c:pt idx="5">
                  <c:v>1.8</c:v>
                </c:pt>
                <c:pt idx="6">
                  <c:v>1.72</c:v>
                </c:pt>
                <c:pt idx="7">
                  <c:v>1.75</c:v>
                </c:pt>
                <c:pt idx="8">
                  <c:v>1.64</c:v>
                </c:pt>
                <c:pt idx="9">
                  <c:v>1.75</c:v>
                </c:pt>
                <c:pt idx="10">
                  <c:v>1.67</c:v>
                </c:pt>
                <c:pt idx="11">
                  <c:v>1.65</c:v>
                </c:pt>
                <c:pt idx="12">
                  <c:v>1.64</c:v>
                </c:pt>
                <c:pt idx="13">
                  <c:v>1.55</c:v>
                </c:pt>
                <c:pt idx="14">
                  <c:v>1.63</c:v>
                </c:pt>
                <c:pt idx="15">
                  <c:v>1.64</c:v>
                </c:pt>
                <c:pt idx="16">
                  <c:v>1.54</c:v>
                </c:pt>
                <c:pt idx="17">
                  <c:v>1.62</c:v>
                </c:pt>
                <c:pt idx="18">
                  <c:v>1.63</c:v>
                </c:pt>
                <c:pt idx="19">
                  <c:v>1.47</c:v>
                </c:pt>
                <c:pt idx="20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F2B-4D8C-A44C-037A0DAC4CE1}"/>
            </c:ext>
          </c:extLst>
        </c:ser>
        <c:ser>
          <c:idx val="30"/>
          <c:order val="30"/>
          <c:tx>
            <c:strRef>
              <c:f>Inventory!$A$32:$D$32</c:f>
              <c:strCache>
                <c:ptCount val="4"/>
                <c:pt idx="0">
                  <c:v>Desert Eagle</c:v>
                </c:pt>
                <c:pt idx="1">
                  <c:v>Code Red MW</c:v>
                </c:pt>
                <c:pt idx="2">
                  <c:v>Pistol</c:v>
                </c:pt>
                <c:pt idx="3">
                  <c:v>Horizon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Inventory!$E$32:$FU$32</c:f>
              <c:numCache>
                <c:formatCode>General</c:formatCode>
                <c:ptCount val="173"/>
                <c:pt idx="0">
                  <c:v>42.81</c:v>
                </c:pt>
                <c:pt idx="1">
                  <c:v>40.6</c:v>
                </c:pt>
                <c:pt idx="2">
                  <c:v>40.6</c:v>
                </c:pt>
                <c:pt idx="3">
                  <c:v>43.52</c:v>
                </c:pt>
                <c:pt idx="4">
                  <c:v>41.78</c:v>
                </c:pt>
                <c:pt idx="5">
                  <c:v>40.51</c:v>
                </c:pt>
                <c:pt idx="6">
                  <c:v>42.18</c:v>
                </c:pt>
                <c:pt idx="7">
                  <c:v>43.36</c:v>
                </c:pt>
                <c:pt idx="8">
                  <c:v>43.28</c:v>
                </c:pt>
                <c:pt idx="9">
                  <c:v>42.82</c:v>
                </c:pt>
                <c:pt idx="10">
                  <c:v>40.64</c:v>
                </c:pt>
                <c:pt idx="11">
                  <c:v>41.72</c:v>
                </c:pt>
                <c:pt idx="12">
                  <c:v>39.479999999999997</c:v>
                </c:pt>
                <c:pt idx="13">
                  <c:v>40.479999999999997</c:v>
                </c:pt>
                <c:pt idx="14">
                  <c:v>40.97</c:v>
                </c:pt>
                <c:pt idx="15">
                  <c:v>39.799999999999997</c:v>
                </c:pt>
                <c:pt idx="16">
                  <c:v>43.95</c:v>
                </c:pt>
                <c:pt idx="17">
                  <c:v>44.02</c:v>
                </c:pt>
                <c:pt idx="18">
                  <c:v>40.28</c:v>
                </c:pt>
                <c:pt idx="19">
                  <c:v>42</c:v>
                </c:pt>
                <c:pt idx="20">
                  <c:v>43.82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F2B-4D8C-A44C-037A0DAC4CE1}"/>
            </c:ext>
          </c:extLst>
        </c:ser>
        <c:ser>
          <c:idx val="31"/>
          <c:order val="31"/>
          <c:tx>
            <c:strRef>
              <c:f>Inventory!$A$33:$D$33</c:f>
              <c:strCache>
                <c:ptCount val="4"/>
                <c:pt idx="0">
                  <c:v>XM1014</c:v>
                </c:pt>
                <c:pt idx="1">
                  <c:v>Souvenir VariCamo Blue FN</c:v>
                </c:pt>
                <c:pt idx="2">
                  <c:v>Heavy</c:v>
                </c:pt>
                <c:pt idx="3">
                  <c:v>Overpass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Inventory!$E$33:$FU$33</c:f>
              <c:numCache>
                <c:formatCode>General</c:formatCode>
                <c:ptCount val="173"/>
                <c:pt idx="0">
                  <c:v>3.61</c:v>
                </c:pt>
                <c:pt idx="1">
                  <c:v>3.49</c:v>
                </c:pt>
                <c:pt idx="2">
                  <c:v>3.47</c:v>
                </c:pt>
                <c:pt idx="3">
                  <c:v>3.92</c:v>
                </c:pt>
                <c:pt idx="4">
                  <c:v>3.58</c:v>
                </c:pt>
                <c:pt idx="5">
                  <c:v>3.49</c:v>
                </c:pt>
                <c:pt idx="6">
                  <c:v>3.49</c:v>
                </c:pt>
                <c:pt idx="7">
                  <c:v>3.49</c:v>
                </c:pt>
                <c:pt idx="8">
                  <c:v>3.05</c:v>
                </c:pt>
                <c:pt idx="9">
                  <c:v>3.46</c:v>
                </c:pt>
                <c:pt idx="10">
                  <c:v>3.46</c:v>
                </c:pt>
                <c:pt idx="11">
                  <c:v>4.21</c:v>
                </c:pt>
                <c:pt idx="12">
                  <c:v>3.94</c:v>
                </c:pt>
                <c:pt idx="13">
                  <c:v>3.62</c:v>
                </c:pt>
                <c:pt idx="14">
                  <c:v>3.86</c:v>
                </c:pt>
                <c:pt idx="15">
                  <c:v>3.8</c:v>
                </c:pt>
                <c:pt idx="16">
                  <c:v>3.8</c:v>
                </c:pt>
                <c:pt idx="17">
                  <c:v>3.72</c:v>
                </c:pt>
                <c:pt idx="18">
                  <c:v>3.1</c:v>
                </c:pt>
                <c:pt idx="19">
                  <c:v>3.06</c:v>
                </c:pt>
                <c:pt idx="20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F2B-4D8C-A44C-037A0DAC4CE1}"/>
            </c:ext>
          </c:extLst>
        </c:ser>
        <c:ser>
          <c:idx val="32"/>
          <c:order val="32"/>
          <c:tx>
            <c:strRef>
              <c:f>Inventory!$A$34:$D$34</c:f>
              <c:strCache>
                <c:ptCount val="4"/>
                <c:pt idx="0">
                  <c:v>UMP-45</c:v>
                </c:pt>
                <c:pt idx="1">
                  <c:v>Momentum FN</c:v>
                </c:pt>
                <c:pt idx="2">
                  <c:v>SMG</c:v>
                </c:pt>
                <c:pt idx="3">
                  <c:v>Danger Zone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Inventory!$E$34:$FU$34</c:f>
              <c:numCache>
                <c:formatCode>General</c:formatCode>
                <c:ptCount val="173"/>
                <c:pt idx="0">
                  <c:v>7.79</c:v>
                </c:pt>
                <c:pt idx="1">
                  <c:v>8.19</c:v>
                </c:pt>
                <c:pt idx="2">
                  <c:v>7.47</c:v>
                </c:pt>
                <c:pt idx="3">
                  <c:v>7.59</c:v>
                </c:pt>
                <c:pt idx="4">
                  <c:v>7.85</c:v>
                </c:pt>
                <c:pt idx="5">
                  <c:v>7.68</c:v>
                </c:pt>
                <c:pt idx="6">
                  <c:v>7.31</c:v>
                </c:pt>
                <c:pt idx="7">
                  <c:v>7.53</c:v>
                </c:pt>
                <c:pt idx="8">
                  <c:v>7.43</c:v>
                </c:pt>
                <c:pt idx="9">
                  <c:v>7.4</c:v>
                </c:pt>
                <c:pt idx="10">
                  <c:v>7.98</c:v>
                </c:pt>
                <c:pt idx="11">
                  <c:v>7.1</c:v>
                </c:pt>
                <c:pt idx="12">
                  <c:v>7.31</c:v>
                </c:pt>
                <c:pt idx="13">
                  <c:v>7.64</c:v>
                </c:pt>
                <c:pt idx="14">
                  <c:v>7.47</c:v>
                </c:pt>
                <c:pt idx="15">
                  <c:v>7.42</c:v>
                </c:pt>
                <c:pt idx="16">
                  <c:v>7.47</c:v>
                </c:pt>
                <c:pt idx="17">
                  <c:v>7.62</c:v>
                </c:pt>
                <c:pt idx="18">
                  <c:v>7.9</c:v>
                </c:pt>
                <c:pt idx="19">
                  <c:v>7.95</c:v>
                </c:pt>
                <c:pt idx="20">
                  <c:v>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F2B-4D8C-A44C-037A0DAC4CE1}"/>
            </c:ext>
          </c:extLst>
        </c:ser>
        <c:ser>
          <c:idx val="33"/>
          <c:order val="33"/>
          <c:tx>
            <c:strRef>
              <c:f>Inventory!$A$35:$D$35</c:f>
              <c:strCache>
                <c:ptCount val="4"/>
                <c:pt idx="0">
                  <c:v>M4A4</c:v>
                </c:pt>
                <c:pt idx="1">
                  <c:v>The Battlestar FN</c:v>
                </c:pt>
                <c:pt idx="2">
                  <c:v>M4A4</c:v>
                </c:pt>
                <c:pt idx="3">
                  <c:v>Wildfire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Inventory!$E$35:$FU$35</c:f>
              <c:numCache>
                <c:formatCode>General</c:formatCode>
                <c:ptCount val="173"/>
                <c:pt idx="0">
                  <c:v>14.52</c:v>
                </c:pt>
                <c:pt idx="1">
                  <c:v>13.27</c:v>
                </c:pt>
                <c:pt idx="2">
                  <c:v>13.26</c:v>
                </c:pt>
                <c:pt idx="3">
                  <c:v>14.11</c:v>
                </c:pt>
                <c:pt idx="4">
                  <c:v>14.06</c:v>
                </c:pt>
                <c:pt idx="5">
                  <c:v>14.27</c:v>
                </c:pt>
                <c:pt idx="6">
                  <c:v>13.84</c:v>
                </c:pt>
                <c:pt idx="7">
                  <c:v>13.34</c:v>
                </c:pt>
                <c:pt idx="8">
                  <c:v>12.49</c:v>
                </c:pt>
                <c:pt idx="9">
                  <c:v>12.85</c:v>
                </c:pt>
                <c:pt idx="10">
                  <c:v>12.48</c:v>
                </c:pt>
                <c:pt idx="11">
                  <c:v>13.5</c:v>
                </c:pt>
                <c:pt idx="12">
                  <c:v>13.54</c:v>
                </c:pt>
                <c:pt idx="13">
                  <c:v>13.54</c:v>
                </c:pt>
                <c:pt idx="14">
                  <c:v>14.22</c:v>
                </c:pt>
                <c:pt idx="15">
                  <c:v>13.54</c:v>
                </c:pt>
                <c:pt idx="16">
                  <c:v>13.19</c:v>
                </c:pt>
                <c:pt idx="17">
                  <c:v>13.66</c:v>
                </c:pt>
                <c:pt idx="18">
                  <c:v>12.69</c:v>
                </c:pt>
                <c:pt idx="19">
                  <c:v>13.66</c:v>
                </c:pt>
                <c:pt idx="20">
                  <c:v>13.27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F2B-4D8C-A44C-037A0DAC4CE1}"/>
            </c:ext>
          </c:extLst>
        </c:ser>
        <c:ser>
          <c:idx val="34"/>
          <c:order val="34"/>
          <c:tx>
            <c:strRef>
              <c:f>Inventory!$A$36:$D$36</c:f>
              <c:strCache>
                <c:ptCount val="4"/>
                <c:pt idx="0">
                  <c:v>Desert Eagle</c:v>
                </c:pt>
                <c:pt idx="1">
                  <c:v>Hypnotic FN</c:v>
                </c:pt>
                <c:pt idx="2">
                  <c:v>Pistol</c:v>
                </c:pt>
                <c:pt idx="3">
                  <c:v>Arms Deal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Inventory!$E$36:$FU$36</c:f>
              <c:numCache>
                <c:formatCode>General</c:formatCode>
                <c:ptCount val="173"/>
                <c:pt idx="0">
                  <c:v>87.76</c:v>
                </c:pt>
                <c:pt idx="1">
                  <c:v>84.47</c:v>
                </c:pt>
                <c:pt idx="2">
                  <c:v>88.51</c:v>
                </c:pt>
                <c:pt idx="3">
                  <c:v>88.5</c:v>
                </c:pt>
                <c:pt idx="4">
                  <c:v>88.5</c:v>
                </c:pt>
                <c:pt idx="5">
                  <c:v>88.29</c:v>
                </c:pt>
                <c:pt idx="6">
                  <c:v>91.5</c:v>
                </c:pt>
                <c:pt idx="7">
                  <c:v>91.5</c:v>
                </c:pt>
                <c:pt idx="8">
                  <c:v>90.9</c:v>
                </c:pt>
                <c:pt idx="9">
                  <c:v>91.34</c:v>
                </c:pt>
                <c:pt idx="10">
                  <c:v>85.86</c:v>
                </c:pt>
                <c:pt idx="11">
                  <c:v>91.67</c:v>
                </c:pt>
                <c:pt idx="12">
                  <c:v>87.76</c:v>
                </c:pt>
                <c:pt idx="13">
                  <c:v>91.7</c:v>
                </c:pt>
                <c:pt idx="14">
                  <c:v>90.34</c:v>
                </c:pt>
                <c:pt idx="15">
                  <c:v>94.85</c:v>
                </c:pt>
                <c:pt idx="16">
                  <c:v>98.14</c:v>
                </c:pt>
                <c:pt idx="17">
                  <c:v>95.29</c:v>
                </c:pt>
                <c:pt idx="18">
                  <c:v>95.73</c:v>
                </c:pt>
                <c:pt idx="19">
                  <c:v>117.46</c:v>
                </c:pt>
                <c:pt idx="20">
                  <c:v>117.46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F2B-4D8C-A44C-037A0DAC4CE1}"/>
            </c:ext>
          </c:extLst>
        </c:ser>
        <c:ser>
          <c:idx val="35"/>
          <c:order val="35"/>
          <c:tx>
            <c:strRef>
              <c:f>Inventory!$A$37:$D$37</c:f>
              <c:strCache>
                <c:ptCount val="4"/>
                <c:pt idx="0">
                  <c:v>M4A4</c:v>
                </c:pt>
                <c:pt idx="1">
                  <c:v>Neo-Noir MW</c:v>
                </c:pt>
                <c:pt idx="2">
                  <c:v>M4A4</c:v>
                </c:pt>
                <c:pt idx="3">
                  <c:v>Clutch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Inventory!$E$37:$FU$37</c:f>
              <c:numCache>
                <c:formatCode>General</c:formatCode>
                <c:ptCount val="173"/>
                <c:pt idx="0">
                  <c:v>29.07</c:v>
                </c:pt>
                <c:pt idx="1">
                  <c:v>29.37</c:v>
                </c:pt>
                <c:pt idx="2">
                  <c:v>26.79</c:v>
                </c:pt>
                <c:pt idx="3">
                  <c:v>27.5</c:v>
                </c:pt>
                <c:pt idx="4">
                  <c:v>27.26</c:v>
                </c:pt>
                <c:pt idx="5">
                  <c:v>28.86</c:v>
                </c:pt>
                <c:pt idx="6">
                  <c:v>27.29</c:v>
                </c:pt>
                <c:pt idx="7">
                  <c:v>25.83</c:v>
                </c:pt>
                <c:pt idx="8">
                  <c:v>26.17</c:v>
                </c:pt>
                <c:pt idx="9">
                  <c:v>25.72</c:v>
                </c:pt>
                <c:pt idx="10">
                  <c:v>27.42</c:v>
                </c:pt>
                <c:pt idx="11">
                  <c:v>25.94</c:v>
                </c:pt>
                <c:pt idx="12">
                  <c:v>26.04</c:v>
                </c:pt>
                <c:pt idx="13">
                  <c:v>25.26</c:v>
                </c:pt>
                <c:pt idx="14">
                  <c:v>27.4</c:v>
                </c:pt>
                <c:pt idx="15">
                  <c:v>27.17</c:v>
                </c:pt>
                <c:pt idx="16">
                  <c:v>26.02</c:v>
                </c:pt>
                <c:pt idx="17">
                  <c:v>26.27</c:v>
                </c:pt>
                <c:pt idx="18">
                  <c:v>27.83</c:v>
                </c:pt>
                <c:pt idx="19">
                  <c:v>26.99</c:v>
                </c:pt>
                <c:pt idx="20">
                  <c:v>25.85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F2B-4D8C-A44C-037A0DAC4CE1}"/>
            </c:ext>
          </c:extLst>
        </c:ser>
        <c:ser>
          <c:idx val="36"/>
          <c:order val="36"/>
          <c:tx>
            <c:strRef>
              <c:f>Inventory!$A$38:$D$38</c:f>
              <c:strCache>
                <c:ptCount val="4"/>
                <c:pt idx="0">
                  <c:v>AWP</c:v>
                </c:pt>
                <c:pt idx="1">
                  <c:v>Boom MW</c:v>
                </c:pt>
                <c:pt idx="2">
                  <c:v>AWP</c:v>
                </c:pt>
                <c:pt idx="3">
                  <c:v>eSports 2013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Inventory!$E$38:$FU$38</c:f>
              <c:numCache>
                <c:formatCode>General</c:formatCode>
                <c:ptCount val="173"/>
                <c:pt idx="0">
                  <c:v>52.57</c:v>
                </c:pt>
                <c:pt idx="1">
                  <c:v>50.84</c:v>
                </c:pt>
                <c:pt idx="2">
                  <c:v>61.12</c:v>
                </c:pt>
                <c:pt idx="3">
                  <c:v>54.92</c:v>
                </c:pt>
                <c:pt idx="4">
                  <c:v>54.99</c:v>
                </c:pt>
                <c:pt idx="5">
                  <c:v>52.25</c:v>
                </c:pt>
                <c:pt idx="6">
                  <c:v>56.03</c:v>
                </c:pt>
                <c:pt idx="7">
                  <c:v>55.57</c:v>
                </c:pt>
                <c:pt idx="8">
                  <c:v>54.76</c:v>
                </c:pt>
                <c:pt idx="9">
                  <c:v>54.99</c:v>
                </c:pt>
                <c:pt idx="10">
                  <c:v>54.7</c:v>
                </c:pt>
                <c:pt idx="11">
                  <c:v>52.32</c:v>
                </c:pt>
                <c:pt idx="12">
                  <c:v>54.62</c:v>
                </c:pt>
                <c:pt idx="13">
                  <c:v>55.38</c:v>
                </c:pt>
                <c:pt idx="14">
                  <c:v>53.77</c:v>
                </c:pt>
                <c:pt idx="15">
                  <c:v>56.08</c:v>
                </c:pt>
                <c:pt idx="16">
                  <c:v>56.08</c:v>
                </c:pt>
                <c:pt idx="17">
                  <c:v>57.36</c:v>
                </c:pt>
                <c:pt idx="18">
                  <c:v>55.4</c:v>
                </c:pt>
                <c:pt idx="19">
                  <c:v>55.27</c:v>
                </c:pt>
                <c:pt idx="20">
                  <c:v>54.17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F2B-4D8C-A44C-037A0DAC4CE1}"/>
            </c:ext>
          </c:extLst>
        </c:ser>
        <c:ser>
          <c:idx val="37"/>
          <c:order val="37"/>
          <c:tx>
            <c:strRef>
              <c:f>Inventory!$A$39:$D$39</c:f>
              <c:strCache>
                <c:ptCount val="4"/>
                <c:pt idx="0">
                  <c:v>AK-47</c:v>
                </c:pt>
                <c:pt idx="1">
                  <c:v>Aquamarine Revenge MW</c:v>
                </c:pt>
                <c:pt idx="2">
                  <c:v>AK-47</c:v>
                </c:pt>
                <c:pt idx="3">
                  <c:v>Falchion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Inventory!$E$39:$FU$39</c:f>
              <c:numCache>
                <c:formatCode>General</c:formatCode>
                <c:ptCount val="173"/>
                <c:pt idx="0">
                  <c:v>47.51</c:v>
                </c:pt>
                <c:pt idx="1">
                  <c:v>47.17</c:v>
                </c:pt>
                <c:pt idx="2">
                  <c:v>49.37</c:v>
                </c:pt>
                <c:pt idx="3">
                  <c:v>48.37</c:v>
                </c:pt>
                <c:pt idx="4">
                  <c:v>46.08</c:v>
                </c:pt>
                <c:pt idx="5">
                  <c:v>44.96</c:v>
                </c:pt>
                <c:pt idx="6">
                  <c:v>46.07</c:v>
                </c:pt>
                <c:pt idx="7">
                  <c:v>45.89</c:v>
                </c:pt>
                <c:pt idx="8">
                  <c:v>44.94</c:v>
                </c:pt>
                <c:pt idx="9">
                  <c:v>45.49</c:v>
                </c:pt>
                <c:pt idx="10">
                  <c:v>46.09</c:v>
                </c:pt>
                <c:pt idx="11">
                  <c:v>45.74</c:v>
                </c:pt>
                <c:pt idx="12">
                  <c:v>45.73</c:v>
                </c:pt>
                <c:pt idx="13">
                  <c:v>44.74</c:v>
                </c:pt>
                <c:pt idx="14">
                  <c:v>44.91</c:v>
                </c:pt>
                <c:pt idx="15">
                  <c:v>46.13</c:v>
                </c:pt>
                <c:pt idx="16">
                  <c:v>46.46</c:v>
                </c:pt>
                <c:pt idx="17">
                  <c:v>45.58</c:v>
                </c:pt>
                <c:pt idx="18">
                  <c:v>45.39</c:v>
                </c:pt>
                <c:pt idx="19">
                  <c:v>43.55</c:v>
                </c:pt>
                <c:pt idx="20">
                  <c:v>46.01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F2B-4D8C-A44C-037A0DAC4CE1}"/>
            </c:ext>
          </c:extLst>
        </c:ser>
        <c:ser>
          <c:idx val="38"/>
          <c:order val="38"/>
          <c:tx>
            <c:strRef>
              <c:f>Inventory!$A$40:$D$40</c:f>
              <c:strCache>
                <c:ptCount val="4"/>
                <c:pt idx="0">
                  <c:v>AUG</c:v>
                </c:pt>
                <c:pt idx="1">
                  <c:v>StatTrak Momentum MW</c:v>
                </c:pt>
                <c:pt idx="2">
                  <c:v>Other Rifle</c:v>
                </c:pt>
                <c:pt idx="3">
                  <c:v>Prisma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Inventory!$E$40:$FU$40</c:f>
              <c:numCache>
                <c:formatCode>General</c:formatCode>
                <c:ptCount val="173"/>
                <c:pt idx="6">
                  <c:v>18.91</c:v>
                </c:pt>
                <c:pt idx="7">
                  <c:v>17.989999999999998</c:v>
                </c:pt>
                <c:pt idx="8">
                  <c:v>20.02</c:v>
                </c:pt>
                <c:pt idx="9">
                  <c:v>19.47</c:v>
                </c:pt>
                <c:pt idx="10">
                  <c:v>19.440000000000001</c:v>
                </c:pt>
                <c:pt idx="11">
                  <c:v>19.55</c:v>
                </c:pt>
                <c:pt idx="12">
                  <c:v>19.579999999999998</c:v>
                </c:pt>
                <c:pt idx="13">
                  <c:v>19.96</c:v>
                </c:pt>
                <c:pt idx="14">
                  <c:v>18.88</c:v>
                </c:pt>
                <c:pt idx="15">
                  <c:v>19.25</c:v>
                </c:pt>
                <c:pt idx="16">
                  <c:v>18.98</c:v>
                </c:pt>
                <c:pt idx="17">
                  <c:v>18.920000000000002</c:v>
                </c:pt>
                <c:pt idx="18">
                  <c:v>18.66</c:v>
                </c:pt>
                <c:pt idx="19">
                  <c:v>19.93</c:v>
                </c:pt>
                <c:pt idx="20">
                  <c:v>19.72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F2B-4D8C-A44C-037A0DAC4CE1}"/>
            </c:ext>
          </c:extLst>
        </c:ser>
        <c:ser>
          <c:idx val="39"/>
          <c:order val="39"/>
          <c:tx>
            <c:strRef>
              <c:f>Inventory!$A$41:$D$41</c:f>
              <c:strCache>
                <c:ptCount val="4"/>
                <c:pt idx="0">
                  <c:v>Desert Eagle</c:v>
                </c:pt>
                <c:pt idx="1">
                  <c:v>Light Rail FN</c:v>
                </c:pt>
                <c:pt idx="2">
                  <c:v>Pistol</c:v>
                </c:pt>
                <c:pt idx="3">
                  <c:v>Prisma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Inventory!$E$41:$FU$41</c:f>
              <c:numCache>
                <c:formatCode>General</c:formatCode>
                <c:ptCount val="173"/>
                <c:pt idx="0">
                  <c:v>3.87</c:v>
                </c:pt>
                <c:pt idx="1">
                  <c:v>3.61</c:v>
                </c:pt>
                <c:pt idx="2">
                  <c:v>3.62</c:v>
                </c:pt>
                <c:pt idx="3">
                  <c:v>3.61</c:v>
                </c:pt>
                <c:pt idx="4">
                  <c:v>3.63</c:v>
                </c:pt>
                <c:pt idx="5">
                  <c:v>3.45</c:v>
                </c:pt>
                <c:pt idx="6">
                  <c:v>3.74</c:v>
                </c:pt>
                <c:pt idx="7">
                  <c:v>3.52</c:v>
                </c:pt>
                <c:pt idx="8">
                  <c:v>3.49</c:v>
                </c:pt>
                <c:pt idx="9">
                  <c:v>3.53</c:v>
                </c:pt>
                <c:pt idx="10">
                  <c:v>3.64</c:v>
                </c:pt>
                <c:pt idx="11">
                  <c:v>3.59</c:v>
                </c:pt>
                <c:pt idx="12">
                  <c:v>3.47</c:v>
                </c:pt>
                <c:pt idx="13">
                  <c:v>3.56</c:v>
                </c:pt>
                <c:pt idx="14">
                  <c:v>3.65</c:v>
                </c:pt>
                <c:pt idx="15">
                  <c:v>3.82</c:v>
                </c:pt>
                <c:pt idx="16">
                  <c:v>3.62</c:v>
                </c:pt>
                <c:pt idx="17">
                  <c:v>3.6</c:v>
                </c:pt>
                <c:pt idx="18">
                  <c:v>3.61</c:v>
                </c:pt>
                <c:pt idx="19">
                  <c:v>3.54</c:v>
                </c:pt>
                <c:pt idx="20">
                  <c:v>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1F2B-4D8C-A44C-037A0DAC4CE1}"/>
            </c:ext>
          </c:extLst>
        </c:ser>
        <c:ser>
          <c:idx val="40"/>
          <c:order val="40"/>
          <c:tx>
            <c:strRef>
              <c:f>Inventory!$A$42:$D$42</c:f>
              <c:strCache>
                <c:ptCount val="4"/>
                <c:pt idx="0">
                  <c:v>Butterfly Knife</c:v>
                </c:pt>
                <c:pt idx="1">
                  <c:v>Tiger Tooth FN</c:v>
                </c:pt>
                <c:pt idx="2">
                  <c:v>Knife</c:v>
                </c:pt>
                <c:pt idx="3">
                  <c:v>Spectrum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Inventory!$E$42:$FU$42</c:f>
              <c:numCache>
                <c:formatCode>General</c:formatCode>
                <c:ptCount val="173"/>
                <c:pt idx="0">
                  <c:v>1201.5999999999999</c:v>
                </c:pt>
                <c:pt idx="1">
                  <c:v>1205.46</c:v>
                </c:pt>
                <c:pt idx="2">
                  <c:v>1261.0999999999999</c:v>
                </c:pt>
                <c:pt idx="3">
                  <c:v>1261.06</c:v>
                </c:pt>
                <c:pt idx="4">
                  <c:v>1261.06</c:v>
                </c:pt>
                <c:pt idx="5">
                  <c:v>1230.57</c:v>
                </c:pt>
                <c:pt idx="6">
                  <c:v>1294.3599999999999</c:v>
                </c:pt>
                <c:pt idx="7">
                  <c:v>1294.3599999999999</c:v>
                </c:pt>
                <c:pt idx="8">
                  <c:v>1290.31</c:v>
                </c:pt>
                <c:pt idx="9">
                  <c:v>1427.45</c:v>
                </c:pt>
                <c:pt idx="10">
                  <c:v>1391</c:v>
                </c:pt>
                <c:pt idx="11">
                  <c:v>1383.65</c:v>
                </c:pt>
                <c:pt idx="12">
                  <c:v>1363.98</c:v>
                </c:pt>
                <c:pt idx="13">
                  <c:v>1354.05</c:v>
                </c:pt>
                <c:pt idx="14">
                  <c:v>1341.3</c:v>
                </c:pt>
                <c:pt idx="15">
                  <c:v>1341.3</c:v>
                </c:pt>
                <c:pt idx="16">
                  <c:v>1354.94</c:v>
                </c:pt>
                <c:pt idx="17">
                  <c:v>1364.6</c:v>
                </c:pt>
                <c:pt idx="18">
                  <c:v>1349.99</c:v>
                </c:pt>
                <c:pt idx="19">
                  <c:v>1413.09</c:v>
                </c:pt>
                <c:pt idx="20">
                  <c:v>1484.68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F2B-4D8C-A44C-037A0DAC4CE1}"/>
            </c:ext>
          </c:extLst>
        </c:ser>
        <c:ser>
          <c:idx val="41"/>
          <c:order val="41"/>
          <c:tx>
            <c:strRef>
              <c:f>Inventory!$A$43:$D$43</c:f>
              <c:strCache>
                <c:ptCount val="4"/>
                <c:pt idx="0">
                  <c:v>AWP</c:v>
                </c:pt>
                <c:pt idx="1">
                  <c:v>Mortis MW</c:v>
                </c:pt>
                <c:pt idx="2">
                  <c:v>AWP</c:v>
                </c:pt>
                <c:pt idx="3">
                  <c:v>Clutch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Inventory!$E$43:$FU$43</c:f>
              <c:numCache>
                <c:formatCode>General</c:formatCode>
                <c:ptCount val="173"/>
                <c:pt idx="0">
                  <c:v>3.23</c:v>
                </c:pt>
                <c:pt idx="1">
                  <c:v>3.14</c:v>
                </c:pt>
                <c:pt idx="2">
                  <c:v>3.5</c:v>
                </c:pt>
                <c:pt idx="3">
                  <c:v>3.27</c:v>
                </c:pt>
                <c:pt idx="4">
                  <c:v>3.28</c:v>
                </c:pt>
                <c:pt idx="5">
                  <c:v>3.41</c:v>
                </c:pt>
                <c:pt idx="6">
                  <c:v>3.47</c:v>
                </c:pt>
                <c:pt idx="7">
                  <c:v>3.16</c:v>
                </c:pt>
                <c:pt idx="8">
                  <c:v>3.26</c:v>
                </c:pt>
                <c:pt idx="9">
                  <c:v>3.28</c:v>
                </c:pt>
                <c:pt idx="10">
                  <c:v>3.29</c:v>
                </c:pt>
                <c:pt idx="11">
                  <c:v>3.38</c:v>
                </c:pt>
                <c:pt idx="12">
                  <c:v>3.25</c:v>
                </c:pt>
                <c:pt idx="13">
                  <c:v>3.26</c:v>
                </c:pt>
                <c:pt idx="14">
                  <c:v>3.19</c:v>
                </c:pt>
                <c:pt idx="15">
                  <c:v>3.39</c:v>
                </c:pt>
                <c:pt idx="16">
                  <c:v>3.14</c:v>
                </c:pt>
                <c:pt idx="17">
                  <c:v>3.14</c:v>
                </c:pt>
                <c:pt idx="18">
                  <c:v>3.13</c:v>
                </c:pt>
                <c:pt idx="19">
                  <c:v>2.92</c:v>
                </c:pt>
                <c:pt idx="20">
                  <c:v>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1F2B-4D8C-A44C-037A0DAC4CE1}"/>
            </c:ext>
          </c:extLst>
        </c:ser>
        <c:ser>
          <c:idx val="42"/>
          <c:order val="42"/>
          <c:tx>
            <c:strRef>
              <c:f>Inventory!$A$44:$D$44</c:f>
              <c:strCache>
                <c:ptCount val="4"/>
                <c:pt idx="0">
                  <c:v>MAG-7</c:v>
                </c:pt>
                <c:pt idx="1">
                  <c:v>SWAG-7 FT</c:v>
                </c:pt>
                <c:pt idx="2">
                  <c:v>Heavy</c:v>
                </c:pt>
                <c:pt idx="3">
                  <c:v>Clutch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Inventory!$E$44:$FU$44</c:f>
              <c:numCache>
                <c:formatCode>General</c:formatCode>
                <c:ptCount val="173"/>
                <c:pt idx="0">
                  <c:v>0.35</c:v>
                </c:pt>
                <c:pt idx="1">
                  <c:v>0.34</c:v>
                </c:pt>
                <c:pt idx="2">
                  <c:v>0.34</c:v>
                </c:pt>
                <c:pt idx="3">
                  <c:v>0.34</c:v>
                </c:pt>
                <c:pt idx="4">
                  <c:v>0.31</c:v>
                </c:pt>
                <c:pt idx="5">
                  <c:v>0.3</c:v>
                </c:pt>
                <c:pt idx="6">
                  <c:v>0.3</c:v>
                </c:pt>
                <c:pt idx="7">
                  <c:v>0.31</c:v>
                </c:pt>
                <c:pt idx="8">
                  <c:v>0.34</c:v>
                </c:pt>
                <c:pt idx="9">
                  <c:v>0.34</c:v>
                </c:pt>
                <c:pt idx="10">
                  <c:v>0.32</c:v>
                </c:pt>
                <c:pt idx="11">
                  <c:v>0.31</c:v>
                </c:pt>
                <c:pt idx="12">
                  <c:v>0.31</c:v>
                </c:pt>
                <c:pt idx="13">
                  <c:v>0.31</c:v>
                </c:pt>
                <c:pt idx="14">
                  <c:v>0.32</c:v>
                </c:pt>
                <c:pt idx="15">
                  <c:v>0.3</c:v>
                </c:pt>
                <c:pt idx="16">
                  <c:v>0.31</c:v>
                </c:pt>
                <c:pt idx="17">
                  <c:v>0.32</c:v>
                </c:pt>
                <c:pt idx="18">
                  <c:v>0.3</c:v>
                </c:pt>
                <c:pt idx="19">
                  <c:v>0.3</c:v>
                </c:pt>
                <c:pt idx="20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F2B-4D8C-A44C-037A0DAC4CE1}"/>
            </c:ext>
          </c:extLst>
        </c:ser>
        <c:ser>
          <c:idx val="43"/>
          <c:order val="43"/>
          <c:tx>
            <c:strRef>
              <c:f>Inventory!$A$45:$D$45</c:f>
              <c:strCache>
                <c:ptCount val="4"/>
                <c:pt idx="0">
                  <c:v>Five-SeveN</c:v>
                </c:pt>
                <c:pt idx="1">
                  <c:v>Hyper Beast MW</c:v>
                </c:pt>
                <c:pt idx="2">
                  <c:v>Pistol</c:v>
                </c:pt>
                <c:pt idx="3">
                  <c:v>Hydra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Inventory!$E$45:$FU$45</c:f>
              <c:numCache>
                <c:formatCode>General</c:formatCode>
                <c:ptCount val="173"/>
                <c:pt idx="0">
                  <c:v>28.06</c:v>
                </c:pt>
                <c:pt idx="1">
                  <c:v>29.75</c:v>
                </c:pt>
                <c:pt idx="2">
                  <c:v>27.86</c:v>
                </c:pt>
                <c:pt idx="3">
                  <c:v>30.97</c:v>
                </c:pt>
                <c:pt idx="4">
                  <c:v>30.52</c:v>
                </c:pt>
                <c:pt idx="5">
                  <c:v>30.5</c:v>
                </c:pt>
                <c:pt idx="6">
                  <c:v>30.94</c:v>
                </c:pt>
                <c:pt idx="7">
                  <c:v>27.91</c:v>
                </c:pt>
                <c:pt idx="8">
                  <c:v>30.48</c:v>
                </c:pt>
                <c:pt idx="9">
                  <c:v>29.22</c:v>
                </c:pt>
                <c:pt idx="10">
                  <c:v>29.8</c:v>
                </c:pt>
                <c:pt idx="11">
                  <c:v>30.17</c:v>
                </c:pt>
                <c:pt idx="12">
                  <c:v>30.2</c:v>
                </c:pt>
                <c:pt idx="13">
                  <c:v>29.95</c:v>
                </c:pt>
                <c:pt idx="14">
                  <c:v>26.76</c:v>
                </c:pt>
                <c:pt idx="15">
                  <c:v>30.71</c:v>
                </c:pt>
                <c:pt idx="16">
                  <c:v>29.38</c:v>
                </c:pt>
                <c:pt idx="17">
                  <c:v>29.53</c:v>
                </c:pt>
                <c:pt idx="18">
                  <c:v>29.01</c:v>
                </c:pt>
                <c:pt idx="19">
                  <c:v>28.8</c:v>
                </c:pt>
                <c:pt idx="20">
                  <c:v>29.36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1F2B-4D8C-A44C-037A0DAC4CE1}"/>
            </c:ext>
          </c:extLst>
        </c:ser>
        <c:ser>
          <c:idx val="44"/>
          <c:order val="44"/>
          <c:tx>
            <c:strRef>
              <c:f>Inventory!$A$46:$D$46</c:f>
              <c:strCache>
                <c:ptCount val="4"/>
                <c:pt idx="0">
                  <c:v>Five-SeveN</c:v>
                </c:pt>
                <c:pt idx="1">
                  <c:v>Angry Mob MW</c:v>
                </c:pt>
                <c:pt idx="2">
                  <c:v>Pistol</c:v>
                </c:pt>
                <c:pt idx="3">
                  <c:v>Prisma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Inventory!$E$46:$FU$46</c:f>
              <c:numCache>
                <c:formatCode>General</c:formatCode>
                <c:ptCount val="173"/>
                <c:pt idx="0">
                  <c:v>5.71</c:v>
                </c:pt>
                <c:pt idx="1">
                  <c:v>5.43</c:v>
                </c:pt>
                <c:pt idx="2">
                  <c:v>5.45</c:v>
                </c:pt>
                <c:pt idx="3">
                  <c:v>5.13</c:v>
                </c:pt>
                <c:pt idx="4">
                  <c:v>5.22</c:v>
                </c:pt>
                <c:pt idx="5">
                  <c:v>5.48</c:v>
                </c:pt>
                <c:pt idx="6">
                  <c:v>5.37</c:v>
                </c:pt>
                <c:pt idx="7">
                  <c:v>5.14</c:v>
                </c:pt>
                <c:pt idx="8">
                  <c:v>5.09</c:v>
                </c:pt>
                <c:pt idx="9">
                  <c:v>5.0199999999999996</c:v>
                </c:pt>
                <c:pt idx="10">
                  <c:v>5.34</c:v>
                </c:pt>
                <c:pt idx="11">
                  <c:v>5.22</c:v>
                </c:pt>
                <c:pt idx="12">
                  <c:v>5.2</c:v>
                </c:pt>
                <c:pt idx="13">
                  <c:v>5.12</c:v>
                </c:pt>
                <c:pt idx="14">
                  <c:v>5.36</c:v>
                </c:pt>
                <c:pt idx="15">
                  <c:v>5.36</c:v>
                </c:pt>
                <c:pt idx="16">
                  <c:v>5.25</c:v>
                </c:pt>
                <c:pt idx="17">
                  <c:v>5.24</c:v>
                </c:pt>
                <c:pt idx="18">
                  <c:v>5.17</c:v>
                </c:pt>
                <c:pt idx="19">
                  <c:v>5.0199999999999996</c:v>
                </c:pt>
                <c:pt idx="20">
                  <c:v>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F2B-4D8C-A44C-037A0DAC4CE1}"/>
            </c:ext>
          </c:extLst>
        </c:ser>
        <c:ser>
          <c:idx val="45"/>
          <c:order val="45"/>
          <c:tx>
            <c:strRef>
              <c:f>Inventory!$A$47:$D$47</c:f>
              <c:strCache>
                <c:ptCount val="4"/>
                <c:pt idx="0">
                  <c:v>M4A1-S</c:v>
                </c:pt>
                <c:pt idx="1">
                  <c:v>Hyper Beast MW</c:v>
                </c:pt>
                <c:pt idx="2">
                  <c:v>M4A1-S</c:v>
                </c:pt>
                <c:pt idx="3">
                  <c:v>Chroma 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Inventory!$E$47:$FU$47</c:f>
              <c:numCache>
                <c:formatCode>General</c:formatCode>
                <c:ptCount val="173"/>
                <c:pt idx="0">
                  <c:v>21.98</c:v>
                </c:pt>
                <c:pt idx="1">
                  <c:v>21.05</c:v>
                </c:pt>
                <c:pt idx="2">
                  <c:v>20.67</c:v>
                </c:pt>
                <c:pt idx="3">
                  <c:v>19.8</c:v>
                </c:pt>
                <c:pt idx="4">
                  <c:v>21.22</c:v>
                </c:pt>
                <c:pt idx="5">
                  <c:v>21.31</c:v>
                </c:pt>
                <c:pt idx="6">
                  <c:v>21.25</c:v>
                </c:pt>
                <c:pt idx="7">
                  <c:v>21.06</c:v>
                </c:pt>
                <c:pt idx="8">
                  <c:v>20.420000000000002</c:v>
                </c:pt>
                <c:pt idx="9">
                  <c:v>20.03</c:v>
                </c:pt>
                <c:pt idx="10">
                  <c:v>20.100000000000001</c:v>
                </c:pt>
                <c:pt idx="11">
                  <c:v>19.739999999999998</c:v>
                </c:pt>
                <c:pt idx="12">
                  <c:v>20.52</c:v>
                </c:pt>
                <c:pt idx="13">
                  <c:v>21.08</c:v>
                </c:pt>
                <c:pt idx="14">
                  <c:v>21.17</c:v>
                </c:pt>
                <c:pt idx="15">
                  <c:v>21.44</c:v>
                </c:pt>
                <c:pt idx="16">
                  <c:v>19.41</c:v>
                </c:pt>
                <c:pt idx="17">
                  <c:v>19.41</c:v>
                </c:pt>
                <c:pt idx="18">
                  <c:v>20.84</c:v>
                </c:pt>
                <c:pt idx="19">
                  <c:v>20.7</c:v>
                </c:pt>
                <c:pt idx="20">
                  <c:v>21.47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1F2B-4D8C-A44C-037A0DAC4CE1}"/>
            </c:ext>
          </c:extLst>
        </c:ser>
        <c:ser>
          <c:idx val="46"/>
          <c:order val="46"/>
          <c:tx>
            <c:strRef>
              <c:f>Inventory!$A$48:$D$48</c:f>
              <c:strCache>
                <c:ptCount val="4"/>
                <c:pt idx="0">
                  <c:v>P250</c:v>
                </c:pt>
                <c:pt idx="1">
                  <c:v>See Ya Later MW</c:v>
                </c:pt>
                <c:pt idx="2">
                  <c:v>Pistol</c:v>
                </c:pt>
                <c:pt idx="3">
                  <c:v>Spectrum 2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Inventory!$E$48:$FU$48</c:f>
              <c:numCache>
                <c:formatCode>General</c:formatCode>
                <c:ptCount val="173"/>
                <c:pt idx="0">
                  <c:v>6.58</c:v>
                </c:pt>
                <c:pt idx="1">
                  <c:v>6.29</c:v>
                </c:pt>
                <c:pt idx="2">
                  <c:v>5.78</c:v>
                </c:pt>
                <c:pt idx="3">
                  <c:v>6.4</c:v>
                </c:pt>
                <c:pt idx="4">
                  <c:v>5.82</c:v>
                </c:pt>
                <c:pt idx="5">
                  <c:v>6.3</c:v>
                </c:pt>
                <c:pt idx="6">
                  <c:v>6.49</c:v>
                </c:pt>
                <c:pt idx="7">
                  <c:v>6.12</c:v>
                </c:pt>
                <c:pt idx="8">
                  <c:v>6.3</c:v>
                </c:pt>
                <c:pt idx="9">
                  <c:v>5.63</c:v>
                </c:pt>
                <c:pt idx="10">
                  <c:v>6.03</c:v>
                </c:pt>
                <c:pt idx="11">
                  <c:v>5.79</c:v>
                </c:pt>
                <c:pt idx="12">
                  <c:v>5.86</c:v>
                </c:pt>
                <c:pt idx="13">
                  <c:v>5.79</c:v>
                </c:pt>
                <c:pt idx="14">
                  <c:v>5.99</c:v>
                </c:pt>
                <c:pt idx="15">
                  <c:v>6.33</c:v>
                </c:pt>
                <c:pt idx="16">
                  <c:v>6.14</c:v>
                </c:pt>
                <c:pt idx="17">
                  <c:v>5.9</c:v>
                </c:pt>
                <c:pt idx="18">
                  <c:v>6.32</c:v>
                </c:pt>
                <c:pt idx="19">
                  <c:v>5.54</c:v>
                </c:pt>
                <c:pt idx="20">
                  <c:v>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F2B-4D8C-A44C-037A0DAC4CE1}"/>
            </c:ext>
          </c:extLst>
        </c:ser>
        <c:ser>
          <c:idx val="47"/>
          <c:order val="47"/>
          <c:tx>
            <c:strRef>
              <c:f>Inventory!$A$49:$D$49</c:f>
              <c:strCache>
                <c:ptCount val="4"/>
                <c:pt idx="0">
                  <c:v>Glock-18</c:v>
                </c:pt>
                <c:pt idx="1">
                  <c:v>Wasteland Rebel MW</c:v>
                </c:pt>
                <c:pt idx="2">
                  <c:v>Pistol</c:v>
                </c:pt>
                <c:pt idx="3">
                  <c:v>Gamma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Inventory!$E$49:$FU$49</c:f>
              <c:numCache>
                <c:formatCode>General</c:formatCode>
                <c:ptCount val="173"/>
                <c:pt idx="0">
                  <c:v>6.46</c:v>
                </c:pt>
                <c:pt idx="1">
                  <c:v>6.58</c:v>
                </c:pt>
                <c:pt idx="2">
                  <c:v>6.48</c:v>
                </c:pt>
                <c:pt idx="3">
                  <c:v>6.32</c:v>
                </c:pt>
                <c:pt idx="4">
                  <c:v>6.23</c:v>
                </c:pt>
                <c:pt idx="5">
                  <c:v>6.23</c:v>
                </c:pt>
                <c:pt idx="6">
                  <c:v>5.76</c:v>
                </c:pt>
                <c:pt idx="7">
                  <c:v>6.23</c:v>
                </c:pt>
                <c:pt idx="8">
                  <c:v>6.01</c:v>
                </c:pt>
                <c:pt idx="9">
                  <c:v>5.99</c:v>
                </c:pt>
                <c:pt idx="10">
                  <c:v>6.03</c:v>
                </c:pt>
                <c:pt idx="11">
                  <c:v>5.56</c:v>
                </c:pt>
                <c:pt idx="12">
                  <c:v>5.61</c:v>
                </c:pt>
                <c:pt idx="13">
                  <c:v>5.63</c:v>
                </c:pt>
                <c:pt idx="14">
                  <c:v>5.84</c:v>
                </c:pt>
                <c:pt idx="15">
                  <c:v>5.91</c:v>
                </c:pt>
                <c:pt idx="16">
                  <c:v>5.9</c:v>
                </c:pt>
                <c:pt idx="17">
                  <c:v>5.86</c:v>
                </c:pt>
                <c:pt idx="18">
                  <c:v>5.78</c:v>
                </c:pt>
                <c:pt idx="19">
                  <c:v>5.86</c:v>
                </c:pt>
                <c:pt idx="20">
                  <c:v>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1F2B-4D8C-A44C-037A0DAC4CE1}"/>
            </c:ext>
          </c:extLst>
        </c:ser>
        <c:ser>
          <c:idx val="48"/>
          <c:order val="48"/>
          <c:tx>
            <c:strRef>
              <c:f>Inventory!$A$50:$D$50</c:f>
              <c:strCache>
                <c:ptCount val="4"/>
                <c:pt idx="0">
                  <c:v>MP7</c:v>
                </c:pt>
                <c:pt idx="1">
                  <c:v>Bloodsport MW</c:v>
                </c:pt>
                <c:pt idx="2">
                  <c:v>SMG</c:v>
                </c:pt>
                <c:pt idx="3">
                  <c:v>Clutch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Inventory!$E$50:$FU$50</c:f>
              <c:numCache>
                <c:formatCode>General</c:formatCode>
                <c:ptCount val="173"/>
                <c:pt idx="0">
                  <c:v>3.63</c:v>
                </c:pt>
                <c:pt idx="1">
                  <c:v>3.61</c:v>
                </c:pt>
                <c:pt idx="2">
                  <c:v>3.63</c:v>
                </c:pt>
                <c:pt idx="3">
                  <c:v>3.49</c:v>
                </c:pt>
                <c:pt idx="4">
                  <c:v>3.84</c:v>
                </c:pt>
                <c:pt idx="5">
                  <c:v>3.54</c:v>
                </c:pt>
                <c:pt idx="6">
                  <c:v>3.57</c:v>
                </c:pt>
                <c:pt idx="7">
                  <c:v>3.54</c:v>
                </c:pt>
                <c:pt idx="8">
                  <c:v>3.75</c:v>
                </c:pt>
                <c:pt idx="9">
                  <c:v>3.79</c:v>
                </c:pt>
                <c:pt idx="10">
                  <c:v>3.49</c:v>
                </c:pt>
                <c:pt idx="11">
                  <c:v>3.61</c:v>
                </c:pt>
                <c:pt idx="12">
                  <c:v>3.39</c:v>
                </c:pt>
                <c:pt idx="13">
                  <c:v>3.53</c:v>
                </c:pt>
                <c:pt idx="14">
                  <c:v>3.4</c:v>
                </c:pt>
                <c:pt idx="15">
                  <c:v>3.49</c:v>
                </c:pt>
                <c:pt idx="16">
                  <c:v>3.41</c:v>
                </c:pt>
                <c:pt idx="17">
                  <c:v>3.64</c:v>
                </c:pt>
                <c:pt idx="18">
                  <c:v>3.64</c:v>
                </c:pt>
                <c:pt idx="19">
                  <c:v>3.23</c:v>
                </c:pt>
                <c:pt idx="20">
                  <c:v>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F2B-4D8C-A44C-037A0DAC4CE1}"/>
            </c:ext>
          </c:extLst>
        </c:ser>
        <c:ser>
          <c:idx val="49"/>
          <c:order val="49"/>
          <c:tx>
            <c:strRef>
              <c:f>Inventory!$A$51:$D$51</c:f>
              <c:strCache>
                <c:ptCount val="4"/>
                <c:pt idx="0">
                  <c:v>AK-47</c:v>
                </c:pt>
                <c:pt idx="1">
                  <c:v>Frontside Misty MW</c:v>
                </c:pt>
                <c:pt idx="2">
                  <c:v>AK-47</c:v>
                </c:pt>
                <c:pt idx="3">
                  <c:v>Shadow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Inventory!$E$51:$FU$51</c:f>
              <c:numCache>
                <c:formatCode>General</c:formatCode>
                <c:ptCount val="173"/>
                <c:pt idx="0">
                  <c:v>26.57</c:v>
                </c:pt>
                <c:pt idx="1">
                  <c:v>27.42</c:v>
                </c:pt>
                <c:pt idx="2">
                  <c:v>27.83</c:v>
                </c:pt>
                <c:pt idx="3">
                  <c:v>27.26</c:v>
                </c:pt>
                <c:pt idx="4">
                  <c:v>25.67</c:v>
                </c:pt>
                <c:pt idx="5">
                  <c:v>25.26</c:v>
                </c:pt>
                <c:pt idx="6">
                  <c:v>25.26</c:v>
                </c:pt>
                <c:pt idx="7">
                  <c:v>25.88</c:v>
                </c:pt>
                <c:pt idx="8">
                  <c:v>26.82</c:v>
                </c:pt>
                <c:pt idx="9">
                  <c:v>25.54</c:v>
                </c:pt>
                <c:pt idx="10">
                  <c:v>24.7</c:v>
                </c:pt>
                <c:pt idx="11">
                  <c:v>25.46</c:v>
                </c:pt>
                <c:pt idx="12">
                  <c:v>25.22</c:v>
                </c:pt>
                <c:pt idx="13">
                  <c:v>25.89</c:v>
                </c:pt>
                <c:pt idx="14">
                  <c:v>25.22</c:v>
                </c:pt>
                <c:pt idx="15">
                  <c:v>27.19</c:v>
                </c:pt>
                <c:pt idx="16">
                  <c:v>26.35</c:v>
                </c:pt>
                <c:pt idx="17">
                  <c:v>26</c:v>
                </c:pt>
                <c:pt idx="18">
                  <c:v>25.71</c:v>
                </c:pt>
                <c:pt idx="19">
                  <c:v>26.46</c:v>
                </c:pt>
                <c:pt idx="20">
                  <c:v>26.13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1F2B-4D8C-A44C-037A0DAC4CE1}"/>
            </c:ext>
          </c:extLst>
        </c:ser>
        <c:ser>
          <c:idx val="50"/>
          <c:order val="50"/>
          <c:tx>
            <c:strRef>
              <c:f>Inventory!$A$52:$D$52</c:f>
              <c:strCache>
                <c:ptCount val="4"/>
                <c:pt idx="0">
                  <c:v>AWP</c:v>
                </c:pt>
                <c:pt idx="1">
                  <c:v>StatTrak Hyper Beast FT</c:v>
                </c:pt>
                <c:pt idx="2">
                  <c:v>AWP</c:v>
                </c:pt>
                <c:pt idx="3">
                  <c:v>Falchion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Inventory!$E$52:$FU$52</c:f>
              <c:numCache>
                <c:formatCode>General</c:formatCode>
                <c:ptCount val="173"/>
                <c:pt idx="0">
                  <c:v>74.08</c:v>
                </c:pt>
                <c:pt idx="1">
                  <c:v>71.31</c:v>
                </c:pt>
                <c:pt idx="2">
                  <c:v>71.88</c:v>
                </c:pt>
                <c:pt idx="3">
                  <c:v>71.23</c:v>
                </c:pt>
                <c:pt idx="4">
                  <c:v>70.58</c:v>
                </c:pt>
                <c:pt idx="5">
                  <c:v>65.36</c:v>
                </c:pt>
                <c:pt idx="6">
                  <c:v>73.31</c:v>
                </c:pt>
                <c:pt idx="7">
                  <c:v>73.31</c:v>
                </c:pt>
                <c:pt idx="8">
                  <c:v>72.87</c:v>
                </c:pt>
                <c:pt idx="9">
                  <c:v>84.58</c:v>
                </c:pt>
                <c:pt idx="10">
                  <c:v>84.44</c:v>
                </c:pt>
                <c:pt idx="11">
                  <c:v>75.84</c:v>
                </c:pt>
                <c:pt idx="12">
                  <c:v>76.16</c:v>
                </c:pt>
                <c:pt idx="13">
                  <c:v>69.569999999999993</c:v>
                </c:pt>
                <c:pt idx="14">
                  <c:v>74.78</c:v>
                </c:pt>
                <c:pt idx="15">
                  <c:v>75.67</c:v>
                </c:pt>
                <c:pt idx="16">
                  <c:v>83.34</c:v>
                </c:pt>
                <c:pt idx="17">
                  <c:v>78.56</c:v>
                </c:pt>
                <c:pt idx="18">
                  <c:v>78.23</c:v>
                </c:pt>
                <c:pt idx="19">
                  <c:v>78.48</c:v>
                </c:pt>
                <c:pt idx="20">
                  <c:v>76.790000000000006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F2B-4D8C-A44C-037A0DAC4CE1}"/>
            </c:ext>
          </c:extLst>
        </c:ser>
        <c:ser>
          <c:idx val="51"/>
          <c:order val="51"/>
          <c:tx>
            <c:strRef>
              <c:f>Inventory!$A$53:$D$53</c:f>
              <c:strCache>
                <c:ptCount val="4"/>
                <c:pt idx="0">
                  <c:v>Desert Eagle</c:v>
                </c:pt>
                <c:pt idx="1">
                  <c:v>StatTrak Conspiracy MW</c:v>
                </c:pt>
                <c:pt idx="2">
                  <c:v>Pistol</c:v>
                </c:pt>
                <c:pt idx="3">
                  <c:v>Breakout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Inventory!$E$53:$FU$53</c:f>
              <c:numCache>
                <c:formatCode>General</c:formatCode>
                <c:ptCount val="173"/>
                <c:pt idx="0">
                  <c:v>17.53</c:v>
                </c:pt>
                <c:pt idx="1">
                  <c:v>16.38</c:v>
                </c:pt>
                <c:pt idx="2">
                  <c:v>17.649999999999999</c:v>
                </c:pt>
                <c:pt idx="3">
                  <c:v>17.399999999999999</c:v>
                </c:pt>
                <c:pt idx="4">
                  <c:v>17.13</c:v>
                </c:pt>
                <c:pt idx="5">
                  <c:v>16.739999999999998</c:v>
                </c:pt>
                <c:pt idx="6">
                  <c:v>15.07</c:v>
                </c:pt>
                <c:pt idx="7">
                  <c:v>14.85</c:v>
                </c:pt>
                <c:pt idx="8">
                  <c:v>16.37</c:v>
                </c:pt>
                <c:pt idx="9">
                  <c:v>17.66</c:v>
                </c:pt>
                <c:pt idx="10">
                  <c:v>16.45</c:v>
                </c:pt>
                <c:pt idx="11">
                  <c:v>17.079999999999998</c:v>
                </c:pt>
                <c:pt idx="12">
                  <c:v>16.27</c:v>
                </c:pt>
                <c:pt idx="13">
                  <c:v>16.46</c:v>
                </c:pt>
                <c:pt idx="14">
                  <c:v>16.46</c:v>
                </c:pt>
                <c:pt idx="15">
                  <c:v>17.079999999999998</c:v>
                </c:pt>
                <c:pt idx="16">
                  <c:v>16.57</c:v>
                </c:pt>
                <c:pt idx="17">
                  <c:v>15.41</c:v>
                </c:pt>
                <c:pt idx="18">
                  <c:v>14.93</c:v>
                </c:pt>
                <c:pt idx="19">
                  <c:v>16.899999999999999</c:v>
                </c:pt>
                <c:pt idx="20">
                  <c:v>16.48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1F2B-4D8C-A44C-037A0DAC4CE1}"/>
            </c:ext>
          </c:extLst>
        </c:ser>
        <c:ser>
          <c:idx val="52"/>
          <c:order val="52"/>
          <c:tx>
            <c:strRef>
              <c:f>Inventory!$A$54:$D$54</c:f>
              <c:strCache>
                <c:ptCount val="4"/>
                <c:pt idx="0">
                  <c:v>AK-47</c:v>
                </c:pt>
                <c:pt idx="1">
                  <c:v>StatTrak Point Disarray FT</c:v>
                </c:pt>
                <c:pt idx="2">
                  <c:v>AK-47</c:v>
                </c:pt>
                <c:pt idx="3">
                  <c:v>Revolver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Inventory!$E$54:$FU$54</c:f>
              <c:numCache>
                <c:formatCode>General</c:formatCode>
                <c:ptCount val="173"/>
                <c:pt idx="0">
                  <c:v>37.770000000000003</c:v>
                </c:pt>
                <c:pt idx="1">
                  <c:v>40.4</c:v>
                </c:pt>
                <c:pt idx="2">
                  <c:v>39.340000000000003</c:v>
                </c:pt>
                <c:pt idx="3">
                  <c:v>38.5</c:v>
                </c:pt>
                <c:pt idx="4">
                  <c:v>40.049999999999997</c:v>
                </c:pt>
                <c:pt idx="5">
                  <c:v>39.93</c:v>
                </c:pt>
                <c:pt idx="6">
                  <c:v>38.409999999999997</c:v>
                </c:pt>
                <c:pt idx="7">
                  <c:v>38.11</c:v>
                </c:pt>
                <c:pt idx="8">
                  <c:v>37.81</c:v>
                </c:pt>
                <c:pt idx="9">
                  <c:v>37.83</c:v>
                </c:pt>
                <c:pt idx="10">
                  <c:v>39.6</c:v>
                </c:pt>
                <c:pt idx="11">
                  <c:v>39.72</c:v>
                </c:pt>
                <c:pt idx="12">
                  <c:v>39.450000000000003</c:v>
                </c:pt>
                <c:pt idx="13">
                  <c:v>35.369999999999997</c:v>
                </c:pt>
                <c:pt idx="14">
                  <c:v>38.56</c:v>
                </c:pt>
                <c:pt idx="15">
                  <c:v>37.049999999999997</c:v>
                </c:pt>
                <c:pt idx="16">
                  <c:v>38.83</c:v>
                </c:pt>
                <c:pt idx="17">
                  <c:v>39.65</c:v>
                </c:pt>
                <c:pt idx="18">
                  <c:v>35.33</c:v>
                </c:pt>
                <c:pt idx="19">
                  <c:v>34.11</c:v>
                </c:pt>
                <c:pt idx="20">
                  <c:v>35.04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F2B-4D8C-A44C-037A0DAC4CE1}"/>
            </c:ext>
          </c:extLst>
        </c:ser>
        <c:ser>
          <c:idx val="53"/>
          <c:order val="53"/>
          <c:tx>
            <c:strRef>
              <c:f>Inventory!$A$55:$D$55</c:f>
              <c:strCache>
                <c:ptCount val="4"/>
                <c:pt idx="0">
                  <c:v>AK-47</c:v>
                </c:pt>
                <c:pt idx="1">
                  <c:v>Bloodsport MW</c:v>
                </c:pt>
                <c:pt idx="2">
                  <c:v>AK-47</c:v>
                </c:pt>
                <c:pt idx="3">
                  <c:v>Spectrum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Inventory!$E$55:$FU$55</c:f>
              <c:numCache>
                <c:formatCode>General</c:formatCode>
                <c:ptCount val="173"/>
                <c:pt idx="0">
                  <c:v>62.15</c:v>
                </c:pt>
                <c:pt idx="1">
                  <c:v>61.77</c:v>
                </c:pt>
                <c:pt idx="2">
                  <c:v>62.83</c:v>
                </c:pt>
                <c:pt idx="3">
                  <c:v>62.69</c:v>
                </c:pt>
                <c:pt idx="4">
                  <c:v>59.41</c:v>
                </c:pt>
                <c:pt idx="5">
                  <c:v>62.97</c:v>
                </c:pt>
                <c:pt idx="6">
                  <c:v>61.22</c:v>
                </c:pt>
                <c:pt idx="7">
                  <c:v>59.28</c:v>
                </c:pt>
                <c:pt idx="8">
                  <c:v>60</c:v>
                </c:pt>
                <c:pt idx="9">
                  <c:v>61.12</c:v>
                </c:pt>
                <c:pt idx="10">
                  <c:v>60.26</c:v>
                </c:pt>
                <c:pt idx="11">
                  <c:v>60.03</c:v>
                </c:pt>
                <c:pt idx="12">
                  <c:v>60.1</c:v>
                </c:pt>
                <c:pt idx="13">
                  <c:v>61.83</c:v>
                </c:pt>
                <c:pt idx="14">
                  <c:v>63.61</c:v>
                </c:pt>
                <c:pt idx="15">
                  <c:v>59.98</c:v>
                </c:pt>
                <c:pt idx="16">
                  <c:v>60.1</c:v>
                </c:pt>
                <c:pt idx="17">
                  <c:v>61.21</c:v>
                </c:pt>
                <c:pt idx="18">
                  <c:v>60.3</c:v>
                </c:pt>
                <c:pt idx="19">
                  <c:v>60</c:v>
                </c:pt>
                <c:pt idx="20">
                  <c:v>61.55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1F2B-4D8C-A44C-037A0DAC4CE1}"/>
            </c:ext>
          </c:extLst>
        </c:ser>
        <c:ser>
          <c:idx val="54"/>
          <c:order val="54"/>
          <c:tx>
            <c:strRef>
              <c:f>Inventory!$A$56:$D$56</c:f>
              <c:strCache>
                <c:ptCount val="4"/>
                <c:pt idx="0">
                  <c:v>M4A4</c:v>
                </c:pt>
                <c:pt idx="1">
                  <c:v>Hellfire MW</c:v>
                </c:pt>
                <c:pt idx="2">
                  <c:v>M4A4</c:v>
                </c:pt>
                <c:pt idx="3">
                  <c:v>Hydra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Inventory!$E$56:$FU$56</c:f>
              <c:numCache>
                <c:formatCode>General</c:formatCode>
                <c:ptCount val="173"/>
                <c:pt idx="0">
                  <c:v>26.86</c:v>
                </c:pt>
                <c:pt idx="1">
                  <c:v>25.93</c:v>
                </c:pt>
                <c:pt idx="2">
                  <c:v>25.2</c:v>
                </c:pt>
                <c:pt idx="3">
                  <c:v>26.25</c:v>
                </c:pt>
                <c:pt idx="4">
                  <c:v>26.3</c:v>
                </c:pt>
                <c:pt idx="5">
                  <c:v>26.9</c:v>
                </c:pt>
                <c:pt idx="6">
                  <c:v>24.86</c:v>
                </c:pt>
                <c:pt idx="7">
                  <c:v>27.3</c:v>
                </c:pt>
                <c:pt idx="8">
                  <c:v>25.21</c:v>
                </c:pt>
                <c:pt idx="9">
                  <c:v>26.11</c:v>
                </c:pt>
                <c:pt idx="10">
                  <c:v>27.42</c:v>
                </c:pt>
                <c:pt idx="11">
                  <c:v>27.34</c:v>
                </c:pt>
                <c:pt idx="12">
                  <c:v>27.33</c:v>
                </c:pt>
                <c:pt idx="13">
                  <c:v>28.52</c:v>
                </c:pt>
                <c:pt idx="14">
                  <c:v>28.58</c:v>
                </c:pt>
                <c:pt idx="15">
                  <c:v>29.09</c:v>
                </c:pt>
                <c:pt idx="16">
                  <c:v>29.49</c:v>
                </c:pt>
                <c:pt idx="17">
                  <c:v>28.06</c:v>
                </c:pt>
                <c:pt idx="18">
                  <c:v>32.92</c:v>
                </c:pt>
                <c:pt idx="19">
                  <c:v>38.33</c:v>
                </c:pt>
                <c:pt idx="20">
                  <c:v>35.700000000000003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F2B-4D8C-A44C-037A0DAC4CE1}"/>
            </c:ext>
          </c:extLst>
        </c:ser>
        <c:ser>
          <c:idx val="55"/>
          <c:order val="55"/>
          <c:tx>
            <c:strRef>
              <c:f>Inventory!$A$57:$D$57</c:f>
              <c:strCache>
                <c:ptCount val="4"/>
                <c:pt idx="0">
                  <c:v>AK-47</c:v>
                </c:pt>
                <c:pt idx="1">
                  <c:v>Vulcan MW</c:v>
                </c:pt>
                <c:pt idx="2">
                  <c:v>AK-47</c:v>
                </c:pt>
                <c:pt idx="3">
                  <c:v>Huntsman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Inventory!$E$57:$FU$57</c:f>
              <c:numCache>
                <c:formatCode>General</c:formatCode>
                <c:ptCount val="173"/>
                <c:pt idx="0">
                  <c:v>192.99</c:v>
                </c:pt>
                <c:pt idx="1">
                  <c:v>203.36</c:v>
                </c:pt>
                <c:pt idx="2">
                  <c:v>210.82</c:v>
                </c:pt>
                <c:pt idx="3">
                  <c:v>201.42</c:v>
                </c:pt>
                <c:pt idx="4">
                  <c:v>212.4</c:v>
                </c:pt>
                <c:pt idx="5">
                  <c:v>197.46</c:v>
                </c:pt>
                <c:pt idx="6">
                  <c:v>200.73</c:v>
                </c:pt>
                <c:pt idx="7">
                  <c:v>207.88</c:v>
                </c:pt>
                <c:pt idx="8">
                  <c:v>194.84</c:v>
                </c:pt>
                <c:pt idx="9">
                  <c:v>215.86</c:v>
                </c:pt>
                <c:pt idx="10">
                  <c:v>215.62</c:v>
                </c:pt>
                <c:pt idx="11">
                  <c:v>213.15</c:v>
                </c:pt>
                <c:pt idx="12">
                  <c:v>195.27</c:v>
                </c:pt>
                <c:pt idx="13">
                  <c:v>206.84</c:v>
                </c:pt>
                <c:pt idx="14">
                  <c:v>206.2</c:v>
                </c:pt>
                <c:pt idx="15">
                  <c:v>217.85</c:v>
                </c:pt>
                <c:pt idx="16">
                  <c:v>214.41</c:v>
                </c:pt>
                <c:pt idx="17">
                  <c:v>219.34</c:v>
                </c:pt>
                <c:pt idx="18">
                  <c:v>226.95</c:v>
                </c:pt>
                <c:pt idx="19">
                  <c:v>265.85000000000002</c:v>
                </c:pt>
                <c:pt idx="20">
                  <c:v>250.41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1F2B-4D8C-A44C-037A0DAC4CE1}"/>
            </c:ext>
          </c:extLst>
        </c:ser>
        <c:ser>
          <c:idx val="56"/>
          <c:order val="56"/>
          <c:tx>
            <c:strRef>
              <c:f>Inventory!$A$58:$D$58</c:f>
              <c:strCache>
                <c:ptCount val="4"/>
                <c:pt idx="0">
                  <c:v>Galil AR</c:v>
                </c:pt>
                <c:pt idx="1">
                  <c:v>Stone Cold FT</c:v>
                </c:pt>
                <c:pt idx="2">
                  <c:v>Other Rifle</c:v>
                </c:pt>
                <c:pt idx="3">
                  <c:v>Shadow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Inventory!$E$58:$FU$58</c:f>
              <c:numCache>
                <c:formatCode>General</c:formatCode>
                <c:ptCount val="173"/>
                <c:pt idx="6">
                  <c:v>3.38</c:v>
                </c:pt>
                <c:pt idx="7">
                  <c:v>3.1</c:v>
                </c:pt>
                <c:pt idx="8">
                  <c:v>3.23</c:v>
                </c:pt>
                <c:pt idx="9">
                  <c:v>3.13</c:v>
                </c:pt>
                <c:pt idx="10">
                  <c:v>3.24</c:v>
                </c:pt>
                <c:pt idx="11">
                  <c:v>2.93</c:v>
                </c:pt>
                <c:pt idx="12">
                  <c:v>2.76</c:v>
                </c:pt>
                <c:pt idx="13">
                  <c:v>3.06</c:v>
                </c:pt>
                <c:pt idx="14">
                  <c:v>2.93</c:v>
                </c:pt>
                <c:pt idx="15">
                  <c:v>2.79</c:v>
                </c:pt>
                <c:pt idx="16">
                  <c:v>2.82</c:v>
                </c:pt>
                <c:pt idx="17">
                  <c:v>2.81</c:v>
                </c:pt>
                <c:pt idx="18">
                  <c:v>2.85</c:v>
                </c:pt>
                <c:pt idx="19">
                  <c:v>2.82</c:v>
                </c:pt>
                <c:pt idx="20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F2B-4D8C-A44C-037A0DAC4CE1}"/>
            </c:ext>
          </c:extLst>
        </c:ser>
        <c:ser>
          <c:idx val="57"/>
          <c:order val="57"/>
          <c:tx>
            <c:strRef>
              <c:f>Inventory!$A$59:$D$59</c:f>
              <c:strCache>
                <c:ptCount val="4"/>
                <c:pt idx="0">
                  <c:v>Nova</c:v>
                </c:pt>
                <c:pt idx="1">
                  <c:v>Toy Soldier MW</c:v>
                </c:pt>
                <c:pt idx="2">
                  <c:v>Heavy</c:v>
                </c:pt>
                <c:pt idx="3">
                  <c:v>Horizon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Inventory!$E$59:$FU$59</c:f>
              <c:numCache>
                <c:formatCode>General</c:formatCode>
                <c:ptCount val="173"/>
                <c:pt idx="0">
                  <c:v>0.82</c:v>
                </c:pt>
                <c:pt idx="1">
                  <c:v>0.77</c:v>
                </c:pt>
                <c:pt idx="2">
                  <c:v>0.8</c:v>
                </c:pt>
                <c:pt idx="3">
                  <c:v>0.78</c:v>
                </c:pt>
                <c:pt idx="4">
                  <c:v>0.76</c:v>
                </c:pt>
                <c:pt idx="5">
                  <c:v>0.76</c:v>
                </c:pt>
                <c:pt idx="6">
                  <c:v>0.78</c:v>
                </c:pt>
                <c:pt idx="7">
                  <c:v>0.73</c:v>
                </c:pt>
                <c:pt idx="8">
                  <c:v>0.75</c:v>
                </c:pt>
                <c:pt idx="9">
                  <c:v>0.74</c:v>
                </c:pt>
                <c:pt idx="10">
                  <c:v>0.77</c:v>
                </c:pt>
                <c:pt idx="11">
                  <c:v>0.78</c:v>
                </c:pt>
                <c:pt idx="12">
                  <c:v>0.84</c:v>
                </c:pt>
                <c:pt idx="13">
                  <c:v>0.83</c:v>
                </c:pt>
                <c:pt idx="14">
                  <c:v>0.92</c:v>
                </c:pt>
                <c:pt idx="15">
                  <c:v>0.83</c:v>
                </c:pt>
                <c:pt idx="16">
                  <c:v>0.85</c:v>
                </c:pt>
                <c:pt idx="17">
                  <c:v>0.82</c:v>
                </c:pt>
                <c:pt idx="18">
                  <c:v>0.8</c:v>
                </c:pt>
                <c:pt idx="19">
                  <c:v>0.8</c:v>
                </c:pt>
                <c:pt idx="20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1F2B-4D8C-A44C-037A0DAC4CE1}"/>
            </c:ext>
          </c:extLst>
        </c:ser>
        <c:ser>
          <c:idx val="58"/>
          <c:order val="58"/>
          <c:tx>
            <c:strRef>
              <c:f>Inventory!$A$60:$D$60</c:f>
              <c:strCache>
                <c:ptCount val="4"/>
                <c:pt idx="0">
                  <c:v>Glock-18</c:v>
                </c:pt>
                <c:pt idx="1">
                  <c:v>Candy Apple MW</c:v>
                </c:pt>
                <c:pt idx="2">
                  <c:v>Pistol</c:v>
                </c:pt>
                <c:pt idx="3">
                  <c:v>Italy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Inventory!$E$60:$FU$60</c:f>
              <c:numCache>
                <c:formatCode>General</c:formatCode>
                <c:ptCount val="173"/>
                <c:pt idx="0">
                  <c:v>1.29</c:v>
                </c:pt>
                <c:pt idx="1">
                  <c:v>1.19</c:v>
                </c:pt>
                <c:pt idx="2">
                  <c:v>1.1000000000000001</c:v>
                </c:pt>
                <c:pt idx="3">
                  <c:v>1.1100000000000001</c:v>
                </c:pt>
                <c:pt idx="4">
                  <c:v>1.08</c:v>
                </c:pt>
                <c:pt idx="5">
                  <c:v>1.1000000000000001</c:v>
                </c:pt>
                <c:pt idx="6">
                  <c:v>1.08</c:v>
                </c:pt>
                <c:pt idx="7">
                  <c:v>1.05</c:v>
                </c:pt>
                <c:pt idx="8">
                  <c:v>1.1000000000000001</c:v>
                </c:pt>
                <c:pt idx="9">
                  <c:v>1.1200000000000001</c:v>
                </c:pt>
                <c:pt idx="10">
                  <c:v>1.19</c:v>
                </c:pt>
                <c:pt idx="11">
                  <c:v>1.28</c:v>
                </c:pt>
                <c:pt idx="12">
                  <c:v>1.26</c:v>
                </c:pt>
                <c:pt idx="13">
                  <c:v>1.23</c:v>
                </c:pt>
                <c:pt idx="14">
                  <c:v>1.1599999999999999</c:v>
                </c:pt>
                <c:pt idx="15">
                  <c:v>1.17</c:v>
                </c:pt>
                <c:pt idx="16">
                  <c:v>1.19</c:v>
                </c:pt>
                <c:pt idx="17">
                  <c:v>1.1100000000000001</c:v>
                </c:pt>
                <c:pt idx="18">
                  <c:v>0.97</c:v>
                </c:pt>
                <c:pt idx="19">
                  <c:v>1.04</c:v>
                </c:pt>
                <c:pt idx="20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F2B-4D8C-A44C-037A0DAC4CE1}"/>
            </c:ext>
          </c:extLst>
        </c:ser>
        <c:ser>
          <c:idx val="59"/>
          <c:order val="59"/>
          <c:tx>
            <c:strRef>
              <c:f>Inventory!$A$61:$D$61</c:f>
              <c:strCache>
                <c:ptCount val="4"/>
                <c:pt idx="0">
                  <c:v>SSG 08</c:v>
                </c:pt>
                <c:pt idx="1">
                  <c:v>StatTrak Death's Head MW</c:v>
                </c:pt>
                <c:pt idx="2">
                  <c:v>Other Rifle</c:v>
                </c:pt>
                <c:pt idx="3">
                  <c:v>Hydra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Inventory!$E$61:$FU$61</c:f>
              <c:numCache>
                <c:formatCode>General</c:formatCode>
                <c:ptCount val="173"/>
                <c:pt idx="6">
                  <c:v>10.85</c:v>
                </c:pt>
                <c:pt idx="7">
                  <c:v>9.94</c:v>
                </c:pt>
                <c:pt idx="8">
                  <c:v>10.85</c:v>
                </c:pt>
                <c:pt idx="9">
                  <c:v>10.87</c:v>
                </c:pt>
                <c:pt idx="10">
                  <c:v>10.86</c:v>
                </c:pt>
                <c:pt idx="11">
                  <c:v>11.36</c:v>
                </c:pt>
                <c:pt idx="12">
                  <c:v>11.61</c:v>
                </c:pt>
                <c:pt idx="13">
                  <c:v>11.59</c:v>
                </c:pt>
                <c:pt idx="14">
                  <c:v>11.47</c:v>
                </c:pt>
                <c:pt idx="15">
                  <c:v>11.23</c:v>
                </c:pt>
                <c:pt idx="16">
                  <c:v>11.13</c:v>
                </c:pt>
                <c:pt idx="17">
                  <c:v>11.42</c:v>
                </c:pt>
                <c:pt idx="18">
                  <c:v>11.87</c:v>
                </c:pt>
                <c:pt idx="19">
                  <c:v>14.44</c:v>
                </c:pt>
                <c:pt idx="20">
                  <c:v>13.98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1F2B-4D8C-A44C-037A0DAC4CE1}"/>
            </c:ext>
          </c:extLst>
        </c:ser>
        <c:ser>
          <c:idx val="60"/>
          <c:order val="60"/>
          <c:tx>
            <c:strRef>
              <c:f>Inventory!$A$62:$D$62</c:f>
              <c:strCache>
                <c:ptCount val="4"/>
                <c:pt idx="0">
                  <c:v>MP7</c:v>
                </c:pt>
                <c:pt idx="1">
                  <c:v>Nemesis MW</c:v>
                </c:pt>
                <c:pt idx="2">
                  <c:v>SMG</c:v>
                </c:pt>
                <c:pt idx="3">
                  <c:v>Falchion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Inventory!$E$62:$FU$62</c:f>
              <c:numCache>
                <c:formatCode>General</c:formatCode>
                <c:ptCount val="173"/>
                <c:pt idx="0">
                  <c:v>5.33</c:v>
                </c:pt>
                <c:pt idx="1">
                  <c:v>5.67</c:v>
                </c:pt>
                <c:pt idx="2">
                  <c:v>5.86</c:v>
                </c:pt>
                <c:pt idx="3">
                  <c:v>5.63</c:v>
                </c:pt>
                <c:pt idx="4">
                  <c:v>5.79</c:v>
                </c:pt>
                <c:pt idx="5">
                  <c:v>5.22</c:v>
                </c:pt>
                <c:pt idx="6">
                  <c:v>5.4</c:v>
                </c:pt>
                <c:pt idx="7">
                  <c:v>5.59</c:v>
                </c:pt>
                <c:pt idx="8">
                  <c:v>5.26</c:v>
                </c:pt>
                <c:pt idx="9">
                  <c:v>6.57</c:v>
                </c:pt>
                <c:pt idx="10">
                  <c:v>5.89</c:v>
                </c:pt>
                <c:pt idx="11">
                  <c:v>5.25</c:v>
                </c:pt>
                <c:pt idx="12">
                  <c:v>5.48</c:v>
                </c:pt>
                <c:pt idx="13">
                  <c:v>5.58</c:v>
                </c:pt>
                <c:pt idx="14">
                  <c:v>5.88</c:v>
                </c:pt>
                <c:pt idx="15">
                  <c:v>5.53</c:v>
                </c:pt>
                <c:pt idx="16">
                  <c:v>5.66</c:v>
                </c:pt>
                <c:pt idx="17">
                  <c:v>5.03</c:v>
                </c:pt>
                <c:pt idx="18">
                  <c:v>5.91</c:v>
                </c:pt>
                <c:pt idx="19">
                  <c:v>5.42</c:v>
                </c:pt>
                <c:pt idx="20">
                  <c:v>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F2B-4D8C-A44C-037A0DAC4CE1}"/>
            </c:ext>
          </c:extLst>
        </c:ser>
        <c:ser>
          <c:idx val="61"/>
          <c:order val="61"/>
          <c:tx>
            <c:strRef>
              <c:f>Inventory!$A$63:$D$63</c:f>
              <c:strCache>
                <c:ptCount val="4"/>
                <c:pt idx="0">
                  <c:v>USP-S</c:v>
                </c:pt>
                <c:pt idx="1">
                  <c:v>Cyrex WW</c:v>
                </c:pt>
                <c:pt idx="2">
                  <c:v>Pistol</c:v>
                </c:pt>
                <c:pt idx="3">
                  <c:v>Glove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Inventory!$E$63:$FU$63</c:f>
              <c:numCache>
                <c:formatCode>General</c:formatCode>
                <c:ptCount val="173"/>
                <c:pt idx="0">
                  <c:v>2.42</c:v>
                </c:pt>
                <c:pt idx="1">
                  <c:v>2.35</c:v>
                </c:pt>
                <c:pt idx="2">
                  <c:v>2.31</c:v>
                </c:pt>
                <c:pt idx="3">
                  <c:v>2.4300000000000002</c:v>
                </c:pt>
                <c:pt idx="4">
                  <c:v>2.42</c:v>
                </c:pt>
                <c:pt idx="5">
                  <c:v>2.33</c:v>
                </c:pt>
                <c:pt idx="6">
                  <c:v>2.37</c:v>
                </c:pt>
                <c:pt idx="7">
                  <c:v>2.39</c:v>
                </c:pt>
                <c:pt idx="8">
                  <c:v>2.2599999999999998</c:v>
                </c:pt>
                <c:pt idx="9">
                  <c:v>2.3199999999999998</c:v>
                </c:pt>
                <c:pt idx="10">
                  <c:v>2.35</c:v>
                </c:pt>
                <c:pt idx="11">
                  <c:v>2.38</c:v>
                </c:pt>
                <c:pt idx="12">
                  <c:v>2.36</c:v>
                </c:pt>
                <c:pt idx="13">
                  <c:v>2.41</c:v>
                </c:pt>
                <c:pt idx="14">
                  <c:v>2.37</c:v>
                </c:pt>
                <c:pt idx="15">
                  <c:v>2.4900000000000002</c:v>
                </c:pt>
                <c:pt idx="16">
                  <c:v>2.5</c:v>
                </c:pt>
                <c:pt idx="17">
                  <c:v>2.39</c:v>
                </c:pt>
                <c:pt idx="18">
                  <c:v>2.34</c:v>
                </c:pt>
                <c:pt idx="19">
                  <c:v>2.34</c:v>
                </c:pt>
                <c:pt idx="20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1F2B-4D8C-A44C-037A0DAC4CE1}"/>
            </c:ext>
          </c:extLst>
        </c:ser>
        <c:ser>
          <c:idx val="62"/>
          <c:order val="62"/>
          <c:tx>
            <c:strRef>
              <c:f>Inventory!$A$64:$D$64</c:f>
              <c:strCache>
                <c:ptCount val="4"/>
                <c:pt idx="0">
                  <c:v>M4A4</c:v>
                </c:pt>
                <c:pt idx="1">
                  <c:v>Evil Daimyo FN</c:v>
                </c:pt>
                <c:pt idx="2">
                  <c:v>M4A4</c:v>
                </c:pt>
                <c:pt idx="3">
                  <c:v>Falchion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Inventory!$E$64:$FU$64</c:f>
              <c:numCache>
                <c:formatCode>General</c:formatCode>
                <c:ptCount val="173"/>
                <c:pt idx="0">
                  <c:v>6.9</c:v>
                </c:pt>
                <c:pt idx="1">
                  <c:v>7.37</c:v>
                </c:pt>
                <c:pt idx="2">
                  <c:v>6.99</c:v>
                </c:pt>
                <c:pt idx="3">
                  <c:v>6.87</c:v>
                </c:pt>
                <c:pt idx="4">
                  <c:v>6.82</c:v>
                </c:pt>
                <c:pt idx="5">
                  <c:v>7.06</c:v>
                </c:pt>
                <c:pt idx="6">
                  <c:v>6.74</c:v>
                </c:pt>
                <c:pt idx="7">
                  <c:v>7.04</c:v>
                </c:pt>
                <c:pt idx="8">
                  <c:v>6.99</c:v>
                </c:pt>
                <c:pt idx="9">
                  <c:v>7.14</c:v>
                </c:pt>
                <c:pt idx="10">
                  <c:v>6.68</c:v>
                </c:pt>
                <c:pt idx="11">
                  <c:v>6.85</c:v>
                </c:pt>
                <c:pt idx="12">
                  <c:v>6.98</c:v>
                </c:pt>
                <c:pt idx="13">
                  <c:v>7.03</c:v>
                </c:pt>
                <c:pt idx="14">
                  <c:v>6.48</c:v>
                </c:pt>
                <c:pt idx="15">
                  <c:v>6.63</c:v>
                </c:pt>
                <c:pt idx="16">
                  <c:v>6.64</c:v>
                </c:pt>
                <c:pt idx="17">
                  <c:v>7.06</c:v>
                </c:pt>
                <c:pt idx="18">
                  <c:v>6.58</c:v>
                </c:pt>
                <c:pt idx="19">
                  <c:v>6.51</c:v>
                </c:pt>
                <c:pt idx="20">
                  <c:v>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F2B-4D8C-A44C-037A0DAC4CE1}"/>
            </c:ext>
          </c:extLst>
        </c:ser>
        <c:ser>
          <c:idx val="63"/>
          <c:order val="63"/>
          <c:tx>
            <c:strRef>
              <c:f>Inventory!$A$65:$D$65</c:f>
              <c:strCache>
                <c:ptCount val="4"/>
                <c:pt idx="0">
                  <c:v>Five-SeveN</c:v>
                </c:pt>
                <c:pt idx="1">
                  <c:v>StatTrak Monkey Business FT</c:v>
                </c:pt>
                <c:pt idx="2">
                  <c:v>Pistol</c:v>
                </c:pt>
                <c:pt idx="3">
                  <c:v>Chroma 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Inventory!$E$65:$FU$65</c:f>
              <c:numCache>
                <c:formatCode>General</c:formatCode>
                <c:ptCount val="173"/>
                <c:pt idx="0">
                  <c:v>4.9000000000000004</c:v>
                </c:pt>
                <c:pt idx="1">
                  <c:v>4.72</c:v>
                </c:pt>
                <c:pt idx="2">
                  <c:v>4.97</c:v>
                </c:pt>
                <c:pt idx="3">
                  <c:v>4.68</c:v>
                </c:pt>
                <c:pt idx="4">
                  <c:v>4.68</c:v>
                </c:pt>
                <c:pt idx="5">
                  <c:v>4.83</c:v>
                </c:pt>
                <c:pt idx="6">
                  <c:v>4.7699999999999996</c:v>
                </c:pt>
                <c:pt idx="7">
                  <c:v>4.92</c:v>
                </c:pt>
                <c:pt idx="8">
                  <c:v>4.55</c:v>
                </c:pt>
                <c:pt idx="9">
                  <c:v>4.4800000000000004</c:v>
                </c:pt>
                <c:pt idx="10">
                  <c:v>4.9000000000000004</c:v>
                </c:pt>
                <c:pt idx="11">
                  <c:v>4.76</c:v>
                </c:pt>
                <c:pt idx="12">
                  <c:v>4.92</c:v>
                </c:pt>
                <c:pt idx="13">
                  <c:v>4.67</c:v>
                </c:pt>
                <c:pt idx="14">
                  <c:v>4.7300000000000004</c:v>
                </c:pt>
                <c:pt idx="15">
                  <c:v>4.76</c:v>
                </c:pt>
                <c:pt idx="16">
                  <c:v>4.6900000000000004</c:v>
                </c:pt>
                <c:pt idx="17">
                  <c:v>4.21</c:v>
                </c:pt>
                <c:pt idx="18">
                  <c:v>4.8</c:v>
                </c:pt>
                <c:pt idx="19">
                  <c:v>4.51</c:v>
                </c:pt>
                <c:pt idx="20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1F2B-4D8C-A44C-037A0DAC4CE1}"/>
            </c:ext>
          </c:extLst>
        </c:ser>
        <c:ser>
          <c:idx val="64"/>
          <c:order val="64"/>
          <c:tx>
            <c:strRef>
              <c:f>Inventory!$A$66:$D$66</c:f>
              <c:strCache>
                <c:ptCount val="4"/>
                <c:pt idx="0">
                  <c:v>Nova</c:v>
                </c:pt>
                <c:pt idx="1">
                  <c:v>Wild Six FT</c:v>
                </c:pt>
                <c:pt idx="2">
                  <c:v>Heavy</c:v>
                </c:pt>
                <c:pt idx="3">
                  <c:v>Clutch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Inventory!$E$66:$FU$66</c:f>
              <c:numCache>
                <c:formatCode>General</c:formatCode>
                <c:ptCount val="173"/>
                <c:pt idx="0">
                  <c:v>0.36</c:v>
                </c:pt>
                <c:pt idx="1">
                  <c:v>0.34</c:v>
                </c:pt>
                <c:pt idx="2">
                  <c:v>0.35</c:v>
                </c:pt>
                <c:pt idx="3">
                  <c:v>0.32</c:v>
                </c:pt>
                <c:pt idx="4">
                  <c:v>0.35</c:v>
                </c:pt>
                <c:pt idx="5">
                  <c:v>0.32</c:v>
                </c:pt>
                <c:pt idx="6">
                  <c:v>0.32</c:v>
                </c:pt>
                <c:pt idx="7">
                  <c:v>0.34</c:v>
                </c:pt>
                <c:pt idx="8">
                  <c:v>0.38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0.32</c:v>
                </c:pt>
                <c:pt idx="13">
                  <c:v>0.35</c:v>
                </c:pt>
                <c:pt idx="14">
                  <c:v>0.3</c:v>
                </c:pt>
                <c:pt idx="15">
                  <c:v>0.32</c:v>
                </c:pt>
                <c:pt idx="16">
                  <c:v>0.35</c:v>
                </c:pt>
                <c:pt idx="17">
                  <c:v>0.35</c:v>
                </c:pt>
                <c:pt idx="18">
                  <c:v>0.31</c:v>
                </c:pt>
                <c:pt idx="19">
                  <c:v>0.32</c:v>
                </c:pt>
                <c:pt idx="20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F2B-4D8C-A44C-037A0DAC4CE1}"/>
            </c:ext>
          </c:extLst>
        </c:ser>
        <c:ser>
          <c:idx val="65"/>
          <c:order val="65"/>
          <c:tx>
            <c:strRef>
              <c:f>Inventory!$A$67:$D$67</c:f>
              <c:strCache>
                <c:ptCount val="4"/>
                <c:pt idx="0">
                  <c:v>CZ75-Auto</c:v>
                </c:pt>
                <c:pt idx="1">
                  <c:v>StatTrak Eco MW</c:v>
                </c:pt>
                <c:pt idx="2">
                  <c:v>Pistol</c:v>
                </c:pt>
                <c:pt idx="3">
                  <c:v>Horizon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Inventory!$E$67:$FU$67</c:f>
              <c:numCache>
                <c:formatCode>General</c:formatCode>
                <c:ptCount val="173"/>
                <c:pt idx="0">
                  <c:v>2.57</c:v>
                </c:pt>
                <c:pt idx="1">
                  <c:v>2.5</c:v>
                </c:pt>
                <c:pt idx="2">
                  <c:v>2.68</c:v>
                </c:pt>
                <c:pt idx="3">
                  <c:v>2.4300000000000002</c:v>
                </c:pt>
                <c:pt idx="4">
                  <c:v>2.61</c:v>
                </c:pt>
                <c:pt idx="5">
                  <c:v>2.62</c:v>
                </c:pt>
                <c:pt idx="6">
                  <c:v>2.66</c:v>
                </c:pt>
                <c:pt idx="7">
                  <c:v>2.67</c:v>
                </c:pt>
                <c:pt idx="8">
                  <c:v>2.58</c:v>
                </c:pt>
                <c:pt idx="9">
                  <c:v>2.81</c:v>
                </c:pt>
                <c:pt idx="10">
                  <c:v>2.78</c:v>
                </c:pt>
                <c:pt idx="11">
                  <c:v>2.82</c:v>
                </c:pt>
                <c:pt idx="12">
                  <c:v>2.93</c:v>
                </c:pt>
                <c:pt idx="13">
                  <c:v>2.42</c:v>
                </c:pt>
                <c:pt idx="14">
                  <c:v>2.65</c:v>
                </c:pt>
                <c:pt idx="15">
                  <c:v>2.7</c:v>
                </c:pt>
                <c:pt idx="16">
                  <c:v>2.5299999999999998</c:v>
                </c:pt>
                <c:pt idx="17">
                  <c:v>2.44</c:v>
                </c:pt>
                <c:pt idx="18">
                  <c:v>2.5299999999999998</c:v>
                </c:pt>
                <c:pt idx="19">
                  <c:v>2.39</c:v>
                </c:pt>
                <c:pt idx="20">
                  <c:v>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1F2B-4D8C-A44C-037A0DAC4CE1}"/>
            </c:ext>
          </c:extLst>
        </c:ser>
        <c:ser>
          <c:idx val="66"/>
          <c:order val="66"/>
          <c:tx>
            <c:strRef>
              <c:f>Inventory!$A$68:$D$68</c:f>
              <c:strCache>
                <c:ptCount val="4"/>
                <c:pt idx="0">
                  <c:v>Flip Knife</c:v>
                </c:pt>
                <c:pt idx="1">
                  <c:v>Freehand FN</c:v>
                </c:pt>
                <c:pt idx="2">
                  <c:v>Knife</c:v>
                </c:pt>
                <c:pt idx="3">
                  <c:v>Gamma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Inventory!$E$68:$FU$68</c:f>
              <c:numCache>
                <c:formatCode>General</c:formatCode>
                <c:ptCount val="173"/>
                <c:pt idx="0">
                  <c:v>194.62</c:v>
                </c:pt>
                <c:pt idx="1">
                  <c:v>191.6</c:v>
                </c:pt>
                <c:pt idx="2">
                  <c:v>180.11</c:v>
                </c:pt>
                <c:pt idx="3">
                  <c:v>192.42</c:v>
                </c:pt>
                <c:pt idx="4">
                  <c:v>192.42</c:v>
                </c:pt>
                <c:pt idx="5">
                  <c:v>191.29</c:v>
                </c:pt>
                <c:pt idx="6">
                  <c:v>183.02</c:v>
                </c:pt>
                <c:pt idx="7">
                  <c:v>190.84</c:v>
                </c:pt>
                <c:pt idx="8">
                  <c:v>183.2</c:v>
                </c:pt>
                <c:pt idx="9">
                  <c:v>188.79</c:v>
                </c:pt>
                <c:pt idx="10">
                  <c:v>188.98</c:v>
                </c:pt>
                <c:pt idx="11">
                  <c:v>181.09</c:v>
                </c:pt>
                <c:pt idx="12">
                  <c:v>190.1</c:v>
                </c:pt>
                <c:pt idx="13">
                  <c:v>189.75</c:v>
                </c:pt>
                <c:pt idx="14">
                  <c:v>180.74</c:v>
                </c:pt>
                <c:pt idx="15">
                  <c:v>189.61</c:v>
                </c:pt>
                <c:pt idx="16">
                  <c:v>186.36</c:v>
                </c:pt>
                <c:pt idx="17">
                  <c:v>180.21</c:v>
                </c:pt>
                <c:pt idx="18">
                  <c:v>164.58</c:v>
                </c:pt>
                <c:pt idx="19">
                  <c:v>169.76</c:v>
                </c:pt>
                <c:pt idx="20">
                  <c:v>185.28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F2B-4D8C-A44C-037A0DAC4CE1}"/>
            </c:ext>
          </c:extLst>
        </c:ser>
        <c:ser>
          <c:idx val="67"/>
          <c:order val="67"/>
          <c:tx>
            <c:strRef>
              <c:f>Inventory!$A$69:$D$69</c:f>
              <c:strCache>
                <c:ptCount val="4"/>
                <c:pt idx="0">
                  <c:v>USP-S</c:v>
                </c:pt>
                <c:pt idx="1">
                  <c:v>StatTrak Cyrex FN</c:v>
                </c:pt>
                <c:pt idx="2">
                  <c:v>Pistol</c:v>
                </c:pt>
                <c:pt idx="3">
                  <c:v>Glove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Inventory!$E$69:$FU$69</c:f>
              <c:numCache>
                <c:formatCode>General</c:formatCode>
                <c:ptCount val="173"/>
                <c:pt idx="0">
                  <c:v>12.25</c:v>
                </c:pt>
                <c:pt idx="1">
                  <c:v>13.38</c:v>
                </c:pt>
                <c:pt idx="2">
                  <c:v>12.8</c:v>
                </c:pt>
                <c:pt idx="3">
                  <c:v>13.84</c:v>
                </c:pt>
                <c:pt idx="4">
                  <c:v>13.63</c:v>
                </c:pt>
                <c:pt idx="5">
                  <c:v>13.45</c:v>
                </c:pt>
                <c:pt idx="6">
                  <c:v>12.42</c:v>
                </c:pt>
                <c:pt idx="7">
                  <c:v>13.28</c:v>
                </c:pt>
                <c:pt idx="8">
                  <c:v>13.28</c:v>
                </c:pt>
                <c:pt idx="9">
                  <c:v>13.01</c:v>
                </c:pt>
                <c:pt idx="10">
                  <c:v>12.76</c:v>
                </c:pt>
                <c:pt idx="11">
                  <c:v>11.82</c:v>
                </c:pt>
                <c:pt idx="12">
                  <c:v>13.23</c:v>
                </c:pt>
                <c:pt idx="13">
                  <c:v>13.37</c:v>
                </c:pt>
                <c:pt idx="14">
                  <c:v>12.95</c:v>
                </c:pt>
                <c:pt idx="15">
                  <c:v>13.49</c:v>
                </c:pt>
                <c:pt idx="16">
                  <c:v>13.24</c:v>
                </c:pt>
                <c:pt idx="17">
                  <c:v>12.62</c:v>
                </c:pt>
                <c:pt idx="18">
                  <c:v>13.16</c:v>
                </c:pt>
                <c:pt idx="19">
                  <c:v>12.6</c:v>
                </c:pt>
                <c:pt idx="20">
                  <c:v>12.78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1F2B-4D8C-A44C-037A0DAC4CE1}"/>
            </c:ext>
          </c:extLst>
        </c:ser>
        <c:ser>
          <c:idx val="68"/>
          <c:order val="68"/>
          <c:tx>
            <c:strRef>
              <c:f>Inventory!$A$70:$D$70</c:f>
              <c:strCache>
                <c:ptCount val="4"/>
                <c:pt idx="0">
                  <c:v>UMP-45</c:v>
                </c:pt>
                <c:pt idx="1">
                  <c:v>StatTrak Primal Saber FT</c:v>
                </c:pt>
                <c:pt idx="2">
                  <c:v>SMG</c:v>
                </c:pt>
                <c:pt idx="3">
                  <c:v>Chroma 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Inventory!$E$70:$FU$70</c:f>
              <c:numCache>
                <c:formatCode>General</c:formatCode>
                <c:ptCount val="173"/>
                <c:pt idx="0">
                  <c:v>4.41</c:v>
                </c:pt>
                <c:pt idx="1">
                  <c:v>4.16</c:v>
                </c:pt>
                <c:pt idx="2">
                  <c:v>4.37</c:v>
                </c:pt>
                <c:pt idx="3">
                  <c:v>4.34</c:v>
                </c:pt>
                <c:pt idx="4">
                  <c:v>3.77</c:v>
                </c:pt>
                <c:pt idx="5">
                  <c:v>4.34</c:v>
                </c:pt>
                <c:pt idx="6">
                  <c:v>3.96</c:v>
                </c:pt>
                <c:pt idx="7">
                  <c:v>4.2699999999999996</c:v>
                </c:pt>
                <c:pt idx="8">
                  <c:v>4.05</c:v>
                </c:pt>
                <c:pt idx="9">
                  <c:v>3.79</c:v>
                </c:pt>
                <c:pt idx="10">
                  <c:v>3.93</c:v>
                </c:pt>
                <c:pt idx="11">
                  <c:v>3.88</c:v>
                </c:pt>
                <c:pt idx="12">
                  <c:v>4.2300000000000004</c:v>
                </c:pt>
                <c:pt idx="13">
                  <c:v>3.91</c:v>
                </c:pt>
                <c:pt idx="14">
                  <c:v>4.33</c:v>
                </c:pt>
                <c:pt idx="15">
                  <c:v>3.93</c:v>
                </c:pt>
                <c:pt idx="16">
                  <c:v>4.08</c:v>
                </c:pt>
                <c:pt idx="17">
                  <c:v>3.75</c:v>
                </c:pt>
                <c:pt idx="18">
                  <c:v>4.1900000000000004</c:v>
                </c:pt>
                <c:pt idx="19">
                  <c:v>3.74</c:v>
                </c:pt>
                <c:pt idx="20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F2B-4D8C-A44C-037A0DAC4CE1}"/>
            </c:ext>
          </c:extLst>
        </c:ser>
        <c:ser>
          <c:idx val="69"/>
          <c:order val="69"/>
          <c:tx>
            <c:strRef>
              <c:f>Inventory!$A$71:$D$71</c:f>
              <c:strCache>
                <c:ptCount val="4"/>
                <c:pt idx="0">
                  <c:v>Dual Berettas</c:v>
                </c:pt>
                <c:pt idx="1">
                  <c:v>Urban Shock MW</c:v>
                </c:pt>
                <c:pt idx="2">
                  <c:v>Pistol</c:v>
                </c:pt>
                <c:pt idx="3">
                  <c:v>Chroma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Inventory!$E$71:$FU$71</c:f>
              <c:numCache>
                <c:formatCode>General</c:formatCode>
                <c:ptCount val="173"/>
                <c:pt idx="0">
                  <c:v>1.39</c:v>
                </c:pt>
                <c:pt idx="1">
                  <c:v>1.46</c:v>
                </c:pt>
                <c:pt idx="2">
                  <c:v>1.35</c:v>
                </c:pt>
                <c:pt idx="3">
                  <c:v>1.38</c:v>
                </c:pt>
                <c:pt idx="4">
                  <c:v>1.39</c:v>
                </c:pt>
                <c:pt idx="5">
                  <c:v>1.35</c:v>
                </c:pt>
                <c:pt idx="6">
                  <c:v>1.43</c:v>
                </c:pt>
                <c:pt idx="7">
                  <c:v>1.42</c:v>
                </c:pt>
                <c:pt idx="8">
                  <c:v>1.35</c:v>
                </c:pt>
                <c:pt idx="9">
                  <c:v>1.45</c:v>
                </c:pt>
                <c:pt idx="10">
                  <c:v>1.43</c:v>
                </c:pt>
                <c:pt idx="11">
                  <c:v>1.32</c:v>
                </c:pt>
                <c:pt idx="12">
                  <c:v>1.38</c:v>
                </c:pt>
                <c:pt idx="13">
                  <c:v>1.44</c:v>
                </c:pt>
                <c:pt idx="14">
                  <c:v>1.33</c:v>
                </c:pt>
                <c:pt idx="15">
                  <c:v>1.46</c:v>
                </c:pt>
                <c:pt idx="16">
                  <c:v>1.42</c:v>
                </c:pt>
                <c:pt idx="17">
                  <c:v>1.44</c:v>
                </c:pt>
                <c:pt idx="18">
                  <c:v>1.45</c:v>
                </c:pt>
                <c:pt idx="19">
                  <c:v>1.44</c:v>
                </c:pt>
                <c:pt idx="20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1F2B-4D8C-A44C-037A0DAC4CE1}"/>
            </c:ext>
          </c:extLst>
        </c:ser>
        <c:ser>
          <c:idx val="70"/>
          <c:order val="70"/>
          <c:tx>
            <c:strRef>
              <c:f>Inventory!$A$72:$D$72</c:f>
              <c:strCache>
                <c:ptCount val="4"/>
                <c:pt idx="0">
                  <c:v>Glock-18</c:v>
                </c:pt>
                <c:pt idx="1">
                  <c:v>StatTrak Water Elemental FT</c:v>
                </c:pt>
                <c:pt idx="2">
                  <c:v>Pistol</c:v>
                </c:pt>
                <c:pt idx="3">
                  <c:v>Breakout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Inventory!$E$72:$FU$72</c:f>
              <c:numCache>
                <c:formatCode>General</c:formatCode>
                <c:ptCount val="173"/>
                <c:pt idx="0">
                  <c:v>12.57</c:v>
                </c:pt>
                <c:pt idx="1">
                  <c:v>10.7</c:v>
                </c:pt>
                <c:pt idx="2">
                  <c:v>12.88</c:v>
                </c:pt>
                <c:pt idx="3">
                  <c:v>12.64</c:v>
                </c:pt>
                <c:pt idx="4">
                  <c:v>12.69</c:v>
                </c:pt>
                <c:pt idx="5">
                  <c:v>13.17</c:v>
                </c:pt>
                <c:pt idx="6">
                  <c:v>13.28</c:v>
                </c:pt>
                <c:pt idx="7">
                  <c:v>13.14</c:v>
                </c:pt>
                <c:pt idx="8">
                  <c:v>12.09</c:v>
                </c:pt>
                <c:pt idx="9">
                  <c:v>13.02</c:v>
                </c:pt>
                <c:pt idx="10">
                  <c:v>12.56</c:v>
                </c:pt>
                <c:pt idx="11">
                  <c:v>12.68</c:v>
                </c:pt>
                <c:pt idx="12">
                  <c:v>12.15</c:v>
                </c:pt>
                <c:pt idx="13">
                  <c:v>12.04</c:v>
                </c:pt>
                <c:pt idx="14">
                  <c:v>11.22</c:v>
                </c:pt>
                <c:pt idx="15">
                  <c:v>12.26</c:v>
                </c:pt>
                <c:pt idx="16">
                  <c:v>11.7</c:v>
                </c:pt>
                <c:pt idx="17">
                  <c:v>11.22</c:v>
                </c:pt>
                <c:pt idx="18">
                  <c:v>12.11</c:v>
                </c:pt>
                <c:pt idx="19">
                  <c:v>11.36</c:v>
                </c:pt>
                <c:pt idx="20">
                  <c:v>12.62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F2B-4D8C-A44C-037A0DAC4CE1}"/>
            </c:ext>
          </c:extLst>
        </c:ser>
        <c:ser>
          <c:idx val="71"/>
          <c:order val="71"/>
          <c:tx>
            <c:strRef>
              <c:f>Inventory!$A$73:$D$73</c:f>
              <c:strCache>
                <c:ptCount val="4"/>
                <c:pt idx="0">
                  <c:v>AWP</c:v>
                </c:pt>
                <c:pt idx="1">
                  <c:v>Elite Build FT</c:v>
                </c:pt>
                <c:pt idx="2">
                  <c:v>AWP</c:v>
                </c:pt>
                <c:pt idx="3">
                  <c:v>Wildfire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Inventory!$E$73:$FU$73</c:f>
              <c:numCache>
                <c:formatCode>General</c:formatCode>
                <c:ptCount val="173"/>
                <c:pt idx="0">
                  <c:v>6.81</c:v>
                </c:pt>
                <c:pt idx="1">
                  <c:v>7.26</c:v>
                </c:pt>
                <c:pt idx="2">
                  <c:v>7.22</c:v>
                </c:pt>
                <c:pt idx="3">
                  <c:v>6.73</c:v>
                </c:pt>
                <c:pt idx="4">
                  <c:v>6.71</c:v>
                </c:pt>
                <c:pt idx="5">
                  <c:v>6.73</c:v>
                </c:pt>
                <c:pt idx="6">
                  <c:v>6.97</c:v>
                </c:pt>
                <c:pt idx="7">
                  <c:v>7.34</c:v>
                </c:pt>
                <c:pt idx="8">
                  <c:v>7.18</c:v>
                </c:pt>
                <c:pt idx="9">
                  <c:v>6.93</c:v>
                </c:pt>
                <c:pt idx="10">
                  <c:v>6.5</c:v>
                </c:pt>
                <c:pt idx="11">
                  <c:v>6.4</c:v>
                </c:pt>
                <c:pt idx="12">
                  <c:v>7.28</c:v>
                </c:pt>
                <c:pt idx="13">
                  <c:v>7.32</c:v>
                </c:pt>
                <c:pt idx="14">
                  <c:v>7.71</c:v>
                </c:pt>
                <c:pt idx="15">
                  <c:v>7.27</c:v>
                </c:pt>
                <c:pt idx="16">
                  <c:v>7.36</c:v>
                </c:pt>
                <c:pt idx="17">
                  <c:v>7.14</c:v>
                </c:pt>
                <c:pt idx="18">
                  <c:v>7.32</c:v>
                </c:pt>
                <c:pt idx="19">
                  <c:v>7.2</c:v>
                </c:pt>
                <c:pt idx="20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1F2B-4D8C-A44C-037A0DAC4CE1}"/>
            </c:ext>
          </c:extLst>
        </c:ser>
        <c:ser>
          <c:idx val="72"/>
          <c:order val="72"/>
          <c:tx>
            <c:strRef>
              <c:f>Inventory!$A$74:$D$74</c:f>
              <c:strCache>
                <c:ptCount val="4"/>
                <c:pt idx="0">
                  <c:v>AK-47</c:v>
                </c:pt>
                <c:pt idx="1">
                  <c:v>Redline FT</c:v>
                </c:pt>
                <c:pt idx="2">
                  <c:v>AK-47</c:v>
                </c:pt>
                <c:pt idx="3">
                  <c:v>Phoenix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Inventory!$E$74:$FU$74</c:f>
              <c:numCache>
                <c:formatCode>General</c:formatCode>
                <c:ptCount val="173"/>
                <c:pt idx="0">
                  <c:v>18.21</c:v>
                </c:pt>
                <c:pt idx="1">
                  <c:v>18.21</c:v>
                </c:pt>
                <c:pt idx="2">
                  <c:v>18.36</c:v>
                </c:pt>
                <c:pt idx="3">
                  <c:v>18.21</c:v>
                </c:pt>
                <c:pt idx="4">
                  <c:v>18.2</c:v>
                </c:pt>
                <c:pt idx="5">
                  <c:v>18.899999999999999</c:v>
                </c:pt>
                <c:pt idx="6">
                  <c:v>17.899999999999999</c:v>
                </c:pt>
                <c:pt idx="7">
                  <c:v>18.010000000000002</c:v>
                </c:pt>
                <c:pt idx="8">
                  <c:v>18.05</c:v>
                </c:pt>
                <c:pt idx="9">
                  <c:v>18.100000000000001</c:v>
                </c:pt>
                <c:pt idx="10">
                  <c:v>18.11</c:v>
                </c:pt>
                <c:pt idx="11">
                  <c:v>17.559999999999999</c:v>
                </c:pt>
                <c:pt idx="12">
                  <c:v>18.05</c:v>
                </c:pt>
                <c:pt idx="13">
                  <c:v>17.829999999999998</c:v>
                </c:pt>
                <c:pt idx="14">
                  <c:v>17.53</c:v>
                </c:pt>
                <c:pt idx="15">
                  <c:v>17.329999999999998</c:v>
                </c:pt>
                <c:pt idx="16">
                  <c:v>17.55</c:v>
                </c:pt>
                <c:pt idx="17">
                  <c:v>17.43</c:v>
                </c:pt>
                <c:pt idx="18">
                  <c:v>17.559999999999999</c:v>
                </c:pt>
                <c:pt idx="19">
                  <c:v>17.63</c:v>
                </c:pt>
                <c:pt idx="20">
                  <c:v>17.88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F2B-4D8C-A44C-037A0DAC4CE1}"/>
            </c:ext>
          </c:extLst>
        </c:ser>
        <c:ser>
          <c:idx val="73"/>
          <c:order val="73"/>
          <c:tx>
            <c:strRef>
              <c:f>Inventory!$A$75:$D$75</c:f>
              <c:strCache>
                <c:ptCount val="4"/>
                <c:pt idx="0">
                  <c:v>FAMAS</c:v>
                </c:pt>
                <c:pt idx="1">
                  <c:v>Roll Cage MW</c:v>
                </c:pt>
                <c:pt idx="2">
                  <c:v>Other Rifle</c:v>
                </c:pt>
                <c:pt idx="3">
                  <c:v>Gamma 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Inventory!$E$75:$FU$75</c:f>
              <c:numCache>
                <c:formatCode>General</c:formatCode>
                <c:ptCount val="173"/>
                <c:pt idx="6">
                  <c:v>6.22</c:v>
                </c:pt>
                <c:pt idx="7">
                  <c:v>6.24</c:v>
                </c:pt>
                <c:pt idx="8">
                  <c:v>6.41</c:v>
                </c:pt>
                <c:pt idx="9">
                  <c:v>6.04</c:v>
                </c:pt>
                <c:pt idx="10">
                  <c:v>6.51</c:v>
                </c:pt>
                <c:pt idx="11">
                  <c:v>6.35</c:v>
                </c:pt>
                <c:pt idx="12">
                  <c:v>5.89</c:v>
                </c:pt>
                <c:pt idx="13">
                  <c:v>6.11</c:v>
                </c:pt>
                <c:pt idx="14">
                  <c:v>6.27</c:v>
                </c:pt>
                <c:pt idx="15">
                  <c:v>6.52</c:v>
                </c:pt>
                <c:pt idx="16">
                  <c:v>6.3</c:v>
                </c:pt>
                <c:pt idx="17">
                  <c:v>6.39</c:v>
                </c:pt>
                <c:pt idx="18">
                  <c:v>6.34</c:v>
                </c:pt>
                <c:pt idx="19">
                  <c:v>6.46</c:v>
                </c:pt>
                <c:pt idx="20">
                  <c:v>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1F2B-4D8C-A44C-037A0DAC4CE1}"/>
            </c:ext>
          </c:extLst>
        </c:ser>
        <c:ser>
          <c:idx val="74"/>
          <c:order val="74"/>
          <c:tx>
            <c:strRef>
              <c:f>Inventory!$A$76:$D$76</c:f>
              <c:strCache>
                <c:ptCount val="4"/>
                <c:pt idx="0">
                  <c:v>M4A1-S</c:v>
                </c:pt>
                <c:pt idx="1">
                  <c:v>Golden Coil FT</c:v>
                </c:pt>
                <c:pt idx="2">
                  <c:v>M4A1-S</c:v>
                </c:pt>
                <c:pt idx="3">
                  <c:v>Shadow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Inventory!$E$76:$FU$76</c:f>
              <c:numCache>
                <c:formatCode>General</c:formatCode>
                <c:ptCount val="173"/>
                <c:pt idx="0">
                  <c:v>15.54</c:v>
                </c:pt>
                <c:pt idx="1">
                  <c:v>15.25</c:v>
                </c:pt>
                <c:pt idx="2">
                  <c:v>15.81</c:v>
                </c:pt>
                <c:pt idx="3">
                  <c:v>15.02</c:v>
                </c:pt>
                <c:pt idx="4">
                  <c:v>15.8</c:v>
                </c:pt>
                <c:pt idx="5">
                  <c:v>15.47</c:v>
                </c:pt>
                <c:pt idx="6">
                  <c:v>15.35</c:v>
                </c:pt>
                <c:pt idx="7">
                  <c:v>15.48</c:v>
                </c:pt>
                <c:pt idx="8">
                  <c:v>15.22</c:v>
                </c:pt>
                <c:pt idx="9">
                  <c:v>14.51</c:v>
                </c:pt>
                <c:pt idx="10">
                  <c:v>15.48</c:v>
                </c:pt>
                <c:pt idx="11">
                  <c:v>14.67</c:v>
                </c:pt>
                <c:pt idx="12">
                  <c:v>14.07</c:v>
                </c:pt>
                <c:pt idx="13">
                  <c:v>14.65</c:v>
                </c:pt>
                <c:pt idx="14">
                  <c:v>14.89</c:v>
                </c:pt>
                <c:pt idx="15">
                  <c:v>14.91</c:v>
                </c:pt>
                <c:pt idx="16">
                  <c:v>15.3</c:v>
                </c:pt>
                <c:pt idx="17">
                  <c:v>15.45</c:v>
                </c:pt>
                <c:pt idx="18">
                  <c:v>14.51</c:v>
                </c:pt>
                <c:pt idx="19">
                  <c:v>14.75</c:v>
                </c:pt>
                <c:pt idx="20">
                  <c:v>15.68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F2B-4D8C-A44C-037A0DAC4CE1}"/>
            </c:ext>
          </c:extLst>
        </c:ser>
        <c:ser>
          <c:idx val="75"/>
          <c:order val="75"/>
          <c:tx>
            <c:strRef>
              <c:f>Inventory!$A$77:$D$77</c:f>
              <c:strCache>
                <c:ptCount val="4"/>
                <c:pt idx="0">
                  <c:v>M4A4</c:v>
                </c:pt>
                <c:pt idx="1">
                  <c:v>Bullet Rain MW</c:v>
                </c:pt>
                <c:pt idx="2">
                  <c:v>M4A4</c:v>
                </c:pt>
                <c:pt idx="3">
                  <c:v>eSports 2014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Inventory!$E$77:$FU$77</c:f>
              <c:numCache>
                <c:formatCode>General</c:formatCode>
                <c:ptCount val="173"/>
                <c:pt idx="0">
                  <c:v>17.309999999999999</c:v>
                </c:pt>
                <c:pt idx="1">
                  <c:v>16.39</c:v>
                </c:pt>
                <c:pt idx="2">
                  <c:v>18.760000000000002</c:v>
                </c:pt>
                <c:pt idx="3">
                  <c:v>18.239999999999998</c:v>
                </c:pt>
                <c:pt idx="4">
                  <c:v>18.28</c:v>
                </c:pt>
                <c:pt idx="5">
                  <c:v>17.510000000000002</c:v>
                </c:pt>
                <c:pt idx="6">
                  <c:v>17.170000000000002</c:v>
                </c:pt>
                <c:pt idx="7">
                  <c:v>18.43</c:v>
                </c:pt>
                <c:pt idx="8">
                  <c:v>17.95</c:v>
                </c:pt>
                <c:pt idx="9">
                  <c:v>18.690000000000001</c:v>
                </c:pt>
                <c:pt idx="10">
                  <c:v>17.260000000000002</c:v>
                </c:pt>
                <c:pt idx="11">
                  <c:v>18.41</c:v>
                </c:pt>
                <c:pt idx="12">
                  <c:v>18.350000000000001</c:v>
                </c:pt>
                <c:pt idx="13">
                  <c:v>18.91</c:v>
                </c:pt>
                <c:pt idx="14">
                  <c:v>17.68</c:v>
                </c:pt>
                <c:pt idx="15">
                  <c:v>18.25</c:v>
                </c:pt>
                <c:pt idx="16">
                  <c:v>18.32</c:v>
                </c:pt>
                <c:pt idx="17">
                  <c:v>18.260000000000002</c:v>
                </c:pt>
                <c:pt idx="18">
                  <c:v>17.87</c:v>
                </c:pt>
                <c:pt idx="19">
                  <c:v>18.21</c:v>
                </c:pt>
                <c:pt idx="20">
                  <c:v>18.78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1F2B-4D8C-A44C-037A0DAC4CE1}"/>
            </c:ext>
          </c:extLst>
        </c:ser>
        <c:ser>
          <c:idx val="76"/>
          <c:order val="76"/>
          <c:tx>
            <c:strRef>
              <c:f>Inventory!$A$78:$D$78</c:f>
              <c:strCache>
                <c:ptCount val="4"/>
                <c:pt idx="0">
                  <c:v>AWP</c:v>
                </c:pt>
                <c:pt idx="1">
                  <c:v>Fever Dream MW</c:v>
                </c:pt>
                <c:pt idx="2">
                  <c:v>AWP</c:v>
                </c:pt>
                <c:pt idx="3">
                  <c:v>Spectrum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Inventory!$E$78:$FU$78</c:f>
              <c:numCache>
                <c:formatCode>General</c:formatCode>
                <c:ptCount val="173"/>
                <c:pt idx="0">
                  <c:v>7.47</c:v>
                </c:pt>
                <c:pt idx="1">
                  <c:v>7.52</c:v>
                </c:pt>
                <c:pt idx="2">
                  <c:v>7.36</c:v>
                </c:pt>
                <c:pt idx="3">
                  <c:v>7.24</c:v>
                </c:pt>
                <c:pt idx="4">
                  <c:v>7.42</c:v>
                </c:pt>
                <c:pt idx="5">
                  <c:v>7.21</c:v>
                </c:pt>
                <c:pt idx="6">
                  <c:v>7.03</c:v>
                </c:pt>
                <c:pt idx="7">
                  <c:v>7.44</c:v>
                </c:pt>
                <c:pt idx="8">
                  <c:v>7.33</c:v>
                </c:pt>
                <c:pt idx="9">
                  <c:v>6.98</c:v>
                </c:pt>
                <c:pt idx="10">
                  <c:v>6.95</c:v>
                </c:pt>
                <c:pt idx="11">
                  <c:v>6.92</c:v>
                </c:pt>
                <c:pt idx="12">
                  <c:v>7.05</c:v>
                </c:pt>
                <c:pt idx="13">
                  <c:v>6.62</c:v>
                </c:pt>
                <c:pt idx="14">
                  <c:v>6.71</c:v>
                </c:pt>
                <c:pt idx="15">
                  <c:v>7.14</c:v>
                </c:pt>
                <c:pt idx="16">
                  <c:v>6.86</c:v>
                </c:pt>
                <c:pt idx="17">
                  <c:v>7.3</c:v>
                </c:pt>
                <c:pt idx="18">
                  <c:v>7.04</c:v>
                </c:pt>
                <c:pt idx="19">
                  <c:v>6.9</c:v>
                </c:pt>
                <c:pt idx="20">
                  <c:v>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F2B-4D8C-A44C-037A0DAC4CE1}"/>
            </c:ext>
          </c:extLst>
        </c:ser>
        <c:ser>
          <c:idx val="77"/>
          <c:order val="77"/>
          <c:tx>
            <c:strRef>
              <c:f>Inventory!$A$79:$D$79</c:f>
              <c:strCache>
                <c:ptCount val="4"/>
                <c:pt idx="0">
                  <c:v>M4A4</c:v>
                </c:pt>
                <c:pt idx="1">
                  <c:v>Desolate Space MW</c:v>
                </c:pt>
                <c:pt idx="2">
                  <c:v>M4A4</c:v>
                </c:pt>
                <c:pt idx="3">
                  <c:v>Gamma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Inventory!$E$79:$FU$79</c:f>
              <c:numCache>
                <c:formatCode>General</c:formatCode>
                <c:ptCount val="173"/>
                <c:pt idx="0">
                  <c:v>13.77</c:v>
                </c:pt>
                <c:pt idx="1">
                  <c:v>14.43</c:v>
                </c:pt>
                <c:pt idx="2">
                  <c:v>13.96</c:v>
                </c:pt>
                <c:pt idx="3">
                  <c:v>13.19</c:v>
                </c:pt>
                <c:pt idx="4">
                  <c:v>14.41</c:v>
                </c:pt>
                <c:pt idx="5">
                  <c:v>14.08</c:v>
                </c:pt>
                <c:pt idx="6">
                  <c:v>14.66</c:v>
                </c:pt>
                <c:pt idx="7">
                  <c:v>13.65</c:v>
                </c:pt>
                <c:pt idx="8">
                  <c:v>13.29</c:v>
                </c:pt>
                <c:pt idx="9">
                  <c:v>13.64</c:v>
                </c:pt>
                <c:pt idx="10">
                  <c:v>13.24</c:v>
                </c:pt>
                <c:pt idx="11">
                  <c:v>13.22</c:v>
                </c:pt>
                <c:pt idx="12">
                  <c:v>13.98</c:v>
                </c:pt>
                <c:pt idx="13">
                  <c:v>13.53</c:v>
                </c:pt>
                <c:pt idx="14">
                  <c:v>13.74</c:v>
                </c:pt>
                <c:pt idx="15">
                  <c:v>13.68</c:v>
                </c:pt>
                <c:pt idx="16">
                  <c:v>13.85</c:v>
                </c:pt>
                <c:pt idx="17">
                  <c:v>12.95</c:v>
                </c:pt>
                <c:pt idx="18">
                  <c:v>13.12</c:v>
                </c:pt>
                <c:pt idx="19">
                  <c:v>13.6</c:v>
                </c:pt>
                <c:pt idx="20">
                  <c:v>13.04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1F2B-4D8C-A44C-037A0DAC4CE1}"/>
            </c:ext>
          </c:extLst>
        </c:ser>
        <c:ser>
          <c:idx val="78"/>
          <c:order val="78"/>
          <c:tx>
            <c:strRef>
              <c:f>Inventory!$A$80:$D$80</c:f>
              <c:strCache>
                <c:ptCount val="4"/>
                <c:pt idx="0">
                  <c:v>R8 Revolver</c:v>
                </c:pt>
                <c:pt idx="1">
                  <c:v>Reboot FT</c:v>
                </c:pt>
                <c:pt idx="2">
                  <c:v>Pistol</c:v>
                </c:pt>
                <c:pt idx="3">
                  <c:v>Gamma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Inventory!$E$80:$FU$80</c:f>
              <c:numCache>
                <c:formatCode>General</c:formatCode>
                <c:ptCount val="173"/>
                <c:pt idx="0">
                  <c:v>0.64</c:v>
                </c:pt>
                <c:pt idx="1">
                  <c:v>0.62</c:v>
                </c:pt>
                <c:pt idx="2">
                  <c:v>0.65</c:v>
                </c:pt>
                <c:pt idx="3">
                  <c:v>0.61</c:v>
                </c:pt>
                <c:pt idx="4">
                  <c:v>0.62</c:v>
                </c:pt>
                <c:pt idx="5">
                  <c:v>0.66</c:v>
                </c:pt>
                <c:pt idx="6">
                  <c:v>0.71</c:v>
                </c:pt>
                <c:pt idx="7">
                  <c:v>0.69</c:v>
                </c:pt>
                <c:pt idx="8">
                  <c:v>0.7</c:v>
                </c:pt>
                <c:pt idx="9">
                  <c:v>0.66</c:v>
                </c:pt>
                <c:pt idx="10">
                  <c:v>0.62</c:v>
                </c:pt>
                <c:pt idx="11">
                  <c:v>0.65</c:v>
                </c:pt>
                <c:pt idx="12">
                  <c:v>0.63</c:v>
                </c:pt>
                <c:pt idx="13">
                  <c:v>0.63</c:v>
                </c:pt>
                <c:pt idx="14">
                  <c:v>0.6</c:v>
                </c:pt>
                <c:pt idx="15">
                  <c:v>0.6</c:v>
                </c:pt>
                <c:pt idx="16">
                  <c:v>0.55000000000000004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F2B-4D8C-A44C-037A0DAC4CE1}"/>
            </c:ext>
          </c:extLst>
        </c:ser>
        <c:ser>
          <c:idx val="79"/>
          <c:order val="79"/>
          <c:tx>
            <c:strRef>
              <c:f>Inventory!$A$81:$D$81</c:f>
              <c:strCache>
                <c:ptCount val="4"/>
                <c:pt idx="0">
                  <c:v>G3SG1</c:v>
                </c:pt>
                <c:pt idx="1">
                  <c:v>Stinger FN</c:v>
                </c:pt>
                <c:pt idx="2">
                  <c:v>Other Rifle</c:v>
                </c:pt>
                <c:pt idx="3">
                  <c:v>Glove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Inventory!$E$81:$FU$81</c:f>
              <c:numCache>
                <c:formatCode>General</c:formatCode>
                <c:ptCount val="173"/>
                <c:pt idx="6">
                  <c:v>1.07</c:v>
                </c:pt>
                <c:pt idx="7">
                  <c:v>1.17</c:v>
                </c:pt>
                <c:pt idx="8">
                  <c:v>1.1000000000000001</c:v>
                </c:pt>
                <c:pt idx="9">
                  <c:v>1.18</c:v>
                </c:pt>
                <c:pt idx="10">
                  <c:v>1.1100000000000001</c:v>
                </c:pt>
                <c:pt idx="11">
                  <c:v>1.06</c:v>
                </c:pt>
                <c:pt idx="12">
                  <c:v>1.1100000000000001</c:v>
                </c:pt>
                <c:pt idx="13">
                  <c:v>1.06</c:v>
                </c:pt>
                <c:pt idx="14">
                  <c:v>1.1499999999999999</c:v>
                </c:pt>
                <c:pt idx="15">
                  <c:v>1.2</c:v>
                </c:pt>
                <c:pt idx="16">
                  <c:v>1.0900000000000001</c:v>
                </c:pt>
                <c:pt idx="17">
                  <c:v>1.1200000000000001</c:v>
                </c:pt>
                <c:pt idx="18">
                  <c:v>1.1200000000000001</c:v>
                </c:pt>
                <c:pt idx="19">
                  <c:v>1.08</c:v>
                </c:pt>
                <c:pt idx="20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1F2B-4D8C-A44C-037A0DAC4CE1}"/>
            </c:ext>
          </c:extLst>
        </c:ser>
        <c:ser>
          <c:idx val="80"/>
          <c:order val="80"/>
          <c:tx>
            <c:strRef>
              <c:f>Inventory!$A$82:$D$82</c:f>
              <c:strCache>
                <c:ptCount val="4"/>
                <c:pt idx="0">
                  <c:v>CZ75-Auto</c:v>
                </c:pt>
                <c:pt idx="1">
                  <c:v>StatTrak Red Astor MW</c:v>
                </c:pt>
                <c:pt idx="2">
                  <c:v>Pistol</c:v>
                </c:pt>
                <c:pt idx="3">
                  <c:v>Chroma 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Inventory!$E$82:$FU$82</c:f>
              <c:numCache>
                <c:formatCode>General</c:formatCode>
                <c:ptCount val="173"/>
                <c:pt idx="0">
                  <c:v>1.89</c:v>
                </c:pt>
                <c:pt idx="1">
                  <c:v>1.96</c:v>
                </c:pt>
                <c:pt idx="2">
                  <c:v>2.02</c:v>
                </c:pt>
                <c:pt idx="3">
                  <c:v>1.95</c:v>
                </c:pt>
                <c:pt idx="4">
                  <c:v>1.84</c:v>
                </c:pt>
                <c:pt idx="5">
                  <c:v>1.97</c:v>
                </c:pt>
                <c:pt idx="6">
                  <c:v>1.89</c:v>
                </c:pt>
                <c:pt idx="7">
                  <c:v>1.87</c:v>
                </c:pt>
                <c:pt idx="8">
                  <c:v>1.74</c:v>
                </c:pt>
                <c:pt idx="9">
                  <c:v>1.88</c:v>
                </c:pt>
                <c:pt idx="10">
                  <c:v>1.87</c:v>
                </c:pt>
                <c:pt idx="11">
                  <c:v>1.79</c:v>
                </c:pt>
                <c:pt idx="12">
                  <c:v>1.76</c:v>
                </c:pt>
                <c:pt idx="13">
                  <c:v>1.76</c:v>
                </c:pt>
                <c:pt idx="14">
                  <c:v>1.76</c:v>
                </c:pt>
                <c:pt idx="15">
                  <c:v>1.72</c:v>
                </c:pt>
                <c:pt idx="16">
                  <c:v>1.74</c:v>
                </c:pt>
                <c:pt idx="17">
                  <c:v>1.58</c:v>
                </c:pt>
                <c:pt idx="18">
                  <c:v>1.73</c:v>
                </c:pt>
                <c:pt idx="19">
                  <c:v>1.75</c:v>
                </c:pt>
                <c:pt idx="20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F2B-4D8C-A44C-037A0DAC4CE1}"/>
            </c:ext>
          </c:extLst>
        </c:ser>
        <c:ser>
          <c:idx val="81"/>
          <c:order val="81"/>
          <c:tx>
            <c:strRef>
              <c:f>Inventory!$A$83:$D$83</c:f>
              <c:strCache>
                <c:ptCount val="4"/>
                <c:pt idx="0">
                  <c:v>MP9</c:v>
                </c:pt>
                <c:pt idx="1">
                  <c:v>StatTrak Dart MW</c:v>
                </c:pt>
                <c:pt idx="2">
                  <c:v>SMG</c:v>
                </c:pt>
                <c:pt idx="3">
                  <c:v>Vanguard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Inventory!$E$83:$FU$83</c:f>
              <c:numCache>
                <c:formatCode>General</c:formatCode>
                <c:ptCount val="173"/>
                <c:pt idx="0">
                  <c:v>1.73</c:v>
                </c:pt>
                <c:pt idx="1">
                  <c:v>1.74</c:v>
                </c:pt>
                <c:pt idx="2">
                  <c:v>1.61</c:v>
                </c:pt>
                <c:pt idx="3">
                  <c:v>1.72</c:v>
                </c:pt>
                <c:pt idx="4">
                  <c:v>1.73</c:v>
                </c:pt>
                <c:pt idx="5">
                  <c:v>1.65</c:v>
                </c:pt>
                <c:pt idx="6">
                  <c:v>1.69</c:v>
                </c:pt>
                <c:pt idx="7">
                  <c:v>1.75</c:v>
                </c:pt>
                <c:pt idx="8">
                  <c:v>2.09</c:v>
                </c:pt>
                <c:pt idx="9">
                  <c:v>1.77</c:v>
                </c:pt>
                <c:pt idx="10">
                  <c:v>1.72</c:v>
                </c:pt>
                <c:pt idx="11">
                  <c:v>1.69</c:v>
                </c:pt>
                <c:pt idx="12">
                  <c:v>1.63</c:v>
                </c:pt>
                <c:pt idx="13">
                  <c:v>1.49</c:v>
                </c:pt>
                <c:pt idx="14">
                  <c:v>1.75</c:v>
                </c:pt>
                <c:pt idx="15">
                  <c:v>1.7</c:v>
                </c:pt>
                <c:pt idx="16">
                  <c:v>1.69</c:v>
                </c:pt>
                <c:pt idx="17">
                  <c:v>1.69</c:v>
                </c:pt>
                <c:pt idx="18">
                  <c:v>1.72</c:v>
                </c:pt>
                <c:pt idx="19">
                  <c:v>1.51</c:v>
                </c:pt>
                <c:pt idx="20">
                  <c:v>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1F2B-4D8C-A44C-037A0DAC4CE1}"/>
            </c:ext>
          </c:extLst>
        </c:ser>
        <c:ser>
          <c:idx val="82"/>
          <c:order val="82"/>
          <c:tx>
            <c:strRef>
              <c:f>Inventory!$A$84:$D$84</c:f>
              <c:strCache>
                <c:ptCount val="4"/>
                <c:pt idx="0">
                  <c:v>P2000</c:v>
                </c:pt>
                <c:pt idx="1">
                  <c:v>StatTrak Imperial Dragon FT</c:v>
                </c:pt>
                <c:pt idx="2">
                  <c:v>Pistol</c:v>
                </c:pt>
                <c:pt idx="3">
                  <c:v>Gamma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Inventory!$E$84:$FU$84</c:f>
              <c:numCache>
                <c:formatCode>General</c:formatCode>
                <c:ptCount val="173"/>
                <c:pt idx="0">
                  <c:v>4.22</c:v>
                </c:pt>
                <c:pt idx="1">
                  <c:v>3.94</c:v>
                </c:pt>
                <c:pt idx="2">
                  <c:v>3.84</c:v>
                </c:pt>
                <c:pt idx="3">
                  <c:v>4.1500000000000004</c:v>
                </c:pt>
                <c:pt idx="4">
                  <c:v>4.0599999999999996</c:v>
                </c:pt>
                <c:pt idx="5">
                  <c:v>4.2</c:v>
                </c:pt>
                <c:pt idx="6">
                  <c:v>4.1399999999999997</c:v>
                </c:pt>
                <c:pt idx="7">
                  <c:v>4.1900000000000004</c:v>
                </c:pt>
                <c:pt idx="8">
                  <c:v>4.07</c:v>
                </c:pt>
                <c:pt idx="9">
                  <c:v>4.0599999999999996</c:v>
                </c:pt>
                <c:pt idx="10">
                  <c:v>3.93</c:v>
                </c:pt>
                <c:pt idx="11">
                  <c:v>3.99</c:v>
                </c:pt>
                <c:pt idx="12">
                  <c:v>4.16</c:v>
                </c:pt>
                <c:pt idx="13">
                  <c:v>3.68</c:v>
                </c:pt>
                <c:pt idx="14">
                  <c:v>4.07</c:v>
                </c:pt>
                <c:pt idx="15">
                  <c:v>4.1100000000000003</c:v>
                </c:pt>
                <c:pt idx="16">
                  <c:v>4.08</c:v>
                </c:pt>
                <c:pt idx="17">
                  <c:v>4.0599999999999996</c:v>
                </c:pt>
                <c:pt idx="18">
                  <c:v>3.81</c:v>
                </c:pt>
                <c:pt idx="19">
                  <c:v>3.9</c:v>
                </c:pt>
                <c:pt idx="20">
                  <c:v>4.0599999999999996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F2B-4D8C-A44C-037A0DAC4CE1}"/>
            </c:ext>
          </c:extLst>
        </c:ser>
        <c:ser>
          <c:idx val="83"/>
          <c:order val="83"/>
          <c:tx>
            <c:strRef>
              <c:f>Inventory!$A$85:$D$85</c:f>
              <c:strCache>
                <c:ptCount val="4"/>
                <c:pt idx="0">
                  <c:v>Desert Eagle</c:v>
                </c:pt>
                <c:pt idx="1">
                  <c:v>Kumicho Dragon MW</c:v>
                </c:pt>
                <c:pt idx="2">
                  <c:v>Pistol</c:v>
                </c:pt>
                <c:pt idx="3">
                  <c:v>Wildfire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Inventory!$E$85:$FU$85</c:f>
              <c:numCache>
                <c:formatCode>General</c:formatCode>
                <c:ptCount val="173"/>
                <c:pt idx="0">
                  <c:v>16.010000000000002</c:v>
                </c:pt>
                <c:pt idx="1">
                  <c:v>16.03</c:v>
                </c:pt>
                <c:pt idx="2">
                  <c:v>16.510000000000002</c:v>
                </c:pt>
                <c:pt idx="3">
                  <c:v>16.36</c:v>
                </c:pt>
                <c:pt idx="4">
                  <c:v>15.72</c:v>
                </c:pt>
                <c:pt idx="5">
                  <c:v>15.47</c:v>
                </c:pt>
                <c:pt idx="6">
                  <c:v>15.88</c:v>
                </c:pt>
                <c:pt idx="7">
                  <c:v>16.75</c:v>
                </c:pt>
                <c:pt idx="8">
                  <c:v>16.04</c:v>
                </c:pt>
                <c:pt idx="9">
                  <c:v>16.07</c:v>
                </c:pt>
                <c:pt idx="10">
                  <c:v>14.58</c:v>
                </c:pt>
                <c:pt idx="11">
                  <c:v>15.18</c:v>
                </c:pt>
                <c:pt idx="12">
                  <c:v>15.49</c:v>
                </c:pt>
                <c:pt idx="13">
                  <c:v>14.85</c:v>
                </c:pt>
                <c:pt idx="14">
                  <c:v>15.68</c:v>
                </c:pt>
                <c:pt idx="15">
                  <c:v>15.71</c:v>
                </c:pt>
                <c:pt idx="16">
                  <c:v>15.94</c:v>
                </c:pt>
                <c:pt idx="17">
                  <c:v>15.37</c:v>
                </c:pt>
                <c:pt idx="18">
                  <c:v>15.2</c:v>
                </c:pt>
                <c:pt idx="19">
                  <c:v>15.91</c:v>
                </c:pt>
                <c:pt idx="20">
                  <c:v>15.75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1F2B-4D8C-A44C-037A0DAC4CE1}"/>
            </c:ext>
          </c:extLst>
        </c:ser>
        <c:ser>
          <c:idx val="84"/>
          <c:order val="84"/>
          <c:tx>
            <c:strRef>
              <c:f>Inventory!$A$86:$D$86</c:f>
              <c:strCache>
                <c:ptCount val="4"/>
                <c:pt idx="0">
                  <c:v>FAMAS</c:v>
                </c:pt>
                <c:pt idx="1">
                  <c:v>StatTrak Valence FT</c:v>
                </c:pt>
                <c:pt idx="2">
                  <c:v>Other Rifle</c:v>
                </c:pt>
                <c:pt idx="3">
                  <c:v>Wildfire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Inventory!$E$86:$FU$86</c:f>
              <c:numCache>
                <c:formatCode>General</c:formatCode>
                <c:ptCount val="173"/>
                <c:pt idx="6">
                  <c:v>3.71</c:v>
                </c:pt>
                <c:pt idx="7">
                  <c:v>3.54</c:v>
                </c:pt>
                <c:pt idx="8">
                  <c:v>3.52</c:v>
                </c:pt>
                <c:pt idx="9">
                  <c:v>3.61</c:v>
                </c:pt>
                <c:pt idx="10">
                  <c:v>3.58</c:v>
                </c:pt>
                <c:pt idx="11">
                  <c:v>3.65</c:v>
                </c:pt>
                <c:pt idx="12">
                  <c:v>3.64</c:v>
                </c:pt>
                <c:pt idx="13">
                  <c:v>3.47</c:v>
                </c:pt>
                <c:pt idx="14">
                  <c:v>3.77</c:v>
                </c:pt>
                <c:pt idx="15">
                  <c:v>3.75</c:v>
                </c:pt>
                <c:pt idx="16">
                  <c:v>3.69</c:v>
                </c:pt>
                <c:pt idx="17">
                  <c:v>3.59</c:v>
                </c:pt>
                <c:pt idx="18">
                  <c:v>3.48</c:v>
                </c:pt>
                <c:pt idx="19">
                  <c:v>3.58</c:v>
                </c:pt>
                <c:pt idx="20">
                  <c:v>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F2B-4D8C-A44C-037A0DAC4CE1}"/>
            </c:ext>
          </c:extLst>
        </c:ser>
        <c:ser>
          <c:idx val="85"/>
          <c:order val="85"/>
          <c:tx>
            <c:strRef>
              <c:f>Inventory!$A$87:$D$87</c:f>
              <c:strCache>
                <c:ptCount val="4"/>
                <c:pt idx="0">
                  <c:v>Nova</c:v>
                </c:pt>
                <c:pt idx="1">
                  <c:v>Hyper Beast FT</c:v>
                </c:pt>
                <c:pt idx="2">
                  <c:v>Heavy</c:v>
                </c:pt>
                <c:pt idx="3">
                  <c:v>Wildfire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Inventory!$E$87:$FU$87</c:f>
              <c:numCache>
                <c:formatCode>General</c:formatCode>
                <c:ptCount val="173"/>
                <c:pt idx="0">
                  <c:v>7.22</c:v>
                </c:pt>
                <c:pt idx="1">
                  <c:v>7.74</c:v>
                </c:pt>
                <c:pt idx="2">
                  <c:v>6.67</c:v>
                </c:pt>
                <c:pt idx="3">
                  <c:v>6.74</c:v>
                </c:pt>
                <c:pt idx="4">
                  <c:v>6.72</c:v>
                </c:pt>
                <c:pt idx="5">
                  <c:v>6.86</c:v>
                </c:pt>
                <c:pt idx="6">
                  <c:v>6.36</c:v>
                </c:pt>
                <c:pt idx="7">
                  <c:v>7.02</c:v>
                </c:pt>
                <c:pt idx="8">
                  <c:v>7.16</c:v>
                </c:pt>
                <c:pt idx="9">
                  <c:v>7.02</c:v>
                </c:pt>
                <c:pt idx="10">
                  <c:v>7.25</c:v>
                </c:pt>
                <c:pt idx="11">
                  <c:v>7.31</c:v>
                </c:pt>
                <c:pt idx="12">
                  <c:v>7.05</c:v>
                </c:pt>
                <c:pt idx="13">
                  <c:v>6.58</c:v>
                </c:pt>
                <c:pt idx="14">
                  <c:v>6.44</c:v>
                </c:pt>
                <c:pt idx="15">
                  <c:v>7.54</c:v>
                </c:pt>
                <c:pt idx="16">
                  <c:v>7.54</c:v>
                </c:pt>
                <c:pt idx="17">
                  <c:v>7.63</c:v>
                </c:pt>
                <c:pt idx="18">
                  <c:v>7.36</c:v>
                </c:pt>
                <c:pt idx="19">
                  <c:v>7.63</c:v>
                </c:pt>
                <c:pt idx="20">
                  <c:v>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1F2B-4D8C-A44C-037A0DAC4CE1}"/>
            </c:ext>
          </c:extLst>
        </c:ser>
        <c:ser>
          <c:idx val="86"/>
          <c:order val="86"/>
          <c:tx>
            <c:strRef>
              <c:f>Inventory!$A$88:$D$88</c:f>
              <c:strCache>
                <c:ptCount val="4"/>
                <c:pt idx="0">
                  <c:v>SSG 08</c:v>
                </c:pt>
                <c:pt idx="1">
                  <c:v>Blood in the Water MW</c:v>
                </c:pt>
                <c:pt idx="2">
                  <c:v>Other Rifle</c:v>
                </c:pt>
                <c:pt idx="3">
                  <c:v>Arms Deal 2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Inventory!$E$88:$FU$88</c:f>
              <c:numCache>
                <c:formatCode>General</c:formatCode>
                <c:ptCount val="173"/>
                <c:pt idx="6">
                  <c:v>38.950000000000003</c:v>
                </c:pt>
                <c:pt idx="7">
                  <c:v>36.61</c:v>
                </c:pt>
                <c:pt idx="8">
                  <c:v>36.29</c:v>
                </c:pt>
                <c:pt idx="9">
                  <c:v>39.28</c:v>
                </c:pt>
                <c:pt idx="10">
                  <c:v>40.54</c:v>
                </c:pt>
                <c:pt idx="11">
                  <c:v>39.83</c:v>
                </c:pt>
                <c:pt idx="12">
                  <c:v>38.07</c:v>
                </c:pt>
                <c:pt idx="13">
                  <c:v>40.049999999999997</c:v>
                </c:pt>
                <c:pt idx="14">
                  <c:v>41</c:v>
                </c:pt>
                <c:pt idx="15">
                  <c:v>42.59</c:v>
                </c:pt>
                <c:pt idx="16">
                  <c:v>41.24</c:v>
                </c:pt>
                <c:pt idx="17">
                  <c:v>40.450000000000003</c:v>
                </c:pt>
                <c:pt idx="18">
                  <c:v>39.5</c:v>
                </c:pt>
                <c:pt idx="19">
                  <c:v>42.38</c:v>
                </c:pt>
                <c:pt idx="20">
                  <c:v>39.64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F2B-4D8C-A44C-037A0DAC4CE1}"/>
            </c:ext>
          </c:extLst>
        </c:ser>
        <c:ser>
          <c:idx val="87"/>
          <c:order val="87"/>
          <c:tx>
            <c:strRef>
              <c:f>Inventory!$A$89:$D$89</c:f>
              <c:strCache>
                <c:ptCount val="4"/>
                <c:pt idx="0">
                  <c:v>Negev</c:v>
                </c:pt>
                <c:pt idx="1">
                  <c:v>Power Loader MW</c:v>
                </c:pt>
                <c:pt idx="2">
                  <c:v>Heavy</c:v>
                </c:pt>
                <c:pt idx="3">
                  <c:v>Revolver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Inventory!$E$89:$FU$89</c:f>
              <c:numCache>
                <c:formatCode>General</c:formatCode>
                <c:ptCount val="17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1F2B-4D8C-A44C-037A0DAC4CE1}"/>
            </c:ext>
          </c:extLst>
        </c:ser>
        <c:ser>
          <c:idx val="88"/>
          <c:order val="88"/>
          <c:tx>
            <c:strRef>
              <c:f>Inventory!$A$90:$D$90</c:f>
              <c:strCache>
                <c:ptCount val="4"/>
                <c:pt idx="0">
                  <c:v>SG 553</c:v>
                </c:pt>
                <c:pt idx="1">
                  <c:v>StatTrak Tiger Moth FT</c:v>
                </c:pt>
                <c:pt idx="2">
                  <c:v>Other Rifle</c:v>
                </c:pt>
                <c:pt idx="3">
                  <c:v>Revolver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Inventory!$E$90:$FU$90</c:f>
              <c:numCache>
                <c:formatCode>General</c:formatCode>
                <c:ptCount val="173"/>
                <c:pt idx="6">
                  <c:v>3.35</c:v>
                </c:pt>
                <c:pt idx="7">
                  <c:v>3.64</c:v>
                </c:pt>
                <c:pt idx="8">
                  <c:v>3.58</c:v>
                </c:pt>
                <c:pt idx="9">
                  <c:v>3.53</c:v>
                </c:pt>
                <c:pt idx="10">
                  <c:v>3.59</c:v>
                </c:pt>
                <c:pt idx="11">
                  <c:v>3.52</c:v>
                </c:pt>
                <c:pt idx="12">
                  <c:v>3.47</c:v>
                </c:pt>
                <c:pt idx="13">
                  <c:v>3.36</c:v>
                </c:pt>
                <c:pt idx="14">
                  <c:v>3.65</c:v>
                </c:pt>
                <c:pt idx="15">
                  <c:v>3.51</c:v>
                </c:pt>
                <c:pt idx="16">
                  <c:v>3.6</c:v>
                </c:pt>
                <c:pt idx="17">
                  <c:v>3.63</c:v>
                </c:pt>
                <c:pt idx="18">
                  <c:v>3.7</c:v>
                </c:pt>
                <c:pt idx="19">
                  <c:v>3.91</c:v>
                </c:pt>
                <c:pt idx="20">
                  <c:v>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F2B-4D8C-A44C-037A0DAC4CE1}"/>
            </c:ext>
          </c:extLst>
        </c:ser>
        <c:ser>
          <c:idx val="89"/>
          <c:order val="89"/>
          <c:tx>
            <c:strRef>
              <c:f>Inventory!$A$91:$D$91</c:f>
              <c:strCache>
                <c:ptCount val="4"/>
                <c:pt idx="0">
                  <c:v>Tec-9</c:v>
                </c:pt>
                <c:pt idx="1">
                  <c:v>StatTrak Avalanche FT</c:v>
                </c:pt>
                <c:pt idx="2">
                  <c:v>Pistol</c:v>
                </c:pt>
                <c:pt idx="3">
                  <c:v>Revolver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Inventory!$E$91:$FU$91</c:f>
              <c:numCache>
                <c:formatCode>General</c:formatCode>
                <c:ptCount val="173"/>
                <c:pt idx="0">
                  <c:v>2.67</c:v>
                </c:pt>
                <c:pt idx="1">
                  <c:v>2.73</c:v>
                </c:pt>
                <c:pt idx="2">
                  <c:v>2.62</c:v>
                </c:pt>
                <c:pt idx="3">
                  <c:v>2.64</c:v>
                </c:pt>
                <c:pt idx="4">
                  <c:v>2.54</c:v>
                </c:pt>
                <c:pt idx="5">
                  <c:v>2.58</c:v>
                </c:pt>
                <c:pt idx="6">
                  <c:v>2.7</c:v>
                </c:pt>
                <c:pt idx="7">
                  <c:v>2.69</c:v>
                </c:pt>
                <c:pt idx="8">
                  <c:v>2.58</c:v>
                </c:pt>
                <c:pt idx="9">
                  <c:v>2.4900000000000002</c:v>
                </c:pt>
                <c:pt idx="10">
                  <c:v>2.37</c:v>
                </c:pt>
                <c:pt idx="11">
                  <c:v>2.38</c:v>
                </c:pt>
                <c:pt idx="12">
                  <c:v>2.46</c:v>
                </c:pt>
                <c:pt idx="13">
                  <c:v>2.36</c:v>
                </c:pt>
                <c:pt idx="14">
                  <c:v>2.39</c:v>
                </c:pt>
                <c:pt idx="15">
                  <c:v>2.31</c:v>
                </c:pt>
                <c:pt idx="16">
                  <c:v>2.31</c:v>
                </c:pt>
                <c:pt idx="17">
                  <c:v>2.33</c:v>
                </c:pt>
                <c:pt idx="18">
                  <c:v>2.4300000000000002</c:v>
                </c:pt>
                <c:pt idx="19">
                  <c:v>2.4900000000000002</c:v>
                </c:pt>
                <c:pt idx="20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1F2B-4D8C-A44C-037A0DAC4CE1}"/>
            </c:ext>
          </c:extLst>
        </c:ser>
        <c:ser>
          <c:idx val="90"/>
          <c:order val="90"/>
          <c:tx>
            <c:strRef>
              <c:f>Inventory!$A$92:$D$92</c:f>
              <c:strCache>
                <c:ptCount val="4"/>
                <c:pt idx="0">
                  <c:v>P250</c:v>
                </c:pt>
                <c:pt idx="1">
                  <c:v>StatTrak Wingshot MW</c:v>
                </c:pt>
                <c:pt idx="2">
                  <c:v>Pistol</c:v>
                </c:pt>
                <c:pt idx="3">
                  <c:v>Shadow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Inventory!$E$92:$FU$92</c:f>
              <c:numCache>
                <c:formatCode>General</c:formatCode>
                <c:ptCount val="173"/>
                <c:pt idx="0">
                  <c:v>5.4</c:v>
                </c:pt>
                <c:pt idx="1">
                  <c:v>5.52</c:v>
                </c:pt>
                <c:pt idx="2">
                  <c:v>5.41</c:v>
                </c:pt>
                <c:pt idx="3">
                  <c:v>5.54</c:v>
                </c:pt>
                <c:pt idx="4">
                  <c:v>5.48</c:v>
                </c:pt>
                <c:pt idx="5">
                  <c:v>5.47</c:v>
                </c:pt>
                <c:pt idx="6">
                  <c:v>4.96</c:v>
                </c:pt>
                <c:pt idx="7">
                  <c:v>4.8</c:v>
                </c:pt>
                <c:pt idx="8">
                  <c:v>5.32</c:v>
                </c:pt>
                <c:pt idx="9">
                  <c:v>5.24</c:v>
                </c:pt>
                <c:pt idx="10">
                  <c:v>5.22</c:v>
                </c:pt>
                <c:pt idx="11">
                  <c:v>5.29</c:v>
                </c:pt>
                <c:pt idx="12">
                  <c:v>5.25</c:v>
                </c:pt>
                <c:pt idx="13">
                  <c:v>4.92</c:v>
                </c:pt>
                <c:pt idx="14">
                  <c:v>5.42</c:v>
                </c:pt>
                <c:pt idx="15">
                  <c:v>5.47</c:v>
                </c:pt>
                <c:pt idx="16">
                  <c:v>5.4</c:v>
                </c:pt>
                <c:pt idx="17">
                  <c:v>5.45</c:v>
                </c:pt>
                <c:pt idx="18">
                  <c:v>5.29</c:v>
                </c:pt>
                <c:pt idx="19">
                  <c:v>4.9800000000000004</c:v>
                </c:pt>
                <c:pt idx="20">
                  <c:v>5.61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F2B-4D8C-A44C-037A0DAC4CE1}"/>
            </c:ext>
          </c:extLst>
        </c:ser>
        <c:ser>
          <c:idx val="91"/>
          <c:order val="91"/>
          <c:tx>
            <c:strRef>
              <c:f>Inventory!$A$93:$D$93</c:f>
              <c:strCache>
                <c:ptCount val="4"/>
                <c:pt idx="0">
                  <c:v>Dual Berettas</c:v>
                </c:pt>
                <c:pt idx="1">
                  <c:v>StatTrak Dualing Dragons MW</c:v>
                </c:pt>
                <c:pt idx="2">
                  <c:v>Pistol</c:v>
                </c:pt>
                <c:pt idx="3">
                  <c:v>Shadow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Inventory!$E$93:$FU$93</c:f>
              <c:numCache>
                <c:formatCode>General</c:formatCode>
                <c:ptCount val="173"/>
                <c:pt idx="0">
                  <c:v>1.38</c:v>
                </c:pt>
                <c:pt idx="1">
                  <c:v>1.3</c:v>
                </c:pt>
                <c:pt idx="2">
                  <c:v>1.39</c:v>
                </c:pt>
                <c:pt idx="3">
                  <c:v>1.44</c:v>
                </c:pt>
                <c:pt idx="4">
                  <c:v>1.38</c:v>
                </c:pt>
                <c:pt idx="5">
                  <c:v>1.38</c:v>
                </c:pt>
                <c:pt idx="6">
                  <c:v>1.4</c:v>
                </c:pt>
                <c:pt idx="7">
                  <c:v>1.4</c:v>
                </c:pt>
                <c:pt idx="8">
                  <c:v>1.42</c:v>
                </c:pt>
                <c:pt idx="9">
                  <c:v>1.4</c:v>
                </c:pt>
                <c:pt idx="10">
                  <c:v>1.4</c:v>
                </c:pt>
                <c:pt idx="11">
                  <c:v>1.38</c:v>
                </c:pt>
                <c:pt idx="12">
                  <c:v>1.35</c:v>
                </c:pt>
                <c:pt idx="13">
                  <c:v>1.34</c:v>
                </c:pt>
                <c:pt idx="14">
                  <c:v>1.34</c:v>
                </c:pt>
                <c:pt idx="15">
                  <c:v>1.32</c:v>
                </c:pt>
                <c:pt idx="16">
                  <c:v>1.38</c:v>
                </c:pt>
                <c:pt idx="17">
                  <c:v>1.29</c:v>
                </c:pt>
                <c:pt idx="18">
                  <c:v>1.27</c:v>
                </c:pt>
                <c:pt idx="19">
                  <c:v>1.35</c:v>
                </c:pt>
                <c:pt idx="2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1F2B-4D8C-A44C-037A0DAC4CE1}"/>
            </c:ext>
          </c:extLst>
        </c:ser>
        <c:ser>
          <c:idx val="92"/>
          <c:order val="92"/>
          <c:tx>
            <c:strRef>
              <c:f>Inventory!$A$94:$D$94</c:f>
              <c:strCache>
                <c:ptCount val="4"/>
                <c:pt idx="0">
                  <c:v>AUG</c:v>
                </c:pt>
                <c:pt idx="1">
                  <c:v>Chameleon MW</c:v>
                </c:pt>
                <c:pt idx="2">
                  <c:v>Other Rifle</c:v>
                </c:pt>
                <c:pt idx="3">
                  <c:v>Phoenix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Inventory!$E$94:$FU$94</c:f>
              <c:numCache>
                <c:formatCode>General</c:formatCode>
                <c:ptCount val="173"/>
                <c:pt idx="6">
                  <c:v>4.5599999999999996</c:v>
                </c:pt>
                <c:pt idx="7">
                  <c:v>4.63</c:v>
                </c:pt>
                <c:pt idx="8">
                  <c:v>4.3899999999999997</c:v>
                </c:pt>
                <c:pt idx="9">
                  <c:v>4.79</c:v>
                </c:pt>
                <c:pt idx="10">
                  <c:v>4.8</c:v>
                </c:pt>
                <c:pt idx="11">
                  <c:v>4.8499999999999996</c:v>
                </c:pt>
                <c:pt idx="12">
                  <c:v>4.79</c:v>
                </c:pt>
                <c:pt idx="13">
                  <c:v>4.84</c:v>
                </c:pt>
                <c:pt idx="14">
                  <c:v>4.53</c:v>
                </c:pt>
                <c:pt idx="15">
                  <c:v>4.6100000000000003</c:v>
                </c:pt>
                <c:pt idx="16">
                  <c:v>4.75</c:v>
                </c:pt>
                <c:pt idx="17">
                  <c:v>4.41</c:v>
                </c:pt>
                <c:pt idx="18">
                  <c:v>4.34</c:v>
                </c:pt>
                <c:pt idx="19">
                  <c:v>4.72</c:v>
                </c:pt>
                <c:pt idx="20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F2B-4D8C-A44C-037A0DAC4CE1}"/>
            </c:ext>
          </c:extLst>
        </c:ser>
        <c:ser>
          <c:idx val="93"/>
          <c:order val="93"/>
          <c:tx>
            <c:strRef>
              <c:f>Inventory!$A$95:$D$95</c:f>
              <c:strCache>
                <c:ptCount val="4"/>
                <c:pt idx="0">
                  <c:v>M4A4</c:v>
                </c:pt>
                <c:pt idx="1">
                  <c:v>StatTrak Dragon King MW</c:v>
                </c:pt>
                <c:pt idx="2">
                  <c:v>M4A4</c:v>
                </c:pt>
                <c:pt idx="3">
                  <c:v>Chroma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Inventory!$E$95:$FU$95</c:f>
              <c:numCache>
                <c:formatCode>General</c:formatCode>
                <c:ptCount val="173"/>
                <c:pt idx="0">
                  <c:v>37.31</c:v>
                </c:pt>
                <c:pt idx="1">
                  <c:v>36.880000000000003</c:v>
                </c:pt>
                <c:pt idx="2">
                  <c:v>38.799999999999997</c:v>
                </c:pt>
                <c:pt idx="3">
                  <c:v>37.92</c:v>
                </c:pt>
                <c:pt idx="4">
                  <c:v>39.03</c:v>
                </c:pt>
                <c:pt idx="5">
                  <c:v>38.35</c:v>
                </c:pt>
                <c:pt idx="6">
                  <c:v>37.799999999999997</c:v>
                </c:pt>
                <c:pt idx="7">
                  <c:v>36.909999999999997</c:v>
                </c:pt>
                <c:pt idx="8">
                  <c:v>35.35</c:v>
                </c:pt>
                <c:pt idx="9">
                  <c:v>38.06</c:v>
                </c:pt>
                <c:pt idx="10">
                  <c:v>35.93</c:v>
                </c:pt>
                <c:pt idx="11">
                  <c:v>36.22</c:v>
                </c:pt>
                <c:pt idx="12">
                  <c:v>35.090000000000003</c:v>
                </c:pt>
                <c:pt idx="13">
                  <c:v>36.14</c:v>
                </c:pt>
                <c:pt idx="14">
                  <c:v>36.81</c:v>
                </c:pt>
                <c:pt idx="15">
                  <c:v>37.950000000000003</c:v>
                </c:pt>
                <c:pt idx="16">
                  <c:v>39.409999999999997</c:v>
                </c:pt>
                <c:pt idx="17">
                  <c:v>37.04</c:v>
                </c:pt>
                <c:pt idx="18">
                  <c:v>39.44</c:v>
                </c:pt>
                <c:pt idx="19">
                  <c:v>37.85</c:v>
                </c:pt>
                <c:pt idx="20">
                  <c:v>36.15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1F2B-4D8C-A44C-037A0DAC4CE1}"/>
            </c:ext>
          </c:extLst>
        </c:ser>
        <c:ser>
          <c:idx val="94"/>
          <c:order val="94"/>
          <c:tx>
            <c:strRef>
              <c:f>Inventory!$A$96:$D$96</c:f>
              <c:strCache>
                <c:ptCount val="4"/>
                <c:pt idx="0">
                  <c:v>Karmabit</c:v>
                </c:pt>
                <c:pt idx="1">
                  <c:v>Ultraviolet FT</c:v>
                </c:pt>
                <c:pt idx="2">
                  <c:v>Knife</c:v>
                </c:pt>
                <c:pt idx="3">
                  <c:v>Original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Inventory!$E$96:$FU$96</c:f>
              <c:numCache>
                <c:formatCode>General</c:formatCode>
                <c:ptCount val="173"/>
                <c:pt idx="0">
                  <c:v>380.55</c:v>
                </c:pt>
                <c:pt idx="1">
                  <c:v>383.02</c:v>
                </c:pt>
                <c:pt idx="2">
                  <c:v>361.9</c:v>
                </c:pt>
                <c:pt idx="3">
                  <c:v>361.97</c:v>
                </c:pt>
                <c:pt idx="4">
                  <c:v>372.41</c:v>
                </c:pt>
                <c:pt idx="5">
                  <c:v>365.9</c:v>
                </c:pt>
                <c:pt idx="6">
                  <c:v>334.61</c:v>
                </c:pt>
                <c:pt idx="7">
                  <c:v>355.59</c:v>
                </c:pt>
                <c:pt idx="8">
                  <c:v>350.79</c:v>
                </c:pt>
                <c:pt idx="9">
                  <c:v>385.29</c:v>
                </c:pt>
                <c:pt idx="10">
                  <c:v>391.15</c:v>
                </c:pt>
                <c:pt idx="11">
                  <c:v>391.41</c:v>
                </c:pt>
                <c:pt idx="12">
                  <c:v>370.36</c:v>
                </c:pt>
                <c:pt idx="13">
                  <c:v>386.6</c:v>
                </c:pt>
                <c:pt idx="14">
                  <c:v>386.45</c:v>
                </c:pt>
                <c:pt idx="15">
                  <c:v>382.76</c:v>
                </c:pt>
                <c:pt idx="16">
                  <c:v>397.01</c:v>
                </c:pt>
                <c:pt idx="17">
                  <c:v>406.58</c:v>
                </c:pt>
                <c:pt idx="18">
                  <c:v>384.98</c:v>
                </c:pt>
                <c:pt idx="19">
                  <c:v>385.96</c:v>
                </c:pt>
                <c:pt idx="20">
                  <c:v>424.73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F2B-4D8C-A44C-037A0DAC4CE1}"/>
            </c:ext>
          </c:extLst>
        </c:ser>
        <c:ser>
          <c:idx val="95"/>
          <c:order val="95"/>
          <c:tx>
            <c:strRef>
              <c:f>Inventory!$A$97:$D$97</c:f>
              <c:strCache>
                <c:ptCount val="4"/>
                <c:pt idx="0">
                  <c:v>XM1014</c:v>
                </c:pt>
                <c:pt idx="1">
                  <c:v>Heaven Guard FT</c:v>
                </c:pt>
                <c:pt idx="2">
                  <c:v>Heavy</c:v>
                </c:pt>
                <c:pt idx="3">
                  <c:v>Huntsman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Inventory!$E$97:$FU$97</c:f>
              <c:numCache>
                <c:formatCode>General</c:formatCode>
                <c:ptCount val="173"/>
                <c:pt idx="0">
                  <c:v>3.12</c:v>
                </c:pt>
                <c:pt idx="1">
                  <c:v>2.89</c:v>
                </c:pt>
                <c:pt idx="2">
                  <c:v>2.5</c:v>
                </c:pt>
                <c:pt idx="3">
                  <c:v>2.6</c:v>
                </c:pt>
                <c:pt idx="4">
                  <c:v>2.8</c:v>
                </c:pt>
                <c:pt idx="5">
                  <c:v>3.02</c:v>
                </c:pt>
                <c:pt idx="6">
                  <c:v>2.69</c:v>
                </c:pt>
                <c:pt idx="7">
                  <c:v>2.81</c:v>
                </c:pt>
                <c:pt idx="8">
                  <c:v>2.8</c:v>
                </c:pt>
                <c:pt idx="9">
                  <c:v>2.84</c:v>
                </c:pt>
                <c:pt idx="10">
                  <c:v>2.82</c:v>
                </c:pt>
                <c:pt idx="11">
                  <c:v>2.83</c:v>
                </c:pt>
                <c:pt idx="12">
                  <c:v>2.82</c:v>
                </c:pt>
                <c:pt idx="13">
                  <c:v>2.91</c:v>
                </c:pt>
                <c:pt idx="14">
                  <c:v>2.93</c:v>
                </c:pt>
                <c:pt idx="15">
                  <c:v>2.91</c:v>
                </c:pt>
                <c:pt idx="16">
                  <c:v>3</c:v>
                </c:pt>
                <c:pt idx="17">
                  <c:v>2.76</c:v>
                </c:pt>
                <c:pt idx="18">
                  <c:v>3</c:v>
                </c:pt>
                <c:pt idx="19">
                  <c:v>3.77</c:v>
                </c:pt>
                <c:pt idx="20">
                  <c:v>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1F2B-4D8C-A44C-037A0DAC4CE1}"/>
            </c:ext>
          </c:extLst>
        </c:ser>
        <c:ser>
          <c:idx val="96"/>
          <c:order val="96"/>
          <c:tx>
            <c:strRef>
              <c:f>Inventory!$A$98:$D$98</c:f>
              <c:strCache>
                <c:ptCount val="4"/>
                <c:pt idx="0">
                  <c:v>USP-S</c:v>
                </c:pt>
                <c:pt idx="1">
                  <c:v>Kill Confirmed BS</c:v>
                </c:pt>
                <c:pt idx="2">
                  <c:v>Pistol</c:v>
                </c:pt>
                <c:pt idx="3">
                  <c:v>Shadow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Inventory!$E$98:$FU$98</c:f>
              <c:numCache>
                <c:formatCode>General</c:formatCode>
                <c:ptCount val="173"/>
                <c:pt idx="0">
                  <c:v>46.88</c:v>
                </c:pt>
                <c:pt idx="1">
                  <c:v>48.26</c:v>
                </c:pt>
                <c:pt idx="2">
                  <c:v>46.04</c:v>
                </c:pt>
                <c:pt idx="3">
                  <c:v>44.75</c:v>
                </c:pt>
                <c:pt idx="4">
                  <c:v>44.89</c:v>
                </c:pt>
                <c:pt idx="5">
                  <c:v>46.63</c:v>
                </c:pt>
                <c:pt idx="6">
                  <c:v>46.07</c:v>
                </c:pt>
                <c:pt idx="7">
                  <c:v>41.4</c:v>
                </c:pt>
                <c:pt idx="8">
                  <c:v>44.41</c:v>
                </c:pt>
                <c:pt idx="9">
                  <c:v>43.55</c:v>
                </c:pt>
                <c:pt idx="10">
                  <c:v>43.89</c:v>
                </c:pt>
                <c:pt idx="11">
                  <c:v>43.72</c:v>
                </c:pt>
                <c:pt idx="12">
                  <c:v>42.45</c:v>
                </c:pt>
                <c:pt idx="13">
                  <c:v>41.71</c:v>
                </c:pt>
                <c:pt idx="14">
                  <c:v>40.94</c:v>
                </c:pt>
                <c:pt idx="15">
                  <c:v>42.79</c:v>
                </c:pt>
                <c:pt idx="16">
                  <c:v>43.88</c:v>
                </c:pt>
                <c:pt idx="17">
                  <c:v>44.86</c:v>
                </c:pt>
                <c:pt idx="18">
                  <c:v>44.24</c:v>
                </c:pt>
                <c:pt idx="19">
                  <c:v>43.33</c:v>
                </c:pt>
                <c:pt idx="20">
                  <c:v>42.71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F2B-4D8C-A44C-037A0DAC4CE1}"/>
            </c:ext>
          </c:extLst>
        </c:ser>
        <c:ser>
          <c:idx val="97"/>
          <c:order val="97"/>
          <c:tx>
            <c:strRef>
              <c:f>Inventory!$A$99:$D$99</c:f>
              <c:strCache>
                <c:ptCount val="4"/>
                <c:pt idx="0">
                  <c:v>Sawed-Off</c:v>
                </c:pt>
                <c:pt idx="1">
                  <c:v>The Kraken MW</c:v>
                </c:pt>
                <c:pt idx="2">
                  <c:v>Heavy</c:v>
                </c:pt>
                <c:pt idx="3">
                  <c:v>Winter Offensive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Inventory!$E$99:$FU$99</c:f>
              <c:numCache>
                <c:formatCode>General</c:formatCode>
                <c:ptCount val="173"/>
                <c:pt idx="0">
                  <c:v>5.92</c:v>
                </c:pt>
                <c:pt idx="1">
                  <c:v>5.49</c:v>
                </c:pt>
                <c:pt idx="2">
                  <c:v>5.64</c:v>
                </c:pt>
                <c:pt idx="3">
                  <c:v>5.75</c:v>
                </c:pt>
                <c:pt idx="4">
                  <c:v>5.59</c:v>
                </c:pt>
                <c:pt idx="5">
                  <c:v>5.93</c:v>
                </c:pt>
                <c:pt idx="6">
                  <c:v>5.7</c:v>
                </c:pt>
                <c:pt idx="7">
                  <c:v>5.9</c:v>
                </c:pt>
                <c:pt idx="8">
                  <c:v>5.59</c:v>
                </c:pt>
                <c:pt idx="9">
                  <c:v>5.82</c:v>
                </c:pt>
                <c:pt idx="10">
                  <c:v>5.41</c:v>
                </c:pt>
                <c:pt idx="11">
                  <c:v>5.44</c:v>
                </c:pt>
                <c:pt idx="12">
                  <c:v>5.83</c:v>
                </c:pt>
                <c:pt idx="13">
                  <c:v>5.8</c:v>
                </c:pt>
                <c:pt idx="14">
                  <c:v>5.9</c:v>
                </c:pt>
                <c:pt idx="15">
                  <c:v>5.9</c:v>
                </c:pt>
                <c:pt idx="16">
                  <c:v>6.17</c:v>
                </c:pt>
                <c:pt idx="17">
                  <c:v>5.99</c:v>
                </c:pt>
                <c:pt idx="18">
                  <c:v>6.35</c:v>
                </c:pt>
                <c:pt idx="19">
                  <c:v>5.54</c:v>
                </c:pt>
                <c:pt idx="20">
                  <c:v>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1F2B-4D8C-A44C-037A0DAC4CE1}"/>
            </c:ext>
          </c:extLst>
        </c:ser>
        <c:ser>
          <c:idx val="98"/>
          <c:order val="98"/>
          <c:tx>
            <c:strRef>
              <c:f>Inventory!$A$100:$D$100</c:f>
              <c:strCache>
                <c:ptCount val="4"/>
                <c:pt idx="0">
                  <c:v>P90</c:v>
                </c:pt>
                <c:pt idx="1">
                  <c:v>Asiimov FT</c:v>
                </c:pt>
                <c:pt idx="2">
                  <c:v>SMG</c:v>
                </c:pt>
                <c:pt idx="3">
                  <c:v>Breakout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Inventory!$E$100:$FU$100</c:f>
              <c:numCache>
                <c:formatCode>General</c:formatCode>
                <c:ptCount val="173"/>
                <c:pt idx="0">
                  <c:v>8.36</c:v>
                </c:pt>
                <c:pt idx="1">
                  <c:v>8.0500000000000007</c:v>
                </c:pt>
                <c:pt idx="2">
                  <c:v>7.84</c:v>
                </c:pt>
                <c:pt idx="3">
                  <c:v>8.07</c:v>
                </c:pt>
                <c:pt idx="4">
                  <c:v>8.6999999999999993</c:v>
                </c:pt>
                <c:pt idx="5">
                  <c:v>8.58</c:v>
                </c:pt>
                <c:pt idx="6">
                  <c:v>8.42</c:v>
                </c:pt>
                <c:pt idx="7">
                  <c:v>7.84</c:v>
                </c:pt>
                <c:pt idx="8">
                  <c:v>8.1</c:v>
                </c:pt>
                <c:pt idx="9">
                  <c:v>7.68</c:v>
                </c:pt>
                <c:pt idx="10">
                  <c:v>8.07</c:v>
                </c:pt>
                <c:pt idx="11">
                  <c:v>8.23</c:v>
                </c:pt>
                <c:pt idx="12">
                  <c:v>8.7799999999999994</c:v>
                </c:pt>
                <c:pt idx="13">
                  <c:v>7.94</c:v>
                </c:pt>
                <c:pt idx="14">
                  <c:v>8.4600000000000009</c:v>
                </c:pt>
                <c:pt idx="15">
                  <c:v>8.58</c:v>
                </c:pt>
                <c:pt idx="16">
                  <c:v>7.98</c:v>
                </c:pt>
                <c:pt idx="17">
                  <c:v>8.35</c:v>
                </c:pt>
                <c:pt idx="18">
                  <c:v>8.6300000000000008</c:v>
                </c:pt>
                <c:pt idx="19">
                  <c:v>7.56</c:v>
                </c:pt>
                <c:pt idx="20">
                  <c:v>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F2B-4D8C-A44C-037A0DAC4CE1}"/>
            </c:ext>
          </c:extLst>
        </c:ser>
        <c:ser>
          <c:idx val="99"/>
          <c:order val="99"/>
          <c:tx>
            <c:strRef>
              <c:f>Inventory!$A$101:$D$101</c:f>
              <c:strCache>
                <c:ptCount val="4"/>
                <c:pt idx="0">
                  <c:v>SCAR-20</c:v>
                </c:pt>
                <c:pt idx="1">
                  <c:v>Cardiac FT</c:v>
                </c:pt>
                <c:pt idx="2">
                  <c:v>Other Rifle</c:v>
                </c:pt>
                <c:pt idx="3">
                  <c:v>Vanguard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Inventory!$E$101:$FU$101</c:f>
              <c:numCache>
                <c:formatCode>General</c:formatCode>
                <c:ptCount val="173"/>
                <c:pt idx="6">
                  <c:v>3.05</c:v>
                </c:pt>
                <c:pt idx="7">
                  <c:v>3.02</c:v>
                </c:pt>
                <c:pt idx="8">
                  <c:v>3.19</c:v>
                </c:pt>
                <c:pt idx="9">
                  <c:v>2.91</c:v>
                </c:pt>
                <c:pt idx="10">
                  <c:v>3.04</c:v>
                </c:pt>
                <c:pt idx="11">
                  <c:v>3.11</c:v>
                </c:pt>
                <c:pt idx="12">
                  <c:v>3.11</c:v>
                </c:pt>
                <c:pt idx="13">
                  <c:v>3.07</c:v>
                </c:pt>
                <c:pt idx="14">
                  <c:v>2.78</c:v>
                </c:pt>
                <c:pt idx="15">
                  <c:v>2.82</c:v>
                </c:pt>
                <c:pt idx="16">
                  <c:v>3.1</c:v>
                </c:pt>
                <c:pt idx="17">
                  <c:v>3.1</c:v>
                </c:pt>
                <c:pt idx="18">
                  <c:v>2.9</c:v>
                </c:pt>
                <c:pt idx="19">
                  <c:v>3.17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1F2B-4D8C-A44C-037A0DAC4CE1}"/>
            </c:ext>
          </c:extLst>
        </c:ser>
        <c:ser>
          <c:idx val="100"/>
          <c:order val="100"/>
          <c:tx>
            <c:strRef>
              <c:f>Inventory!$A$102:$D$102</c:f>
              <c:strCache>
                <c:ptCount val="4"/>
                <c:pt idx="0">
                  <c:v>MAG-7</c:v>
                </c:pt>
                <c:pt idx="1">
                  <c:v>StatTrak Heat FT</c:v>
                </c:pt>
                <c:pt idx="2">
                  <c:v>Heavy</c:v>
                </c:pt>
                <c:pt idx="3">
                  <c:v>Chroma 2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Inventory!$E$102:$FU$102</c:f>
              <c:numCache>
                <c:formatCode>General</c:formatCode>
                <c:ptCount val="173"/>
                <c:pt idx="0">
                  <c:v>0.88</c:v>
                </c:pt>
                <c:pt idx="1">
                  <c:v>0.93</c:v>
                </c:pt>
                <c:pt idx="2">
                  <c:v>0.94</c:v>
                </c:pt>
                <c:pt idx="3">
                  <c:v>0.89</c:v>
                </c:pt>
                <c:pt idx="4">
                  <c:v>0.92</c:v>
                </c:pt>
                <c:pt idx="5">
                  <c:v>0.93</c:v>
                </c:pt>
                <c:pt idx="6">
                  <c:v>0.93</c:v>
                </c:pt>
                <c:pt idx="7">
                  <c:v>0.96</c:v>
                </c:pt>
                <c:pt idx="8">
                  <c:v>0.97</c:v>
                </c:pt>
                <c:pt idx="9">
                  <c:v>0.97</c:v>
                </c:pt>
                <c:pt idx="10">
                  <c:v>1.03</c:v>
                </c:pt>
                <c:pt idx="11">
                  <c:v>1.04</c:v>
                </c:pt>
                <c:pt idx="12">
                  <c:v>0.97</c:v>
                </c:pt>
                <c:pt idx="13">
                  <c:v>0.93</c:v>
                </c:pt>
                <c:pt idx="14">
                  <c:v>0.95</c:v>
                </c:pt>
                <c:pt idx="15">
                  <c:v>0.84</c:v>
                </c:pt>
                <c:pt idx="16">
                  <c:v>0.87</c:v>
                </c:pt>
                <c:pt idx="17">
                  <c:v>0.95</c:v>
                </c:pt>
                <c:pt idx="18">
                  <c:v>0.93</c:v>
                </c:pt>
                <c:pt idx="19">
                  <c:v>0.93</c:v>
                </c:pt>
                <c:pt idx="20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F2B-4D8C-A44C-037A0DAC4CE1}"/>
            </c:ext>
          </c:extLst>
        </c:ser>
        <c:ser>
          <c:idx val="101"/>
          <c:order val="101"/>
          <c:tx>
            <c:strRef>
              <c:f>Inventory!$A$103:$D$103</c:f>
              <c:strCache>
                <c:ptCount val="4"/>
                <c:pt idx="0">
                  <c:v>PP-Bizon</c:v>
                </c:pt>
                <c:pt idx="1">
                  <c:v>StatTrak Osiris FT</c:v>
                </c:pt>
                <c:pt idx="2">
                  <c:v>SMG</c:v>
                </c:pt>
                <c:pt idx="3">
                  <c:v>Breakout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Inventory!$E$1:$FU$1</c:f>
              <c:numCache>
                <c:formatCode>m/d/yyyy</c:formatCode>
                <c:ptCount val="173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  <c:pt idx="76">
                  <c:v>44409</c:v>
                </c:pt>
                <c:pt idx="77">
                  <c:v>44410</c:v>
                </c:pt>
                <c:pt idx="78">
                  <c:v>44411</c:v>
                </c:pt>
                <c:pt idx="79">
                  <c:v>44412</c:v>
                </c:pt>
                <c:pt idx="80">
                  <c:v>44413</c:v>
                </c:pt>
                <c:pt idx="81">
                  <c:v>44414</c:v>
                </c:pt>
                <c:pt idx="82">
                  <c:v>44415</c:v>
                </c:pt>
                <c:pt idx="83">
                  <c:v>44416</c:v>
                </c:pt>
                <c:pt idx="84">
                  <c:v>44417</c:v>
                </c:pt>
                <c:pt idx="85">
                  <c:v>44418</c:v>
                </c:pt>
                <c:pt idx="86">
                  <c:v>44419</c:v>
                </c:pt>
                <c:pt idx="87">
                  <c:v>44420</c:v>
                </c:pt>
                <c:pt idx="88">
                  <c:v>44421</c:v>
                </c:pt>
                <c:pt idx="89">
                  <c:v>44422</c:v>
                </c:pt>
                <c:pt idx="90">
                  <c:v>44423</c:v>
                </c:pt>
                <c:pt idx="91">
                  <c:v>44424</c:v>
                </c:pt>
                <c:pt idx="92">
                  <c:v>44425</c:v>
                </c:pt>
                <c:pt idx="93">
                  <c:v>44426</c:v>
                </c:pt>
                <c:pt idx="94">
                  <c:v>44427</c:v>
                </c:pt>
                <c:pt idx="95">
                  <c:v>44428</c:v>
                </c:pt>
                <c:pt idx="96">
                  <c:v>44429</c:v>
                </c:pt>
                <c:pt idx="97">
                  <c:v>44430</c:v>
                </c:pt>
                <c:pt idx="98">
                  <c:v>44431</c:v>
                </c:pt>
                <c:pt idx="99">
                  <c:v>44432</c:v>
                </c:pt>
                <c:pt idx="100">
                  <c:v>44433</c:v>
                </c:pt>
                <c:pt idx="101">
                  <c:v>44434</c:v>
                </c:pt>
                <c:pt idx="102">
                  <c:v>44435</c:v>
                </c:pt>
                <c:pt idx="103">
                  <c:v>44436</c:v>
                </c:pt>
                <c:pt idx="104">
                  <c:v>44437</c:v>
                </c:pt>
                <c:pt idx="105">
                  <c:v>44438</c:v>
                </c:pt>
                <c:pt idx="106">
                  <c:v>44439</c:v>
                </c:pt>
                <c:pt idx="107">
                  <c:v>44440</c:v>
                </c:pt>
                <c:pt idx="108">
                  <c:v>44441</c:v>
                </c:pt>
                <c:pt idx="109">
                  <c:v>44442</c:v>
                </c:pt>
                <c:pt idx="110">
                  <c:v>44443</c:v>
                </c:pt>
                <c:pt idx="111">
                  <c:v>44444</c:v>
                </c:pt>
                <c:pt idx="112">
                  <c:v>44445</c:v>
                </c:pt>
                <c:pt idx="113">
                  <c:v>44446</c:v>
                </c:pt>
                <c:pt idx="114">
                  <c:v>44447</c:v>
                </c:pt>
                <c:pt idx="115">
                  <c:v>44448</c:v>
                </c:pt>
                <c:pt idx="116">
                  <c:v>44449</c:v>
                </c:pt>
                <c:pt idx="117">
                  <c:v>44450</c:v>
                </c:pt>
                <c:pt idx="118">
                  <c:v>44451</c:v>
                </c:pt>
                <c:pt idx="119">
                  <c:v>44452</c:v>
                </c:pt>
                <c:pt idx="120">
                  <c:v>44453</c:v>
                </c:pt>
                <c:pt idx="121">
                  <c:v>44454</c:v>
                </c:pt>
                <c:pt idx="122">
                  <c:v>44455</c:v>
                </c:pt>
                <c:pt idx="123">
                  <c:v>44456</c:v>
                </c:pt>
                <c:pt idx="124">
                  <c:v>44457</c:v>
                </c:pt>
                <c:pt idx="125">
                  <c:v>44458</c:v>
                </c:pt>
                <c:pt idx="126">
                  <c:v>44459</c:v>
                </c:pt>
                <c:pt idx="127">
                  <c:v>44460</c:v>
                </c:pt>
                <c:pt idx="128">
                  <c:v>44461</c:v>
                </c:pt>
                <c:pt idx="129">
                  <c:v>44462</c:v>
                </c:pt>
                <c:pt idx="130">
                  <c:v>44463</c:v>
                </c:pt>
                <c:pt idx="131">
                  <c:v>44464</c:v>
                </c:pt>
                <c:pt idx="132">
                  <c:v>44465</c:v>
                </c:pt>
                <c:pt idx="133">
                  <c:v>44466</c:v>
                </c:pt>
                <c:pt idx="134">
                  <c:v>44467</c:v>
                </c:pt>
                <c:pt idx="135">
                  <c:v>44468</c:v>
                </c:pt>
                <c:pt idx="136">
                  <c:v>44469</c:v>
                </c:pt>
                <c:pt idx="137">
                  <c:v>44470</c:v>
                </c:pt>
                <c:pt idx="138">
                  <c:v>44471</c:v>
                </c:pt>
                <c:pt idx="139">
                  <c:v>44472</c:v>
                </c:pt>
                <c:pt idx="140">
                  <c:v>44473</c:v>
                </c:pt>
                <c:pt idx="141">
                  <c:v>44474</c:v>
                </c:pt>
                <c:pt idx="142">
                  <c:v>44475</c:v>
                </c:pt>
                <c:pt idx="143">
                  <c:v>44476</c:v>
                </c:pt>
                <c:pt idx="144">
                  <c:v>44477</c:v>
                </c:pt>
                <c:pt idx="145">
                  <c:v>44478</c:v>
                </c:pt>
                <c:pt idx="146">
                  <c:v>44479</c:v>
                </c:pt>
                <c:pt idx="147">
                  <c:v>44480</c:v>
                </c:pt>
                <c:pt idx="148">
                  <c:v>44481</c:v>
                </c:pt>
                <c:pt idx="149">
                  <c:v>44482</c:v>
                </c:pt>
                <c:pt idx="150">
                  <c:v>44483</c:v>
                </c:pt>
                <c:pt idx="151">
                  <c:v>44484</c:v>
                </c:pt>
                <c:pt idx="152">
                  <c:v>44485</c:v>
                </c:pt>
                <c:pt idx="153">
                  <c:v>44486</c:v>
                </c:pt>
                <c:pt idx="154">
                  <c:v>44487</c:v>
                </c:pt>
                <c:pt idx="155">
                  <c:v>44488</c:v>
                </c:pt>
                <c:pt idx="156">
                  <c:v>44489</c:v>
                </c:pt>
                <c:pt idx="157">
                  <c:v>44490</c:v>
                </c:pt>
                <c:pt idx="158">
                  <c:v>44491</c:v>
                </c:pt>
                <c:pt idx="159">
                  <c:v>44492</c:v>
                </c:pt>
                <c:pt idx="160">
                  <c:v>44493</c:v>
                </c:pt>
                <c:pt idx="161">
                  <c:v>44494</c:v>
                </c:pt>
                <c:pt idx="162">
                  <c:v>44495</c:v>
                </c:pt>
                <c:pt idx="163">
                  <c:v>44496</c:v>
                </c:pt>
                <c:pt idx="164">
                  <c:v>44497</c:v>
                </c:pt>
                <c:pt idx="165">
                  <c:v>44498</c:v>
                </c:pt>
                <c:pt idx="166">
                  <c:v>44499</c:v>
                </c:pt>
                <c:pt idx="167">
                  <c:v>44500</c:v>
                </c:pt>
                <c:pt idx="168">
                  <c:v>44501</c:v>
                </c:pt>
                <c:pt idx="169">
                  <c:v>44502</c:v>
                </c:pt>
                <c:pt idx="170">
                  <c:v>44503</c:v>
                </c:pt>
                <c:pt idx="171">
                  <c:v>44504</c:v>
                </c:pt>
                <c:pt idx="172">
                  <c:v>44505</c:v>
                </c:pt>
              </c:numCache>
            </c:numRef>
          </c:cat>
          <c:val>
            <c:numRef>
              <c:f>Inventory!$E$103:$FU$103</c:f>
              <c:numCache>
                <c:formatCode>General</c:formatCode>
                <c:ptCount val="173"/>
                <c:pt idx="0">
                  <c:v>1.46</c:v>
                </c:pt>
                <c:pt idx="1">
                  <c:v>1.44</c:v>
                </c:pt>
                <c:pt idx="2">
                  <c:v>1.44</c:v>
                </c:pt>
                <c:pt idx="3">
                  <c:v>1.39</c:v>
                </c:pt>
                <c:pt idx="4">
                  <c:v>1.47</c:v>
                </c:pt>
                <c:pt idx="5">
                  <c:v>1.44</c:v>
                </c:pt>
                <c:pt idx="6">
                  <c:v>1.43</c:v>
                </c:pt>
                <c:pt idx="7">
                  <c:v>1.39</c:v>
                </c:pt>
                <c:pt idx="8">
                  <c:v>1.43</c:v>
                </c:pt>
                <c:pt idx="9">
                  <c:v>1.53</c:v>
                </c:pt>
                <c:pt idx="10">
                  <c:v>1.54</c:v>
                </c:pt>
                <c:pt idx="11">
                  <c:v>1.57</c:v>
                </c:pt>
                <c:pt idx="12">
                  <c:v>1.65</c:v>
                </c:pt>
                <c:pt idx="13">
                  <c:v>1.61</c:v>
                </c:pt>
                <c:pt idx="14">
                  <c:v>1.61</c:v>
                </c:pt>
                <c:pt idx="15">
                  <c:v>1.65</c:v>
                </c:pt>
                <c:pt idx="16">
                  <c:v>1.58</c:v>
                </c:pt>
                <c:pt idx="17">
                  <c:v>1.49</c:v>
                </c:pt>
                <c:pt idx="18">
                  <c:v>1.46</c:v>
                </c:pt>
                <c:pt idx="19">
                  <c:v>1.44</c:v>
                </c:pt>
                <c:pt idx="20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1F2B-4D8C-A44C-037A0DAC4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344496"/>
        <c:axId val="929131088"/>
      </c:lineChart>
      <c:dateAx>
        <c:axId val="1249344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29131088"/>
        <c:crosses val="autoZero"/>
        <c:auto val="1"/>
        <c:lblOffset val="100"/>
        <c:baseTimeUnit val="days"/>
      </c:dateAx>
      <c:valAx>
        <c:axId val="92913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4934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257174</xdr:colOff>
      <xdr:row>15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163F0-BD63-412C-8DB5-74D97A16B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552449</xdr:colOff>
      <xdr:row>0</xdr:row>
      <xdr:rowOff>0</xdr:rowOff>
    </xdr:from>
    <xdr:to>
      <xdr:col>29</xdr:col>
      <xdr:colOff>180974</xdr:colOff>
      <xdr:row>15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A2E00B-AEF9-4E52-ACD4-F49282524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257174</xdr:colOff>
      <xdr:row>0</xdr:row>
      <xdr:rowOff>0</xdr:rowOff>
    </xdr:from>
    <xdr:to>
      <xdr:col>16</xdr:col>
      <xdr:colOff>285749</xdr:colOff>
      <xdr:row>15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E29BC2-8BE0-4C5F-9AB0-4D2DA6A8B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542925</xdr:colOff>
      <xdr:row>19</xdr:row>
      <xdr:rowOff>133350</xdr:rowOff>
    </xdr:from>
    <xdr:to>
      <xdr:col>19</xdr:col>
      <xdr:colOff>423333</xdr:colOff>
      <xdr:row>52</xdr:row>
      <xdr:rowOff>175683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EB1078-8701-4184-9F68-4134F08B9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E484-FCA5-4E94-B0BF-B7D8B2B2CBD5}">
  <dimension ref="A1"/>
  <sheetViews>
    <sheetView workbookViewId="0">
      <selection activeCell="O27" sqref="O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8C0F-9F1D-49D2-ACE9-43440751CF7A}">
  <dimension ref="A1:FR38"/>
  <sheetViews>
    <sheetView topLeftCell="M1" workbookViewId="0">
      <selection activeCell="X20" sqref="X20"/>
    </sheetView>
  </sheetViews>
  <sheetFormatPr defaultRowHeight="15" x14ac:dyDescent="0.25"/>
  <cols>
    <col min="1" max="1" width="17.140625" customWidth="1"/>
    <col min="2" max="171" width="11.7109375" customWidth="1"/>
    <col min="172" max="174" width="11.140625" customWidth="1"/>
  </cols>
  <sheetData>
    <row r="1" spans="1:174" x14ac:dyDescent="0.25">
      <c r="A1" t="s">
        <v>187</v>
      </c>
      <c r="B1" s="2">
        <f>Inventory!E1</f>
        <v>44331</v>
      </c>
      <c r="C1" s="2">
        <f>Inventory!F1</f>
        <v>44332</v>
      </c>
      <c r="D1" s="2">
        <f>Inventory!G1</f>
        <v>44334</v>
      </c>
      <c r="E1" s="2">
        <f>Inventory!H1</f>
        <v>44336</v>
      </c>
      <c r="F1" s="2">
        <f>Inventory!I1</f>
        <v>44337</v>
      </c>
      <c r="G1" s="2">
        <f>Inventory!J1</f>
        <v>44338</v>
      </c>
      <c r="H1" s="2">
        <f>Inventory!K1</f>
        <v>44339</v>
      </c>
      <c r="I1" s="2">
        <f>Inventory!L1</f>
        <v>44340</v>
      </c>
      <c r="J1" s="2">
        <f>Inventory!M1</f>
        <v>44341</v>
      </c>
      <c r="K1" s="2">
        <f>Inventory!N1</f>
        <v>44342</v>
      </c>
      <c r="L1" s="2">
        <f>Inventory!O1</f>
        <v>44343</v>
      </c>
      <c r="M1" s="2">
        <f>Inventory!P1</f>
        <v>44344</v>
      </c>
      <c r="N1" s="2">
        <f>Inventory!Q1</f>
        <v>44345</v>
      </c>
      <c r="O1" s="2">
        <f>Inventory!R1</f>
        <v>44346</v>
      </c>
      <c r="P1" s="2">
        <f>Inventory!S1</f>
        <v>44347</v>
      </c>
      <c r="Q1" s="2">
        <f>Inventory!T1</f>
        <v>44348</v>
      </c>
      <c r="R1" s="2">
        <f>Inventory!U1</f>
        <v>44349</v>
      </c>
      <c r="S1" s="2">
        <f>Inventory!V1</f>
        <v>44350</v>
      </c>
      <c r="T1" s="2">
        <f>Inventory!W1</f>
        <v>44351</v>
      </c>
      <c r="U1" s="2">
        <f>Inventory!X1</f>
        <v>44352</v>
      </c>
      <c r="V1" s="2">
        <f>Inventory!Y1</f>
        <v>44353</v>
      </c>
      <c r="W1" s="2">
        <f>Inventory!Z1</f>
        <v>44354</v>
      </c>
      <c r="X1" s="2">
        <f>Inventory!AA1</f>
        <v>44355</v>
      </c>
      <c r="Y1" s="2">
        <f>Inventory!AB1</f>
        <v>44356</v>
      </c>
      <c r="Z1" s="2">
        <f>Inventory!AC1</f>
        <v>44357</v>
      </c>
      <c r="AA1" s="2">
        <f>Inventory!AD1</f>
        <v>44358</v>
      </c>
      <c r="AB1" s="2">
        <f>Inventory!AE1</f>
        <v>44359</v>
      </c>
      <c r="AC1" s="2">
        <f>Inventory!AF1</f>
        <v>44360</v>
      </c>
      <c r="AD1" s="2">
        <f>Inventory!AG1</f>
        <v>44361</v>
      </c>
      <c r="AE1" s="2">
        <f>Inventory!AH1</f>
        <v>44362</v>
      </c>
      <c r="AF1" s="2">
        <f>Inventory!AI1</f>
        <v>44363</v>
      </c>
      <c r="AG1" s="2">
        <f>Inventory!AJ1</f>
        <v>44364</v>
      </c>
      <c r="AH1" s="2">
        <f>Inventory!AK1</f>
        <v>44365</v>
      </c>
      <c r="AI1" s="2">
        <f>Inventory!AL1</f>
        <v>44366</v>
      </c>
      <c r="AJ1" s="2">
        <f>Inventory!AM1</f>
        <v>44367</v>
      </c>
      <c r="AK1" s="2">
        <f>Inventory!AN1</f>
        <v>44368</v>
      </c>
      <c r="AL1" s="2">
        <f>Inventory!AO1</f>
        <v>44369</v>
      </c>
      <c r="AM1" s="2">
        <f>Inventory!AP1</f>
        <v>44370</v>
      </c>
      <c r="AN1" s="2">
        <f>Inventory!AQ1</f>
        <v>44371</v>
      </c>
      <c r="AO1" s="2">
        <f>Inventory!AR1</f>
        <v>44372</v>
      </c>
      <c r="AP1" s="2">
        <f>Inventory!AS1</f>
        <v>44373</v>
      </c>
      <c r="AQ1" s="2">
        <f>Inventory!AT1</f>
        <v>44374</v>
      </c>
      <c r="AR1" s="2">
        <f>Inventory!AU1</f>
        <v>44375</v>
      </c>
      <c r="AS1" s="2">
        <f>Inventory!AV1</f>
        <v>44376</v>
      </c>
      <c r="AT1" s="2">
        <f>Inventory!AW1</f>
        <v>44377</v>
      </c>
      <c r="AU1" s="2">
        <f>Inventory!AX1</f>
        <v>44378</v>
      </c>
      <c r="AV1" s="2">
        <f>Inventory!AY1</f>
        <v>44379</v>
      </c>
      <c r="AW1" s="2">
        <f>Inventory!AZ1</f>
        <v>44380</v>
      </c>
      <c r="AX1" s="2">
        <f>Inventory!BA1</f>
        <v>44381</v>
      </c>
      <c r="AY1" s="2">
        <f>Inventory!BB1</f>
        <v>44382</v>
      </c>
      <c r="AZ1" s="2">
        <f>Inventory!BC1</f>
        <v>44383</v>
      </c>
      <c r="BA1" s="2">
        <f>Inventory!BD1</f>
        <v>44384</v>
      </c>
      <c r="BB1" s="2">
        <f>Inventory!BE1</f>
        <v>44385</v>
      </c>
      <c r="BC1" s="2">
        <f>Inventory!BF1</f>
        <v>44386</v>
      </c>
      <c r="BD1" s="2">
        <f>Inventory!BG1</f>
        <v>44387</v>
      </c>
      <c r="BE1" s="2">
        <f>Inventory!BH1</f>
        <v>44388</v>
      </c>
      <c r="BF1" s="2">
        <f>Inventory!BI1</f>
        <v>44389</v>
      </c>
      <c r="BG1" s="2">
        <f>Inventory!BJ1</f>
        <v>44390</v>
      </c>
      <c r="BH1" s="2">
        <f>Inventory!BK1</f>
        <v>44391</v>
      </c>
      <c r="BI1" s="2">
        <f>Inventory!BL1</f>
        <v>44392</v>
      </c>
      <c r="BJ1" s="2">
        <f>Inventory!BM1</f>
        <v>44393</v>
      </c>
      <c r="BK1" s="2">
        <f>Inventory!BN1</f>
        <v>44394</v>
      </c>
      <c r="BL1" s="2">
        <f>Inventory!BO1</f>
        <v>44395</v>
      </c>
      <c r="BM1" s="2">
        <f>Inventory!BP1</f>
        <v>44396</v>
      </c>
      <c r="BN1" s="2">
        <f>Inventory!BQ1</f>
        <v>44397</v>
      </c>
      <c r="BO1" s="2">
        <f>Inventory!BR1</f>
        <v>44398</v>
      </c>
      <c r="BP1" s="2">
        <f>Inventory!BS1</f>
        <v>44399</v>
      </c>
      <c r="BQ1" s="2">
        <f>Inventory!BT1</f>
        <v>44400</v>
      </c>
      <c r="BR1" s="2">
        <f>Inventory!BU1</f>
        <v>44401</v>
      </c>
      <c r="BS1" s="2">
        <f>Inventory!BV1</f>
        <v>44402</v>
      </c>
      <c r="BT1" s="2">
        <f>Inventory!BW1</f>
        <v>44403</v>
      </c>
      <c r="BU1" s="2">
        <f>Inventory!BX1</f>
        <v>44404</v>
      </c>
      <c r="BV1" s="2">
        <f>Inventory!BY1</f>
        <v>44405</v>
      </c>
      <c r="BW1" s="2">
        <f>Inventory!BZ1</f>
        <v>44406</v>
      </c>
      <c r="BX1" s="2">
        <f>Inventory!CA1</f>
        <v>44407</v>
      </c>
      <c r="BY1" s="2">
        <f>Inventory!CB1</f>
        <v>44408</v>
      </c>
      <c r="BZ1" s="2">
        <f>Inventory!CC1</f>
        <v>44409</v>
      </c>
      <c r="CA1" s="2">
        <f>Inventory!CD1</f>
        <v>44410</v>
      </c>
      <c r="CB1" s="2">
        <f>Inventory!CE1</f>
        <v>44411</v>
      </c>
      <c r="CC1" s="2">
        <f>Inventory!CF1</f>
        <v>44412</v>
      </c>
      <c r="CD1" s="2">
        <f>Inventory!CG1</f>
        <v>44413</v>
      </c>
      <c r="CE1" s="2">
        <f>Inventory!CH1</f>
        <v>44414</v>
      </c>
      <c r="CF1" s="2">
        <f>Inventory!CI1</f>
        <v>44415</v>
      </c>
      <c r="CG1" s="2">
        <f>Inventory!CJ1</f>
        <v>44416</v>
      </c>
      <c r="CH1" s="2">
        <f>Inventory!CK1</f>
        <v>44417</v>
      </c>
      <c r="CI1" s="2">
        <f>Inventory!CL1</f>
        <v>44418</v>
      </c>
      <c r="CJ1" s="2">
        <f>Inventory!CM1</f>
        <v>44419</v>
      </c>
      <c r="CK1" s="2">
        <f>Inventory!CN1</f>
        <v>44420</v>
      </c>
      <c r="CL1" s="2">
        <f>Inventory!CO1</f>
        <v>44421</v>
      </c>
      <c r="CM1" s="2">
        <f>Inventory!CP1</f>
        <v>44422</v>
      </c>
      <c r="CN1" s="2">
        <f>Inventory!CQ1</f>
        <v>44423</v>
      </c>
      <c r="CO1" s="2">
        <f>Inventory!CR1</f>
        <v>44424</v>
      </c>
      <c r="CP1" s="2">
        <f>Inventory!CS1</f>
        <v>44425</v>
      </c>
      <c r="CQ1" s="2">
        <f>Inventory!CT1</f>
        <v>44426</v>
      </c>
      <c r="CR1" s="2">
        <f>Inventory!CU1</f>
        <v>44427</v>
      </c>
      <c r="CS1" s="2">
        <f>Inventory!CV1</f>
        <v>44428</v>
      </c>
      <c r="CT1" s="2">
        <f>Inventory!CW1</f>
        <v>44429</v>
      </c>
      <c r="CU1" s="2">
        <f>Inventory!CX1</f>
        <v>44430</v>
      </c>
      <c r="CV1" s="2">
        <f>Inventory!CY1</f>
        <v>44431</v>
      </c>
      <c r="CW1" s="2">
        <f>Inventory!CZ1</f>
        <v>44432</v>
      </c>
      <c r="CX1" s="2">
        <f>Inventory!DA1</f>
        <v>44433</v>
      </c>
      <c r="CY1" s="2">
        <f>Inventory!DB1</f>
        <v>44434</v>
      </c>
      <c r="CZ1" s="2">
        <f>Inventory!DC1</f>
        <v>44435</v>
      </c>
      <c r="DA1" s="2">
        <f>Inventory!DD1</f>
        <v>44436</v>
      </c>
      <c r="DB1" s="2">
        <f>Inventory!DE1</f>
        <v>44437</v>
      </c>
      <c r="DC1" s="2">
        <f>Inventory!DF1</f>
        <v>44438</v>
      </c>
      <c r="DD1" s="2">
        <f>Inventory!DG1</f>
        <v>44439</v>
      </c>
      <c r="DE1" s="2">
        <f>Inventory!DH1</f>
        <v>44440</v>
      </c>
      <c r="DF1" s="2">
        <f>Inventory!DI1</f>
        <v>44441</v>
      </c>
      <c r="DG1" s="2">
        <f>Inventory!DJ1</f>
        <v>44442</v>
      </c>
      <c r="DH1" s="2">
        <f>Inventory!DK1</f>
        <v>44443</v>
      </c>
      <c r="DI1" s="2">
        <f>Inventory!DL1</f>
        <v>44444</v>
      </c>
      <c r="DJ1" s="2">
        <f>Inventory!DM1</f>
        <v>44445</v>
      </c>
      <c r="DK1" s="2">
        <f>Inventory!DN1</f>
        <v>44446</v>
      </c>
      <c r="DL1" s="2">
        <f>Inventory!DO1</f>
        <v>44447</v>
      </c>
      <c r="DM1" s="2">
        <f>Inventory!DP1</f>
        <v>44448</v>
      </c>
      <c r="DN1" s="2">
        <f>Inventory!DQ1</f>
        <v>44449</v>
      </c>
      <c r="DO1" s="2">
        <f>Inventory!DR1</f>
        <v>44450</v>
      </c>
      <c r="DP1" s="2">
        <f>Inventory!DS1</f>
        <v>44451</v>
      </c>
      <c r="DQ1" s="2">
        <f>Inventory!DT1</f>
        <v>44452</v>
      </c>
      <c r="DR1" s="2">
        <f>Inventory!DU1</f>
        <v>44453</v>
      </c>
      <c r="DS1" s="2">
        <f>Inventory!DV1</f>
        <v>44454</v>
      </c>
      <c r="DT1" s="2">
        <f>Inventory!DW1</f>
        <v>44455</v>
      </c>
      <c r="DU1" s="2">
        <f>Inventory!DX1</f>
        <v>44456</v>
      </c>
      <c r="DV1" s="2">
        <f>Inventory!DY1</f>
        <v>44457</v>
      </c>
      <c r="DW1" s="2">
        <f>Inventory!DZ1</f>
        <v>44458</v>
      </c>
      <c r="DX1" s="2">
        <f>Inventory!EA1</f>
        <v>44459</v>
      </c>
      <c r="DY1" s="2">
        <f>Inventory!EB1</f>
        <v>44460</v>
      </c>
      <c r="DZ1" s="2">
        <f>Inventory!EC1</f>
        <v>44461</v>
      </c>
      <c r="EA1" s="2">
        <f>Inventory!ED1</f>
        <v>44462</v>
      </c>
      <c r="EB1" s="2">
        <f>Inventory!EE1</f>
        <v>44463</v>
      </c>
      <c r="EC1" s="2">
        <f>Inventory!EF1</f>
        <v>44464</v>
      </c>
      <c r="ED1" s="2">
        <f>Inventory!EG1</f>
        <v>44465</v>
      </c>
      <c r="EE1" s="2">
        <f>Inventory!EH1</f>
        <v>44466</v>
      </c>
      <c r="EF1" s="2">
        <f>Inventory!EI1</f>
        <v>44467</v>
      </c>
      <c r="EG1" s="2">
        <f>Inventory!EJ1</f>
        <v>44468</v>
      </c>
      <c r="EH1" s="2">
        <f>Inventory!EK1</f>
        <v>44469</v>
      </c>
      <c r="EI1" s="2">
        <f>Inventory!EL1</f>
        <v>44470</v>
      </c>
      <c r="EJ1" s="2">
        <f>Inventory!EM1</f>
        <v>44471</v>
      </c>
      <c r="EK1" s="2">
        <f>Inventory!EN1</f>
        <v>44472</v>
      </c>
      <c r="EL1" s="2">
        <f>Inventory!EO1</f>
        <v>44473</v>
      </c>
      <c r="EM1" s="2">
        <f>Inventory!EP1</f>
        <v>44474</v>
      </c>
      <c r="EN1" s="2">
        <f>Inventory!EQ1</f>
        <v>44475</v>
      </c>
      <c r="EO1" s="2">
        <f>Inventory!ER1</f>
        <v>44476</v>
      </c>
      <c r="EP1" s="2">
        <f>Inventory!ES1</f>
        <v>44477</v>
      </c>
      <c r="EQ1" s="2">
        <f>Inventory!ET1</f>
        <v>44478</v>
      </c>
      <c r="ER1" s="2">
        <f>Inventory!EU1</f>
        <v>44479</v>
      </c>
      <c r="ES1" s="2">
        <f>Inventory!EV1</f>
        <v>44480</v>
      </c>
      <c r="ET1" s="2">
        <f>Inventory!EW1</f>
        <v>44481</v>
      </c>
      <c r="EU1" s="2">
        <f>Inventory!EX1</f>
        <v>44482</v>
      </c>
      <c r="EV1" s="2">
        <f>Inventory!EY1</f>
        <v>44483</v>
      </c>
      <c r="EW1" s="2">
        <f>Inventory!EZ1</f>
        <v>44484</v>
      </c>
      <c r="EX1" s="2">
        <f>Inventory!FA1</f>
        <v>44485</v>
      </c>
      <c r="EY1" s="2">
        <f>Inventory!FB1</f>
        <v>44486</v>
      </c>
      <c r="EZ1" s="2">
        <f>Inventory!FC1</f>
        <v>44487</v>
      </c>
      <c r="FA1" s="2">
        <f>Inventory!FD1</f>
        <v>44488</v>
      </c>
      <c r="FB1" s="2">
        <f>Inventory!FE1</f>
        <v>44489</v>
      </c>
      <c r="FC1" s="2">
        <f>Inventory!FF1</f>
        <v>44490</v>
      </c>
      <c r="FD1" s="2">
        <f>Inventory!FG1</f>
        <v>44491</v>
      </c>
      <c r="FE1" s="2">
        <f>Inventory!FH1</f>
        <v>44492</v>
      </c>
      <c r="FF1" s="2">
        <f>Inventory!FI1</f>
        <v>44493</v>
      </c>
      <c r="FG1" s="2">
        <f>Inventory!FJ1</f>
        <v>44494</v>
      </c>
      <c r="FH1" s="2">
        <f>Inventory!FK1</f>
        <v>44495</v>
      </c>
      <c r="FI1" s="2">
        <f>Inventory!FL1</f>
        <v>44496</v>
      </c>
      <c r="FJ1" s="2">
        <f>Inventory!FM1</f>
        <v>44497</v>
      </c>
      <c r="FK1" s="2">
        <f>Inventory!FN1</f>
        <v>44498</v>
      </c>
      <c r="FL1" s="2">
        <f>Inventory!FO1</f>
        <v>44499</v>
      </c>
      <c r="FM1" s="2">
        <f>Inventory!FP1</f>
        <v>44500</v>
      </c>
      <c r="FN1" s="2">
        <f>Inventory!FQ1</f>
        <v>44501</v>
      </c>
      <c r="FO1" s="2">
        <f>Inventory!FR1</f>
        <v>44502</v>
      </c>
      <c r="FP1" s="2">
        <f>Inventory!FS1</f>
        <v>44503</v>
      </c>
      <c r="FQ1" s="2">
        <f>Inventory!FT1</f>
        <v>44504</v>
      </c>
      <c r="FR1" s="2">
        <f>Inventory!FU1</f>
        <v>44505</v>
      </c>
    </row>
    <row r="2" spans="1:174" x14ac:dyDescent="0.25">
      <c r="A2" t="s">
        <v>64</v>
      </c>
      <c r="B2">
        <f>Knives!E10</f>
        <v>1973.0399999999997</v>
      </c>
      <c r="C2">
        <f>Knives!F10</f>
        <v>1981.8999999999999</v>
      </c>
      <c r="D2">
        <f>Knives!G10</f>
        <v>2000.1100000000001</v>
      </c>
      <c r="E2">
        <f>Knives!H10</f>
        <v>2012.3300000000002</v>
      </c>
      <c r="F2">
        <f>Knives!I10</f>
        <v>2033.0700000000002</v>
      </c>
      <c r="G2">
        <f>Knives!J10</f>
        <v>1997.2199999999998</v>
      </c>
      <c r="H2">
        <f>Knives!K10</f>
        <v>2013.88</v>
      </c>
      <c r="I2">
        <f>Knives!L10</f>
        <v>2043.2699999999998</v>
      </c>
      <c r="J2">
        <f>Knives!M10</f>
        <v>2020.53</v>
      </c>
      <c r="K2">
        <f>Knives!N10</f>
        <v>2205.54</v>
      </c>
      <c r="L2">
        <f>Knives!O10</f>
        <v>2177.7400000000002</v>
      </c>
      <c r="M2">
        <f>Knives!P10</f>
        <v>2165.3000000000002</v>
      </c>
      <c r="N2">
        <f>Knives!Q10</f>
        <v>2132.02</v>
      </c>
      <c r="O2">
        <f>Knives!R10</f>
        <v>2137.7199999999998</v>
      </c>
      <c r="P2">
        <f>Knives!S10</f>
        <v>2110.66</v>
      </c>
      <c r="Q2">
        <f>Knives!T10</f>
        <v>2114.9700000000003</v>
      </c>
      <c r="R2">
        <f>Knives!U10</f>
        <v>2140.1000000000004</v>
      </c>
      <c r="S2">
        <f>Knives!V10</f>
        <v>2154.6799999999998</v>
      </c>
      <c r="T2">
        <f>Knives!W10</f>
        <v>2100.75</v>
      </c>
      <c r="U2">
        <f>Knives!X10</f>
        <v>2175.81</v>
      </c>
      <c r="V2">
        <f>Knives!Y10</f>
        <v>2301.6999999999998</v>
      </c>
      <c r="W2">
        <f>Knives!Z10</f>
        <v>0</v>
      </c>
    </row>
    <row r="3" spans="1:174" x14ac:dyDescent="0.25">
      <c r="A3" t="s">
        <v>74</v>
      </c>
      <c r="B3">
        <f>AWP!E13</f>
        <v>195.47</v>
      </c>
      <c r="C3">
        <f>AWP!F13</f>
        <v>190.54</v>
      </c>
      <c r="D3">
        <f>AWP!G13</f>
        <v>199.99</v>
      </c>
      <c r="E3">
        <f>AWP!H13</f>
        <v>193.31</v>
      </c>
      <c r="F3">
        <f>AWP!I13</f>
        <v>193.19</v>
      </c>
      <c r="G3">
        <f>AWP!J13</f>
        <v>185.44</v>
      </c>
      <c r="H3">
        <f>AWP!K13</f>
        <v>198.11</v>
      </c>
      <c r="I3">
        <f>AWP!L13</f>
        <v>199.2</v>
      </c>
      <c r="J3">
        <f>AWP!M13</f>
        <v>194.05000000000004</v>
      </c>
      <c r="K3">
        <f>AWP!N13</f>
        <v>205.29999999999998</v>
      </c>
      <c r="L3">
        <f>AWP!O13</f>
        <v>205.64999999999998</v>
      </c>
      <c r="M3">
        <f>AWP!P13</f>
        <v>195.63</v>
      </c>
      <c r="N3">
        <f>AWP!Q13</f>
        <v>199.73</v>
      </c>
      <c r="O3">
        <f>AWP!R13</f>
        <v>190.32</v>
      </c>
      <c r="P3">
        <f>AWP!S13</f>
        <v>196.61</v>
      </c>
      <c r="Q3">
        <f>AWP!T13</f>
        <v>200.15</v>
      </c>
      <c r="R3">
        <f>AWP!U13</f>
        <v>209.24</v>
      </c>
      <c r="S3">
        <f>AWP!V13</f>
        <v>202.45</v>
      </c>
      <c r="T3">
        <f>AWP!W13</f>
        <v>203.48999999999998</v>
      </c>
      <c r="U3">
        <f>AWP!X13</f>
        <v>203.33</v>
      </c>
      <c r="V3">
        <f>AWP!Y13</f>
        <v>200.63</v>
      </c>
      <c r="W3">
        <f>AWP!Z13</f>
        <v>0</v>
      </c>
    </row>
    <row r="4" spans="1:174" x14ac:dyDescent="0.25">
      <c r="A4" t="s">
        <v>95</v>
      </c>
      <c r="B4">
        <f>'AK-47'!E12</f>
        <v>385.2</v>
      </c>
      <c r="C4">
        <f>'AK-47'!F12</f>
        <v>398.33</v>
      </c>
      <c r="D4">
        <f>'AK-47'!G12</f>
        <v>408.55</v>
      </c>
      <c r="E4">
        <f>'AK-47'!H12</f>
        <v>396.45</v>
      </c>
      <c r="F4">
        <f>'AK-47'!I12</f>
        <v>401.81</v>
      </c>
      <c r="G4">
        <f>'AK-47'!J12</f>
        <v>389.48</v>
      </c>
      <c r="H4">
        <f>'AK-47'!K12</f>
        <v>389.58999999999992</v>
      </c>
      <c r="I4">
        <f>'AK-47'!L12</f>
        <v>395.04999999999995</v>
      </c>
      <c r="J4">
        <f>'AK-47'!M12</f>
        <v>382.46</v>
      </c>
      <c r="K4">
        <f>'AK-47'!N12</f>
        <v>403.94000000000005</v>
      </c>
      <c r="L4">
        <f>'AK-47'!O12</f>
        <v>404.38</v>
      </c>
      <c r="M4">
        <f>'AK-47'!P12</f>
        <v>401.66</v>
      </c>
      <c r="N4">
        <f>'AK-47'!Q12</f>
        <v>383.82</v>
      </c>
      <c r="O4">
        <f>'AK-47'!R12</f>
        <v>392.49999999999994</v>
      </c>
      <c r="P4">
        <f>'AK-47'!S12</f>
        <v>396.03</v>
      </c>
      <c r="Q4">
        <f>'AK-47'!T12</f>
        <v>405.53</v>
      </c>
      <c r="R4">
        <f>'AK-47'!U12</f>
        <v>403.7</v>
      </c>
      <c r="S4">
        <f>'AK-47'!V12</f>
        <v>409.21</v>
      </c>
      <c r="T4">
        <f>'AK-47'!W12</f>
        <v>411.23999999999995</v>
      </c>
      <c r="U4">
        <f>'AK-47'!X12</f>
        <v>447.6</v>
      </c>
      <c r="V4">
        <f>'AK-47'!Y12</f>
        <v>437.02</v>
      </c>
      <c r="W4">
        <f>'AK-47'!Z12</f>
        <v>0</v>
      </c>
    </row>
    <row r="5" spans="1:174" x14ac:dyDescent="0.25">
      <c r="A5" t="s">
        <v>3</v>
      </c>
      <c r="B5">
        <f>M4A4!E14</f>
        <v>178.95000000000002</v>
      </c>
      <c r="C5">
        <f>M4A4!F14</f>
        <v>175.29</v>
      </c>
      <c r="D5">
        <f>M4A4!G14</f>
        <v>172.94</v>
      </c>
      <c r="E5">
        <f>M4A4!H14</f>
        <v>175.82</v>
      </c>
      <c r="F5">
        <f>M4A4!I14</f>
        <v>175.51</v>
      </c>
      <c r="G5">
        <f>M4A4!J14</f>
        <v>177.33</v>
      </c>
      <c r="H5">
        <f>M4A4!K14</f>
        <v>173.11</v>
      </c>
      <c r="I5">
        <f>M4A4!L14</f>
        <v>171.3</v>
      </c>
      <c r="J5">
        <f>M4A4!M14</f>
        <v>167.67</v>
      </c>
      <c r="K5">
        <f>M4A4!N14</f>
        <v>171.01999999999998</v>
      </c>
      <c r="L5">
        <f>M4A4!O14</f>
        <v>169.12</v>
      </c>
      <c r="M5">
        <f>M4A4!P14</f>
        <v>169.4</v>
      </c>
      <c r="N5">
        <f>M4A4!Q14</f>
        <v>170.17999999999998</v>
      </c>
      <c r="O5">
        <f>M4A4!R14</f>
        <v>172.92000000000002</v>
      </c>
      <c r="P5">
        <f>M4A4!S14</f>
        <v>173.81</v>
      </c>
      <c r="Q5">
        <f>M4A4!T14</f>
        <v>175.43</v>
      </c>
      <c r="R5">
        <f>M4A4!U14</f>
        <v>176.54</v>
      </c>
      <c r="S5">
        <f>M4A4!V14</f>
        <v>171.85</v>
      </c>
      <c r="T5">
        <f>M4A4!W14</f>
        <v>179.61</v>
      </c>
      <c r="U5">
        <f>M4A4!X14</f>
        <v>184.22</v>
      </c>
      <c r="V5">
        <f>M4A4!Y14</f>
        <v>178.42000000000002</v>
      </c>
      <c r="W5">
        <f>M4A4!Z14</f>
        <v>0</v>
      </c>
    </row>
    <row r="6" spans="1:174" x14ac:dyDescent="0.25">
      <c r="A6" t="s">
        <v>37</v>
      </c>
      <c r="B6">
        <f>'M4A1-S'!E10</f>
        <v>76.640000000000015</v>
      </c>
      <c r="C6">
        <f>'M4A1-S'!F10</f>
        <v>74.11</v>
      </c>
      <c r="D6">
        <f>'M4A1-S'!G10</f>
        <v>72.599999999999994</v>
      </c>
      <c r="E6">
        <f>'M4A1-S'!H10</f>
        <v>70.94</v>
      </c>
      <c r="F6">
        <f>'M4A1-S'!I10</f>
        <v>74.349999999999994</v>
      </c>
      <c r="G6">
        <f>'M4A1-S'!J10</f>
        <v>72.739999999999995</v>
      </c>
      <c r="H6">
        <f>'M4A1-S'!K10</f>
        <v>70.75</v>
      </c>
      <c r="I6">
        <f>'M4A1-S'!L10</f>
        <v>72.7</v>
      </c>
      <c r="J6">
        <f>'M4A1-S'!M10</f>
        <v>71.73</v>
      </c>
      <c r="K6">
        <f>'M4A1-S'!N10</f>
        <v>70.23</v>
      </c>
      <c r="L6">
        <f>'M4A1-S'!O10</f>
        <v>69.36</v>
      </c>
      <c r="M6">
        <f>'M4A1-S'!P10</f>
        <v>71.36</v>
      </c>
      <c r="N6">
        <f>'M4A1-S'!Q10</f>
        <v>71.34</v>
      </c>
      <c r="O6">
        <f>'M4A1-S'!R10</f>
        <v>79.62</v>
      </c>
      <c r="P6">
        <f>'M4A1-S'!S10</f>
        <v>74.830000000000013</v>
      </c>
      <c r="Q6">
        <f>'M4A1-S'!T10</f>
        <v>73.97</v>
      </c>
      <c r="R6">
        <f>'M4A1-S'!U10</f>
        <v>73.09</v>
      </c>
      <c r="S6">
        <f>'M4A1-S'!V10</f>
        <v>71.33</v>
      </c>
      <c r="T6">
        <f>'M4A1-S'!W10</f>
        <v>73.13000000000001</v>
      </c>
      <c r="U6">
        <f>'M4A1-S'!X10</f>
        <v>70.48</v>
      </c>
      <c r="V6">
        <f>'M4A1-S'!Y10</f>
        <v>70.72999999999999</v>
      </c>
      <c r="W6">
        <f>'M4A1-S'!Z10</f>
        <v>0</v>
      </c>
    </row>
    <row r="7" spans="1:174" x14ac:dyDescent="0.25">
      <c r="A7" t="s">
        <v>16</v>
      </c>
      <c r="B7">
        <f>SMG!E20</f>
        <v>66.949999999999974</v>
      </c>
      <c r="C7">
        <f>SMG!F20</f>
        <v>67.2</v>
      </c>
      <c r="D7">
        <f>SMG!G20</f>
        <v>63.86</v>
      </c>
      <c r="E7">
        <f>SMG!H20</f>
        <v>63.060000000000009</v>
      </c>
      <c r="F7">
        <f>SMG!I20</f>
        <v>66.27</v>
      </c>
      <c r="G7">
        <f>SMG!J20</f>
        <v>67.62</v>
      </c>
      <c r="H7">
        <f>SMG!K20</f>
        <v>66.72</v>
      </c>
      <c r="I7">
        <f>SMG!L20</f>
        <v>66.36999999999999</v>
      </c>
      <c r="J7">
        <f>SMG!M20</f>
        <v>66.62</v>
      </c>
      <c r="K7">
        <f>SMG!N20</f>
        <v>67.289999999999992</v>
      </c>
      <c r="L7">
        <f>SMG!O20</f>
        <v>67.490000000000023</v>
      </c>
      <c r="M7">
        <f>SMG!P20</f>
        <v>65.86</v>
      </c>
      <c r="N7">
        <f>SMG!Q20</f>
        <v>66.280000000000015</v>
      </c>
      <c r="O7">
        <f>SMG!R20</f>
        <v>64.61</v>
      </c>
      <c r="P7">
        <f>SMG!S20</f>
        <v>67.58</v>
      </c>
      <c r="Q7">
        <f>SMG!T20</f>
        <v>66.710000000000008</v>
      </c>
      <c r="R7">
        <f>SMG!U20</f>
        <v>66.589999999999989</v>
      </c>
      <c r="S7">
        <f>SMG!V20</f>
        <v>65.919999999999987</v>
      </c>
      <c r="T7">
        <f>SMG!W20</f>
        <v>66.839999999999989</v>
      </c>
      <c r="U7">
        <f>SMG!X20</f>
        <v>65.679999999999993</v>
      </c>
      <c r="V7">
        <f>SMG!Y20</f>
        <v>64.989999999999995</v>
      </c>
      <c r="W7">
        <f>SMG!Z20</f>
        <v>0</v>
      </c>
    </row>
    <row r="8" spans="1:174" x14ac:dyDescent="0.25">
      <c r="A8" t="s">
        <v>48</v>
      </c>
      <c r="B8">
        <f>Pistol!E37</f>
        <v>346.62</v>
      </c>
      <c r="C8">
        <f>Pistol!F37</f>
        <v>340.68</v>
      </c>
      <c r="D8">
        <f>Pistol!G37</f>
        <v>342.52</v>
      </c>
      <c r="E8">
        <f>Pistol!H37</f>
        <v>349.93</v>
      </c>
      <c r="F8">
        <f>Pistol!I37</f>
        <v>345.59000000000003</v>
      </c>
      <c r="G8">
        <f>Pistol!J37</f>
        <v>347.57000000000011</v>
      </c>
      <c r="H8">
        <f>Pistol!K37</f>
        <v>350.86999999999989</v>
      </c>
      <c r="I8">
        <f>Pistol!L37</f>
        <v>349.7399999999999</v>
      </c>
      <c r="J8">
        <f>Pistol!M37</f>
        <v>355</v>
      </c>
      <c r="K8">
        <f>Pistol!N37</f>
        <v>360.80999999999995</v>
      </c>
      <c r="L8">
        <f>Pistol!O37</f>
        <v>357.96999999999997</v>
      </c>
      <c r="M8">
        <f>Pistol!P37</f>
        <v>359.94000000000005</v>
      </c>
      <c r="N8">
        <f>Pistol!Q37</f>
        <v>357.37</v>
      </c>
      <c r="O8">
        <f>Pistol!R37</f>
        <v>356.70000000000005</v>
      </c>
      <c r="P8">
        <f>Pistol!S37</f>
        <v>352.50000000000006</v>
      </c>
      <c r="Q8">
        <f>Pistol!T37</f>
        <v>364.54000000000008</v>
      </c>
      <c r="R8">
        <f>Pistol!U37</f>
        <v>370.17999999999995</v>
      </c>
      <c r="S8">
        <f>Pistol!V37</f>
        <v>374.84000000000003</v>
      </c>
      <c r="T8">
        <f>Pistol!W37</f>
        <v>375.62000000000006</v>
      </c>
      <c r="U8">
        <f>Pistol!X37</f>
        <v>401.5</v>
      </c>
      <c r="V8">
        <f>Pistol!Y37</f>
        <v>403.28</v>
      </c>
      <c r="W8">
        <f>Pistol!Z37</f>
        <v>0</v>
      </c>
    </row>
    <row r="9" spans="1:174" x14ac:dyDescent="0.25">
      <c r="A9" t="s">
        <v>6</v>
      </c>
      <c r="B9">
        <f>Heavy!E17</f>
        <v>23.470000000000002</v>
      </c>
      <c r="C9">
        <f>Heavy!F17</f>
        <v>23.17</v>
      </c>
      <c r="D9">
        <f>Heavy!G17</f>
        <v>22.01</v>
      </c>
      <c r="E9">
        <f>Heavy!H17</f>
        <v>22.6</v>
      </c>
      <c r="F9">
        <f>Heavy!I17</f>
        <v>22.22</v>
      </c>
      <c r="G9">
        <f>Heavy!J17</f>
        <v>22.89</v>
      </c>
      <c r="H9">
        <f>Heavy!K17</f>
        <v>21.77</v>
      </c>
      <c r="I9">
        <f>Heavy!L17</f>
        <v>22.73</v>
      </c>
      <c r="J9">
        <f>Heavy!M17</f>
        <v>22.259999999999998</v>
      </c>
      <c r="K9">
        <f>Heavy!N17</f>
        <v>22.799999999999997</v>
      </c>
      <c r="L9">
        <f>Heavy!O17</f>
        <v>22.68</v>
      </c>
      <c r="M9">
        <f>Heavy!P17</f>
        <v>23.41</v>
      </c>
      <c r="N9">
        <f>Heavy!Q17</f>
        <v>23.259999999999998</v>
      </c>
      <c r="O9">
        <f>Heavy!R17</f>
        <v>22.509999999999998</v>
      </c>
      <c r="P9">
        <f>Heavy!S17</f>
        <v>22.849999999999998</v>
      </c>
      <c r="Q9">
        <f>Heavy!T17</f>
        <v>23.580000000000002</v>
      </c>
      <c r="R9">
        <f>Heavy!U17</f>
        <v>24.09</v>
      </c>
      <c r="S9">
        <f>Heavy!V17</f>
        <v>23.599999999999998</v>
      </c>
      <c r="T9">
        <f>Heavy!W17</f>
        <v>23.33</v>
      </c>
      <c r="U9">
        <f>Heavy!X17</f>
        <v>23.56</v>
      </c>
      <c r="V9">
        <f>Heavy!Y17</f>
        <v>23.869999999999997</v>
      </c>
      <c r="W9">
        <f>Heavy!Z17</f>
        <v>0</v>
      </c>
    </row>
    <row r="10" spans="1:174" x14ac:dyDescent="0.25">
      <c r="A10" t="s">
        <v>184</v>
      </c>
      <c r="B10">
        <f>'Other Rifles'!E23</f>
        <v>0</v>
      </c>
      <c r="C10">
        <f>'Other Rifles'!F23</f>
        <v>0</v>
      </c>
      <c r="D10">
        <f>'Other Rifles'!G23</f>
        <v>0</v>
      </c>
      <c r="E10">
        <f>'Other Rifles'!H23</f>
        <v>0</v>
      </c>
      <c r="F10">
        <f>'Other Rifles'!I23</f>
        <v>0</v>
      </c>
      <c r="G10">
        <f>'Other Rifles'!J23</f>
        <v>0</v>
      </c>
      <c r="H10">
        <f>'Other Rifles'!K23</f>
        <v>102.48</v>
      </c>
      <c r="I10">
        <f>'Other Rifles'!L23</f>
        <v>98.56</v>
      </c>
      <c r="J10">
        <f>'Other Rifles'!M23</f>
        <v>101.13</v>
      </c>
      <c r="K10">
        <f>'Other Rifles'!N23</f>
        <v>103.97</v>
      </c>
      <c r="L10">
        <f>'Other Rifles'!O23</f>
        <v>106.05000000000001</v>
      </c>
      <c r="M10">
        <f>'Other Rifles'!P23</f>
        <v>105.23999999999998</v>
      </c>
      <c r="N10">
        <f>'Other Rifles'!Q23</f>
        <v>103.05000000000001</v>
      </c>
      <c r="O10">
        <f>'Other Rifles'!R23</f>
        <v>105.64</v>
      </c>
      <c r="P10">
        <f>'Other Rifles'!S23</f>
        <v>105.4</v>
      </c>
      <c r="Q10">
        <f>'Other Rifles'!T23</f>
        <v>107.26</v>
      </c>
      <c r="R10">
        <f>'Other Rifles'!U23</f>
        <v>105.51999999999998</v>
      </c>
      <c r="S10">
        <f>'Other Rifles'!V23</f>
        <v>104.86999999999999</v>
      </c>
      <c r="T10">
        <f>'Other Rifles'!W23</f>
        <v>103.73</v>
      </c>
      <c r="U10">
        <f>'Other Rifles'!X23</f>
        <v>111.58</v>
      </c>
      <c r="V10">
        <f>'Other Rifles'!Y23</f>
        <v>107.27</v>
      </c>
      <c r="W10">
        <f>'Other Rifles'!Z23</f>
        <v>0</v>
      </c>
    </row>
    <row r="11" spans="1:174" x14ac:dyDescent="0.25">
      <c r="A11" t="s">
        <v>196</v>
      </c>
      <c r="B11">
        <f>Cases!D48</f>
        <v>379.7</v>
      </c>
      <c r="C11">
        <f>Cases!E48</f>
        <v>379.7</v>
      </c>
      <c r="D11">
        <f>Cases!F48</f>
        <v>379.7</v>
      </c>
      <c r="E11">
        <f>Cases!G48</f>
        <v>393.7</v>
      </c>
      <c r="F11">
        <f>Cases!H48</f>
        <v>392.2</v>
      </c>
      <c r="G11">
        <f>Cases!I48</f>
        <v>398.2</v>
      </c>
      <c r="H11">
        <f>Cases!J48</f>
        <v>372.2</v>
      </c>
      <c r="I11">
        <f>Cases!K48</f>
        <v>392.2</v>
      </c>
      <c r="J11">
        <f>Cases!L48</f>
        <v>393.7</v>
      </c>
      <c r="K11">
        <f>Cases!M48</f>
        <v>392.2</v>
      </c>
      <c r="L11">
        <f>Cases!N48</f>
        <v>393.7</v>
      </c>
      <c r="M11">
        <f>Cases!O48</f>
        <v>382.2</v>
      </c>
      <c r="N11">
        <f>Cases!P48</f>
        <v>385.2</v>
      </c>
      <c r="O11">
        <f>Cases!Q48</f>
        <v>375.2</v>
      </c>
      <c r="P11">
        <f>Cases!R48</f>
        <v>398.2</v>
      </c>
      <c r="Q11">
        <f>Cases!S48</f>
        <v>392.2</v>
      </c>
      <c r="R11">
        <f>Cases!T48</f>
        <v>395.2</v>
      </c>
      <c r="S11">
        <f>Cases!U48</f>
        <v>392.2</v>
      </c>
      <c r="T11">
        <f>Cases!V48</f>
        <v>546.9</v>
      </c>
      <c r="U11">
        <f>Cases!W48</f>
        <v>627.65</v>
      </c>
      <c r="V11">
        <f>Cases!X48</f>
        <v>524.54999999999995</v>
      </c>
      <c r="W11">
        <f>Cases!Y48</f>
        <v>576.70000000000005</v>
      </c>
    </row>
    <row r="12" spans="1:174" x14ac:dyDescent="0.25">
      <c r="A12" t="s">
        <v>197</v>
      </c>
    </row>
    <row r="19" spans="1:174" x14ac:dyDescent="0.25">
      <c r="B19" s="2">
        <f>B1</f>
        <v>44331</v>
      </c>
      <c r="C19" s="2">
        <f t="shared" ref="C19:BN19" si="0">C1</f>
        <v>44332</v>
      </c>
      <c r="D19" s="2">
        <f t="shared" si="0"/>
        <v>44334</v>
      </c>
      <c r="E19" s="2">
        <f t="shared" si="0"/>
        <v>44336</v>
      </c>
      <c r="F19" s="2">
        <f t="shared" si="0"/>
        <v>44337</v>
      </c>
      <c r="G19" s="2">
        <f t="shared" si="0"/>
        <v>44338</v>
      </c>
      <c r="H19" s="2">
        <f t="shared" si="0"/>
        <v>44339</v>
      </c>
      <c r="I19" s="2">
        <f t="shared" si="0"/>
        <v>44340</v>
      </c>
      <c r="J19" s="2">
        <f t="shared" si="0"/>
        <v>44341</v>
      </c>
      <c r="K19" s="2">
        <f t="shared" si="0"/>
        <v>44342</v>
      </c>
      <c r="L19" s="2">
        <f t="shared" si="0"/>
        <v>44343</v>
      </c>
      <c r="M19" s="2">
        <f t="shared" si="0"/>
        <v>44344</v>
      </c>
      <c r="N19" s="2">
        <f t="shared" si="0"/>
        <v>44345</v>
      </c>
      <c r="O19" s="2">
        <f t="shared" si="0"/>
        <v>44346</v>
      </c>
      <c r="P19" s="2">
        <f t="shared" si="0"/>
        <v>44347</v>
      </c>
      <c r="Q19" s="2">
        <f t="shared" si="0"/>
        <v>44348</v>
      </c>
      <c r="R19" s="2">
        <f t="shared" si="0"/>
        <v>44349</v>
      </c>
      <c r="S19" s="2">
        <f t="shared" si="0"/>
        <v>44350</v>
      </c>
      <c r="T19" s="2">
        <f t="shared" si="0"/>
        <v>44351</v>
      </c>
      <c r="U19" s="2">
        <f t="shared" si="0"/>
        <v>44352</v>
      </c>
      <c r="V19" s="2">
        <f t="shared" si="0"/>
        <v>44353</v>
      </c>
      <c r="W19" s="2">
        <f t="shared" si="0"/>
        <v>44354</v>
      </c>
      <c r="X19" s="2">
        <f t="shared" si="0"/>
        <v>44355</v>
      </c>
      <c r="Y19" s="2">
        <f t="shared" si="0"/>
        <v>44356</v>
      </c>
      <c r="Z19" s="2">
        <f t="shared" si="0"/>
        <v>44357</v>
      </c>
      <c r="AA19" s="2">
        <f t="shared" si="0"/>
        <v>44358</v>
      </c>
      <c r="AB19" s="2">
        <f t="shared" si="0"/>
        <v>44359</v>
      </c>
      <c r="AC19" s="2">
        <f t="shared" si="0"/>
        <v>44360</v>
      </c>
      <c r="AD19" s="2">
        <f t="shared" si="0"/>
        <v>44361</v>
      </c>
      <c r="AE19" s="2">
        <f t="shared" si="0"/>
        <v>44362</v>
      </c>
      <c r="AF19" s="2">
        <f t="shared" si="0"/>
        <v>44363</v>
      </c>
      <c r="AG19" s="2">
        <f t="shared" si="0"/>
        <v>44364</v>
      </c>
      <c r="AH19" s="2">
        <f t="shared" si="0"/>
        <v>44365</v>
      </c>
      <c r="AI19" s="2">
        <f t="shared" si="0"/>
        <v>44366</v>
      </c>
      <c r="AJ19" s="2">
        <f t="shared" si="0"/>
        <v>44367</v>
      </c>
      <c r="AK19" s="2">
        <f t="shared" si="0"/>
        <v>44368</v>
      </c>
      <c r="AL19" s="2">
        <f t="shared" si="0"/>
        <v>44369</v>
      </c>
      <c r="AM19" s="2">
        <f t="shared" si="0"/>
        <v>44370</v>
      </c>
      <c r="AN19" s="2">
        <f t="shared" si="0"/>
        <v>44371</v>
      </c>
      <c r="AO19" s="2">
        <f t="shared" si="0"/>
        <v>44372</v>
      </c>
      <c r="AP19" s="2">
        <f t="shared" si="0"/>
        <v>44373</v>
      </c>
      <c r="AQ19" s="2">
        <f t="shared" si="0"/>
        <v>44374</v>
      </c>
      <c r="AR19" s="2">
        <f t="shared" si="0"/>
        <v>44375</v>
      </c>
      <c r="AS19" s="2">
        <f t="shared" si="0"/>
        <v>44376</v>
      </c>
      <c r="AT19" s="2">
        <f t="shared" si="0"/>
        <v>44377</v>
      </c>
      <c r="AU19" s="2">
        <f t="shared" si="0"/>
        <v>44378</v>
      </c>
      <c r="AV19" s="2">
        <f t="shared" si="0"/>
        <v>44379</v>
      </c>
      <c r="AW19" s="2">
        <f t="shared" si="0"/>
        <v>44380</v>
      </c>
      <c r="AX19" s="2">
        <f t="shared" si="0"/>
        <v>44381</v>
      </c>
      <c r="AY19" s="2">
        <f t="shared" si="0"/>
        <v>44382</v>
      </c>
      <c r="AZ19" s="2">
        <f t="shared" si="0"/>
        <v>44383</v>
      </c>
      <c r="BA19" s="2">
        <f t="shared" si="0"/>
        <v>44384</v>
      </c>
      <c r="BB19" s="2">
        <f t="shared" si="0"/>
        <v>44385</v>
      </c>
      <c r="BC19" s="2">
        <f t="shared" si="0"/>
        <v>44386</v>
      </c>
      <c r="BD19" s="2">
        <f t="shared" si="0"/>
        <v>44387</v>
      </c>
      <c r="BE19" s="2">
        <f t="shared" si="0"/>
        <v>44388</v>
      </c>
      <c r="BF19" s="2">
        <f t="shared" si="0"/>
        <v>44389</v>
      </c>
      <c r="BG19" s="2">
        <f t="shared" si="0"/>
        <v>44390</v>
      </c>
      <c r="BH19" s="2">
        <f t="shared" si="0"/>
        <v>44391</v>
      </c>
      <c r="BI19" s="2">
        <f t="shared" si="0"/>
        <v>44392</v>
      </c>
      <c r="BJ19" s="2">
        <f t="shared" si="0"/>
        <v>44393</v>
      </c>
      <c r="BK19" s="2">
        <f t="shared" si="0"/>
        <v>44394</v>
      </c>
      <c r="BL19" s="2">
        <f t="shared" si="0"/>
        <v>44395</v>
      </c>
      <c r="BM19" s="2">
        <f t="shared" si="0"/>
        <v>44396</v>
      </c>
      <c r="BN19" s="2">
        <f t="shared" si="0"/>
        <v>44397</v>
      </c>
      <c r="BO19" s="2">
        <f t="shared" ref="BO19:DZ19" si="1">BO1</f>
        <v>44398</v>
      </c>
      <c r="BP19" s="2">
        <f t="shared" si="1"/>
        <v>44399</v>
      </c>
      <c r="BQ19" s="2">
        <f t="shared" si="1"/>
        <v>44400</v>
      </c>
      <c r="BR19" s="2">
        <f t="shared" si="1"/>
        <v>44401</v>
      </c>
      <c r="BS19" s="2">
        <f t="shared" si="1"/>
        <v>44402</v>
      </c>
      <c r="BT19" s="2">
        <f t="shared" si="1"/>
        <v>44403</v>
      </c>
      <c r="BU19" s="2">
        <f t="shared" si="1"/>
        <v>44404</v>
      </c>
      <c r="BV19" s="2">
        <f t="shared" si="1"/>
        <v>44405</v>
      </c>
      <c r="BW19" s="2">
        <f t="shared" si="1"/>
        <v>44406</v>
      </c>
      <c r="BX19" s="2">
        <f t="shared" si="1"/>
        <v>44407</v>
      </c>
      <c r="BY19" s="2">
        <f t="shared" si="1"/>
        <v>44408</v>
      </c>
      <c r="BZ19" s="2">
        <f t="shared" si="1"/>
        <v>44409</v>
      </c>
      <c r="CA19" s="2">
        <f t="shared" si="1"/>
        <v>44410</v>
      </c>
      <c r="CB19" s="2">
        <f t="shared" si="1"/>
        <v>44411</v>
      </c>
      <c r="CC19" s="2">
        <f t="shared" si="1"/>
        <v>44412</v>
      </c>
      <c r="CD19" s="2">
        <f t="shared" si="1"/>
        <v>44413</v>
      </c>
      <c r="CE19" s="2">
        <f t="shared" si="1"/>
        <v>44414</v>
      </c>
      <c r="CF19" s="2">
        <f t="shared" si="1"/>
        <v>44415</v>
      </c>
      <c r="CG19" s="2">
        <f t="shared" si="1"/>
        <v>44416</v>
      </c>
      <c r="CH19" s="2">
        <f t="shared" si="1"/>
        <v>44417</v>
      </c>
      <c r="CI19" s="2">
        <f t="shared" si="1"/>
        <v>44418</v>
      </c>
      <c r="CJ19" s="2">
        <f t="shared" si="1"/>
        <v>44419</v>
      </c>
      <c r="CK19" s="2">
        <f t="shared" si="1"/>
        <v>44420</v>
      </c>
      <c r="CL19" s="2">
        <f t="shared" si="1"/>
        <v>44421</v>
      </c>
      <c r="CM19" s="2">
        <f t="shared" si="1"/>
        <v>44422</v>
      </c>
      <c r="CN19" s="2">
        <f t="shared" si="1"/>
        <v>44423</v>
      </c>
      <c r="CO19" s="2">
        <f t="shared" si="1"/>
        <v>44424</v>
      </c>
      <c r="CP19" s="2">
        <f t="shared" si="1"/>
        <v>44425</v>
      </c>
      <c r="CQ19" s="2">
        <f t="shared" si="1"/>
        <v>44426</v>
      </c>
      <c r="CR19" s="2">
        <f t="shared" si="1"/>
        <v>44427</v>
      </c>
      <c r="CS19" s="2">
        <f t="shared" si="1"/>
        <v>44428</v>
      </c>
      <c r="CT19" s="2">
        <f t="shared" si="1"/>
        <v>44429</v>
      </c>
      <c r="CU19" s="2">
        <f t="shared" si="1"/>
        <v>44430</v>
      </c>
      <c r="CV19" s="2">
        <f t="shared" si="1"/>
        <v>44431</v>
      </c>
      <c r="CW19" s="2">
        <f t="shared" si="1"/>
        <v>44432</v>
      </c>
      <c r="CX19" s="2">
        <f t="shared" si="1"/>
        <v>44433</v>
      </c>
      <c r="CY19" s="2">
        <f t="shared" si="1"/>
        <v>44434</v>
      </c>
      <c r="CZ19" s="2">
        <f t="shared" si="1"/>
        <v>44435</v>
      </c>
      <c r="DA19" s="2">
        <f t="shared" si="1"/>
        <v>44436</v>
      </c>
      <c r="DB19" s="2">
        <f t="shared" si="1"/>
        <v>44437</v>
      </c>
      <c r="DC19" s="2">
        <f t="shared" si="1"/>
        <v>44438</v>
      </c>
      <c r="DD19" s="2">
        <f t="shared" si="1"/>
        <v>44439</v>
      </c>
      <c r="DE19" s="2">
        <f t="shared" si="1"/>
        <v>44440</v>
      </c>
      <c r="DF19" s="2">
        <f t="shared" si="1"/>
        <v>44441</v>
      </c>
      <c r="DG19" s="2">
        <f t="shared" si="1"/>
        <v>44442</v>
      </c>
      <c r="DH19" s="2">
        <f t="shared" si="1"/>
        <v>44443</v>
      </c>
      <c r="DI19" s="2">
        <f t="shared" si="1"/>
        <v>44444</v>
      </c>
      <c r="DJ19" s="2">
        <f t="shared" si="1"/>
        <v>44445</v>
      </c>
      <c r="DK19" s="2">
        <f t="shared" si="1"/>
        <v>44446</v>
      </c>
      <c r="DL19" s="2">
        <f t="shared" si="1"/>
        <v>44447</v>
      </c>
      <c r="DM19" s="2">
        <f t="shared" si="1"/>
        <v>44448</v>
      </c>
      <c r="DN19" s="2">
        <f t="shared" si="1"/>
        <v>44449</v>
      </c>
      <c r="DO19" s="2">
        <f t="shared" si="1"/>
        <v>44450</v>
      </c>
      <c r="DP19" s="2">
        <f t="shared" si="1"/>
        <v>44451</v>
      </c>
      <c r="DQ19" s="2">
        <f t="shared" si="1"/>
        <v>44452</v>
      </c>
      <c r="DR19" s="2">
        <f t="shared" si="1"/>
        <v>44453</v>
      </c>
      <c r="DS19" s="2">
        <f t="shared" si="1"/>
        <v>44454</v>
      </c>
      <c r="DT19" s="2">
        <f t="shared" si="1"/>
        <v>44455</v>
      </c>
      <c r="DU19" s="2">
        <f t="shared" si="1"/>
        <v>44456</v>
      </c>
      <c r="DV19" s="2">
        <f t="shared" si="1"/>
        <v>44457</v>
      </c>
      <c r="DW19" s="2">
        <f t="shared" si="1"/>
        <v>44458</v>
      </c>
      <c r="DX19" s="2">
        <f t="shared" si="1"/>
        <v>44459</v>
      </c>
      <c r="DY19" s="2">
        <f t="shared" si="1"/>
        <v>44460</v>
      </c>
      <c r="DZ19" s="2">
        <f t="shared" si="1"/>
        <v>44461</v>
      </c>
      <c r="EA19" s="2">
        <f t="shared" ref="EA19:FR19" si="2">EA1</f>
        <v>44462</v>
      </c>
      <c r="EB19" s="2">
        <f t="shared" si="2"/>
        <v>44463</v>
      </c>
      <c r="EC19" s="2">
        <f t="shared" si="2"/>
        <v>44464</v>
      </c>
      <c r="ED19" s="2">
        <f t="shared" si="2"/>
        <v>44465</v>
      </c>
      <c r="EE19" s="2">
        <f t="shared" si="2"/>
        <v>44466</v>
      </c>
      <c r="EF19" s="2">
        <f t="shared" si="2"/>
        <v>44467</v>
      </c>
      <c r="EG19" s="2">
        <f t="shared" si="2"/>
        <v>44468</v>
      </c>
      <c r="EH19" s="2">
        <f t="shared" si="2"/>
        <v>44469</v>
      </c>
      <c r="EI19" s="2">
        <f t="shared" si="2"/>
        <v>44470</v>
      </c>
      <c r="EJ19" s="2">
        <f t="shared" si="2"/>
        <v>44471</v>
      </c>
      <c r="EK19" s="2">
        <f t="shared" si="2"/>
        <v>44472</v>
      </c>
      <c r="EL19" s="2">
        <f t="shared" si="2"/>
        <v>44473</v>
      </c>
      <c r="EM19" s="2">
        <f t="shared" si="2"/>
        <v>44474</v>
      </c>
      <c r="EN19" s="2">
        <f t="shared" si="2"/>
        <v>44475</v>
      </c>
      <c r="EO19" s="2">
        <f t="shared" si="2"/>
        <v>44476</v>
      </c>
      <c r="EP19" s="2">
        <f t="shared" si="2"/>
        <v>44477</v>
      </c>
      <c r="EQ19" s="2">
        <f t="shared" si="2"/>
        <v>44478</v>
      </c>
      <c r="ER19" s="2">
        <f t="shared" si="2"/>
        <v>44479</v>
      </c>
      <c r="ES19" s="2">
        <f t="shared" si="2"/>
        <v>44480</v>
      </c>
      <c r="ET19" s="2">
        <f t="shared" si="2"/>
        <v>44481</v>
      </c>
      <c r="EU19" s="2">
        <f t="shared" si="2"/>
        <v>44482</v>
      </c>
      <c r="EV19" s="2">
        <f t="shared" si="2"/>
        <v>44483</v>
      </c>
      <c r="EW19" s="2">
        <f t="shared" si="2"/>
        <v>44484</v>
      </c>
      <c r="EX19" s="2">
        <f t="shared" si="2"/>
        <v>44485</v>
      </c>
      <c r="EY19" s="2">
        <f t="shared" si="2"/>
        <v>44486</v>
      </c>
      <c r="EZ19" s="2">
        <f t="shared" si="2"/>
        <v>44487</v>
      </c>
      <c r="FA19" s="2">
        <f t="shared" si="2"/>
        <v>44488</v>
      </c>
      <c r="FB19" s="2">
        <f t="shared" si="2"/>
        <v>44489</v>
      </c>
      <c r="FC19" s="2">
        <f t="shared" si="2"/>
        <v>44490</v>
      </c>
      <c r="FD19" s="2">
        <f t="shared" si="2"/>
        <v>44491</v>
      </c>
      <c r="FE19" s="2">
        <f t="shared" si="2"/>
        <v>44492</v>
      </c>
      <c r="FF19" s="2">
        <f t="shared" si="2"/>
        <v>44493</v>
      </c>
      <c r="FG19" s="2">
        <f t="shared" si="2"/>
        <v>44494</v>
      </c>
      <c r="FH19" s="2">
        <f t="shared" si="2"/>
        <v>44495</v>
      </c>
      <c r="FI19" s="2">
        <f t="shared" si="2"/>
        <v>44496</v>
      </c>
      <c r="FJ19" s="2">
        <f t="shared" si="2"/>
        <v>44497</v>
      </c>
      <c r="FK19" s="2">
        <f t="shared" si="2"/>
        <v>44498</v>
      </c>
      <c r="FL19" s="2">
        <f t="shared" si="2"/>
        <v>44499</v>
      </c>
      <c r="FM19" s="2">
        <f t="shared" si="2"/>
        <v>44500</v>
      </c>
      <c r="FN19" s="2">
        <f t="shared" si="2"/>
        <v>44501</v>
      </c>
      <c r="FO19" s="2">
        <f t="shared" si="2"/>
        <v>44502</v>
      </c>
      <c r="FP19" s="2">
        <f t="shared" si="2"/>
        <v>44503</v>
      </c>
      <c r="FQ19" s="2">
        <f t="shared" si="2"/>
        <v>44504</v>
      </c>
      <c r="FR19" s="2">
        <f t="shared" si="2"/>
        <v>44505</v>
      </c>
    </row>
    <row r="20" spans="1:174" x14ac:dyDescent="0.25">
      <c r="A20" t="s">
        <v>64</v>
      </c>
      <c r="B20">
        <f>Knives!E27</f>
        <v>1381.1100000000001</v>
      </c>
      <c r="C20">
        <f>Knives!F27</f>
        <v>1387.32</v>
      </c>
      <c r="D20">
        <f>Knives!G27</f>
        <v>1400.07</v>
      </c>
      <c r="E20">
        <f>Knives!H27</f>
        <v>1408.6100000000001</v>
      </c>
      <c r="F20">
        <f>Knives!I27</f>
        <v>1423.13</v>
      </c>
      <c r="G20">
        <f>Knives!J27</f>
        <v>1398.04</v>
      </c>
      <c r="H20">
        <f>Knives!K27</f>
        <v>1409.7</v>
      </c>
      <c r="I20">
        <f>Knives!L27</f>
        <v>1430.27</v>
      </c>
      <c r="J20">
        <f>Knives!M27</f>
        <v>1414.36</v>
      </c>
      <c r="K20">
        <f>Knives!N27</f>
        <v>1543.86</v>
      </c>
      <c r="L20">
        <f>Knives!O27</f>
        <v>1524.4</v>
      </c>
      <c r="M20">
        <f>Knives!P27</f>
        <v>1515.6900000000003</v>
      </c>
      <c r="N20">
        <f>Knives!Q27</f>
        <v>1492.3999999999999</v>
      </c>
      <c r="O20">
        <f>Knives!R27</f>
        <v>1496.3899999999999</v>
      </c>
      <c r="P20">
        <f>Knives!S27</f>
        <v>1477.44</v>
      </c>
      <c r="Q20">
        <f>Knives!T27</f>
        <v>1480.47</v>
      </c>
      <c r="R20">
        <f>Knives!U27</f>
        <v>1498.0500000000002</v>
      </c>
      <c r="S20">
        <f>Knives!V27</f>
        <v>1508.26</v>
      </c>
      <c r="T20">
        <f>Knives!W27</f>
        <v>1470.51</v>
      </c>
      <c r="U20">
        <f>Knives!X27</f>
        <v>1523.06</v>
      </c>
      <c r="V20">
        <f>Knives!Y27</f>
        <v>1611.17</v>
      </c>
      <c r="W20">
        <f>Knives!Z27</f>
        <v>0</v>
      </c>
    </row>
    <row r="21" spans="1:174" x14ac:dyDescent="0.25">
      <c r="A21" t="s">
        <v>74</v>
      </c>
      <c r="B21">
        <f>AWP!E28</f>
        <v>136.79</v>
      </c>
      <c r="C21">
        <f>AWP!F28</f>
        <v>133.34</v>
      </c>
      <c r="D21">
        <f>AWP!G28</f>
        <v>139.96</v>
      </c>
      <c r="E21">
        <f>AWP!H28</f>
        <v>135.28</v>
      </c>
      <c r="F21">
        <f>AWP!I28</f>
        <v>135.19999999999999</v>
      </c>
      <c r="G21">
        <f>AWP!J28</f>
        <v>129.78</v>
      </c>
      <c r="H21">
        <f>AWP!K28</f>
        <v>138.64000000000001</v>
      </c>
      <c r="I21">
        <f>AWP!L28</f>
        <v>139.39999999999998</v>
      </c>
      <c r="J21">
        <f>AWP!M28</f>
        <v>135.80000000000001</v>
      </c>
      <c r="K21">
        <f>AWP!N28</f>
        <v>143.68</v>
      </c>
      <c r="L21">
        <f>AWP!O28</f>
        <v>143.93</v>
      </c>
      <c r="M21">
        <f>AWP!P28</f>
        <v>136.91</v>
      </c>
      <c r="N21">
        <f>AWP!Q28</f>
        <v>139.78</v>
      </c>
      <c r="O21">
        <f>AWP!R28</f>
        <v>133.19</v>
      </c>
      <c r="P21">
        <f>AWP!S28</f>
        <v>137.59</v>
      </c>
      <c r="Q21">
        <f>AWP!T28</f>
        <v>140.06000000000003</v>
      </c>
      <c r="R21">
        <f>AWP!U28</f>
        <v>146.43000000000004</v>
      </c>
      <c r="S21">
        <f>AWP!V28</f>
        <v>141.68</v>
      </c>
      <c r="T21">
        <f>AWP!W28</f>
        <v>142.41999999999999</v>
      </c>
      <c r="U21">
        <f>AWP!X28</f>
        <v>142.31</v>
      </c>
      <c r="V21">
        <f>AWP!Y28</f>
        <v>140.41</v>
      </c>
      <c r="W21">
        <f>AWP!Z28</f>
        <v>0</v>
      </c>
    </row>
    <row r="22" spans="1:174" x14ac:dyDescent="0.25">
      <c r="A22" t="s">
        <v>95</v>
      </c>
      <c r="B22">
        <f>'AK-47'!E26</f>
        <v>269.60000000000002</v>
      </c>
      <c r="C22">
        <f>'AK-47'!F26</f>
        <v>278.80000000000007</v>
      </c>
      <c r="D22">
        <f>'AK-47'!G26</f>
        <v>285.96000000000004</v>
      </c>
      <c r="E22">
        <f>'AK-47'!H26</f>
        <v>277.49</v>
      </c>
      <c r="F22">
        <f>'AK-47'!I26</f>
        <v>281.24</v>
      </c>
      <c r="G22">
        <f>'AK-47'!J26</f>
        <v>272.62</v>
      </c>
      <c r="H22">
        <f>'AK-47'!K26</f>
        <v>272.68999999999994</v>
      </c>
      <c r="I22">
        <f>'AK-47'!L26</f>
        <v>276.5</v>
      </c>
      <c r="J22">
        <f>'AK-47'!M26</f>
        <v>267.69</v>
      </c>
      <c r="K22">
        <f>'AK-47'!N26</f>
        <v>282.74000000000007</v>
      </c>
      <c r="L22">
        <f>'AK-47'!O26</f>
        <v>283.05</v>
      </c>
      <c r="M22">
        <f>'AK-47'!P26</f>
        <v>281.14000000000004</v>
      </c>
      <c r="N22">
        <f>'AK-47'!Q26</f>
        <v>268.64999999999998</v>
      </c>
      <c r="O22">
        <f>'AK-47'!R26</f>
        <v>274.72000000000003</v>
      </c>
      <c r="P22">
        <f>'AK-47'!S26</f>
        <v>277.19999999999993</v>
      </c>
      <c r="Q22">
        <f>'AK-47'!T26</f>
        <v>283.85000000000002</v>
      </c>
      <c r="R22">
        <f>'AK-47'!U26</f>
        <v>282.56999999999994</v>
      </c>
      <c r="S22">
        <f>'AK-47'!V26</f>
        <v>286.42</v>
      </c>
      <c r="T22">
        <f>'AK-47'!W26</f>
        <v>287.85000000000002</v>
      </c>
      <c r="U22">
        <f>'AK-47'!X26</f>
        <v>313.3</v>
      </c>
      <c r="V22">
        <f>'AK-47'!Y26</f>
        <v>305.87999999999994</v>
      </c>
      <c r="W22">
        <f>'AK-47'!Z26</f>
        <v>0</v>
      </c>
    </row>
    <row r="23" spans="1:174" x14ac:dyDescent="0.25">
      <c r="A23" t="s">
        <v>3</v>
      </c>
      <c r="B23">
        <f>M4A4!E30</f>
        <v>125.22</v>
      </c>
      <c r="C23">
        <f>M4A4!F30</f>
        <v>122.66</v>
      </c>
      <c r="D23">
        <f>M4A4!G30</f>
        <v>121.04</v>
      </c>
      <c r="E23">
        <f>M4A4!H30</f>
        <v>123.03</v>
      </c>
      <c r="F23">
        <f>M4A4!I30</f>
        <v>122.83000000000001</v>
      </c>
      <c r="G23">
        <f>M4A4!J30</f>
        <v>124.1</v>
      </c>
      <c r="H23">
        <f>M4A4!K30</f>
        <v>121.14</v>
      </c>
      <c r="I23">
        <f>M4A4!L30</f>
        <v>119.88000000000001</v>
      </c>
      <c r="J23">
        <f>M4A4!M30</f>
        <v>117.33000000000001</v>
      </c>
      <c r="K23">
        <f>M4A4!N30</f>
        <v>119.67</v>
      </c>
      <c r="L23">
        <f>M4A4!O30</f>
        <v>118.35</v>
      </c>
      <c r="M23">
        <f>M4A4!P30</f>
        <v>118.54000000000002</v>
      </c>
      <c r="N23">
        <f>M4A4!Q30</f>
        <v>119.08</v>
      </c>
      <c r="O23">
        <f>M4A4!R30</f>
        <v>121.00999999999999</v>
      </c>
      <c r="P23">
        <f>M4A4!S30</f>
        <v>121.63000000000001</v>
      </c>
      <c r="Q23">
        <f>M4A4!T30</f>
        <v>122.75999999999999</v>
      </c>
      <c r="R23">
        <f>M4A4!U30</f>
        <v>123.54</v>
      </c>
      <c r="S23">
        <f>M4A4!V30</f>
        <v>120.26</v>
      </c>
      <c r="T23">
        <f>M4A4!W30</f>
        <v>125.69</v>
      </c>
      <c r="U23">
        <f>M4A4!X30</f>
        <v>128.91999999999999</v>
      </c>
      <c r="V23">
        <f>M4A4!Y30</f>
        <v>124.85000000000001</v>
      </c>
      <c r="W23">
        <f>M4A4!Z30</f>
        <v>0</v>
      </c>
    </row>
    <row r="24" spans="1:174" x14ac:dyDescent="0.25">
      <c r="A24" t="s">
        <v>37</v>
      </c>
      <c r="B24">
        <f>'M4A1-S'!E23</f>
        <v>53.63</v>
      </c>
      <c r="C24">
        <f>'M4A1-S'!F23</f>
        <v>51.86</v>
      </c>
      <c r="D24">
        <f>'M4A1-S'!G23</f>
        <v>50.8</v>
      </c>
      <c r="E24">
        <f>'M4A1-S'!H23</f>
        <v>49.64</v>
      </c>
      <c r="F24">
        <f>'M4A1-S'!I23</f>
        <v>52.03</v>
      </c>
      <c r="G24">
        <f>'M4A1-S'!J23</f>
        <v>50.889999999999993</v>
      </c>
      <c r="H24">
        <f>'M4A1-S'!K23</f>
        <v>49.5</v>
      </c>
      <c r="I24">
        <f>'M4A1-S'!L23</f>
        <v>50.870000000000005</v>
      </c>
      <c r="J24">
        <f>'M4A1-S'!M23</f>
        <v>50.190000000000012</v>
      </c>
      <c r="K24">
        <f>'M4A1-S'!N23</f>
        <v>49.14</v>
      </c>
      <c r="L24">
        <f>'M4A1-S'!O23</f>
        <v>48.53</v>
      </c>
      <c r="M24">
        <f>'M4A1-S'!P23</f>
        <v>49.919999999999995</v>
      </c>
      <c r="N24">
        <f>'M4A1-S'!Q23</f>
        <v>49.91</v>
      </c>
      <c r="O24">
        <f>'M4A1-S'!R23</f>
        <v>55.709999999999994</v>
      </c>
      <c r="P24">
        <f>'M4A1-S'!S23</f>
        <v>52.360000000000007</v>
      </c>
      <c r="Q24">
        <f>'M4A1-S'!T23</f>
        <v>51.760000000000005</v>
      </c>
      <c r="R24">
        <f>'M4A1-S'!U23</f>
        <v>51.15</v>
      </c>
      <c r="S24">
        <f>'M4A1-S'!V23</f>
        <v>49.91</v>
      </c>
      <c r="T24">
        <f>'M4A1-S'!W23</f>
        <v>51.169999999999995</v>
      </c>
      <c r="U24">
        <f>'M4A1-S'!X23</f>
        <v>49.32</v>
      </c>
      <c r="V24">
        <f>'M4A1-S'!Y23</f>
        <v>49.489999999999995</v>
      </c>
      <c r="W24">
        <f>'M4A1-S'!Z23</f>
        <v>0</v>
      </c>
    </row>
    <row r="25" spans="1:174" x14ac:dyDescent="0.25">
      <c r="A25" t="s">
        <v>16</v>
      </c>
      <c r="B25">
        <f>SMG!E42</f>
        <v>46.830000000000005</v>
      </c>
      <c r="C25">
        <f>SMG!F42</f>
        <v>46.960000000000008</v>
      </c>
      <c r="D25">
        <f>SMG!G42</f>
        <v>44.629999999999995</v>
      </c>
      <c r="E25">
        <f>SMG!H42</f>
        <v>44.09</v>
      </c>
      <c r="F25">
        <f>SMG!I42</f>
        <v>46.32</v>
      </c>
      <c r="G25">
        <f>SMG!J42</f>
        <v>47.25</v>
      </c>
      <c r="H25">
        <f>SMG!K42</f>
        <v>46.640000000000008</v>
      </c>
      <c r="I25">
        <f>SMG!L42</f>
        <v>46.389999999999986</v>
      </c>
      <c r="J25">
        <f>SMG!M42</f>
        <v>46.59</v>
      </c>
      <c r="K25">
        <f>SMG!N42</f>
        <v>47.039999999999992</v>
      </c>
      <c r="L25">
        <f>SMG!O42</f>
        <v>47.17</v>
      </c>
      <c r="M25">
        <f>SMG!P42</f>
        <v>46.03</v>
      </c>
      <c r="N25">
        <f>SMG!Q42</f>
        <v>46.330000000000005</v>
      </c>
      <c r="O25">
        <f>SMG!R42</f>
        <v>45.140000000000008</v>
      </c>
      <c r="P25">
        <f>SMG!S42</f>
        <v>47.24</v>
      </c>
      <c r="Q25">
        <f>SMG!T42</f>
        <v>46.64</v>
      </c>
      <c r="R25">
        <f>SMG!U42</f>
        <v>46.539999999999992</v>
      </c>
      <c r="S25">
        <f>SMG!V42</f>
        <v>46.079999999999991</v>
      </c>
      <c r="T25">
        <f>SMG!W42</f>
        <v>46.730000000000011</v>
      </c>
      <c r="U25">
        <f>SMG!X42</f>
        <v>45.91</v>
      </c>
      <c r="V25">
        <f>SMG!Y42</f>
        <v>45.43</v>
      </c>
      <c r="W25">
        <f>SMG!Z42</f>
        <v>0</v>
      </c>
    </row>
    <row r="26" spans="1:174" x14ac:dyDescent="0.25">
      <c r="A26" t="s">
        <v>48</v>
      </c>
      <c r="B26">
        <f>Pistol!E77</f>
        <v>242.49</v>
      </c>
      <c r="C26">
        <f>Pistol!F77</f>
        <v>238.36000000000007</v>
      </c>
      <c r="D26">
        <f>Pistol!G77</f>
        <v>239.60000000000005</v>
      </c>
      <c r="E26">
        <f>Pistol!H77</f>
        <v>244.81</v>
      </c>
      <c r="F26">
        <f>Pistol!I77</f>
        <v>241.79000000000008</v>
      </c>
      <c r="G26">
        <f>Pistol!J77</f>
        <v>243.17000000000007</v>
      </c>
      <c r="H26">
        <f>Pistol!K77</f>
        <v>245.47</v>
      </c>
      <c r="I26">
        <f>Pistol!L77</f>
        <v>244.68999999999997</v>
      </c>
      <c r="J26">
        <f>Pistol!M77</f>
        <v>248.35000000000008</v>
      </c>
      <c r="K26">
        <f>Pistol!N77</f>
        <v>252.42999999999998</v>
      </c>
      <c r="L26">
        <f>Pistol!O77</f>
        <v>250.45</v>
      </c>
      <c r="M26">
        <f>Pistol!P77</f>
        <v>251.79999999999995</v>
      </c>
      <c r="N26">
        <f>Pistol!Q77</f>
        <v>250.02999999999997</v>
      </c>
      <c r="O26">
        <f>Pistol!R77</f>
        <v>249.55000000000004</v>
      </c>
      <c r="P26">
        <f>Pistol!S77</f>
        <v>246.60000000000002</v>
      </c>
      <c r="Q26">
        <f>Pistol!T77</f>
        <v>255.02999999999997</v>
      </c>
      <c r="R26">
        <f>Pistol!U77</f>
        <v>258.98</v>
      </c>
      <c r="S26">
        <f>Pistol!V77</f>
        <v>262.26</v>
      </c>
      <c r="T26">
        <f>Pistol!W77</f>
        <v>262.79999999999995</v>
      </c>
      <c r="U26">
        <f>Pistol!X77</f>
        <v>280.91999999999996</v>
      </c>
      <c r="V26">
        <f>Pistol!Y77</f>
        <v>282.14999999999998</v>
      </c>
      <c r="W26">
        <f>Pistol!Z77</f>
        <v>0</v>
      </c>
    </row>
    <row r="27" spans="1:174" x14ac:dyDescent="0.25">
      <c r="A27" t="s">
        <v>6</v>
      </c>
      <c r="B27">
        <f>Heavy!E37</f>
        <v>16.39</v>
      </c>
      <c r="C27">
        <f>Heavy!F37</f>
        <v>16.169999999999998</v>
      </c>
      <c r="D27">
        <f>Heavy!G37</f>
        <v>15.35</v>
      </c>
      <c r="E27">
        <f>Heavy!H37</f>
        <v>15.770000000000001</v>
      </c>
      <c r="F27">
        <f>Heavy!I37</f>
        <v>15.510000000000002</v>
      </c>
      <c r="G27">
        <f>Heavy!J37</f>
        <v>15.999999999999998</v>
      </c>
      <c r="H27">
        <f>Heavy!K37</f>
        <v>15.21</v>
      </c>
      <c r="I27">
        <f>Heavy!L37</f>
        <v>15.870000000000001</v>
      </c>
      <c r="J27">
        <f>Heavy!M37</f>
        <v>15.53</v>
      </c>
      <c r="K27">
        <f>Heavy!N37</f>
        <v>15.9</v>
      </c>
      <c r="L27">
        <f>Heavy!O37</f>
        <v>15.83</v>
      </c>
      <c r="M27">
        <f>Heavy!P37</f>
        <v>16.330000000000002</v>
      </c>
      <c r="N27">
        <f>Heavy!Q37</f>
        <v>16.22</v>
      </c>
      <c r="O27">
        <f>Heavy!R37</f>
        <v>15.72</v>
      </c>
      <c r="P27">
        <f>Heavy!S37</f>
        <v>15.97</v>
      </c>
      <c r="Q27">
        <f>Heavy!T37</f>
        <v>16.470000000000002</v>
      </c>
      <c r="R27">
        <f>Heavy!U37</f>
        <v>16.810000000000002</v>
      </c>
      <c r="S27">
        <f>Heavy!V37</f>
        <v>16.48</v>
      </c>
      <c r="T27">
        <f>Heavy!W37</f>
        <v>16.309999999999999</v>
      </c>
      <c r="U27">
        <f>Heavy!X37</f>
        <v>16.46</v>
      </c>
      <c r="V27">
        <f>Heavy!Y37</f>
        <v>16.649999999999999</v>
      </c>
      <c r="W27">
        <f>Heavy!Z37</f>
        <v>0</v>
      </c>
    </row>
    <row r="28" spans="1:174" x14ac:dyDescent="0.25">
      <c r="A28" t="s">
        <v>184</v>
      </c>
      <c r="B28">
        <f>'Other Rifles'!E50</f>
        <v>0</v>
      </c>
      <c r="C28">
        <f>'Other Rifles'!F50</f>
        <v>0</v>
      </c>
      <c r="D28">
        <f>'Other Rifles'!G50</f>
        <v>0</v>
      </c>
      <c r="E28">
        <f>'Other Rifles'!H50</f>
        <v>0</v>
      </c>
      <c r="F28">
        <f>'Other Rifles'!I50</f>
        <v>0</v>
      </c>
      <c r="G28">
        <f>'Other Rifles'!J50</f>
        <v>0</v>
      </c>
      <c r="H28">
        <f>'Other Rifles'!K50</f>
        <v>71.66</v>
      </c>
      <c r="I28">
        <f>'Other Rifles'!L50</f>
        <v>68.91</v>
      </c>
      <c r="J28">
        <f>'Other Rifles'!M50</f>
        <v>70.73</v>
      </c>
      <c r="K28">
        <f>'Other Rifles'!N50</f>
        <v>72.69</v>
      </c>
      <c r="L28">
        <f>'Other Rifles'!O50</f>
        <v>74.140000000000015</v>
      </c>
      <c r="M28">
        <f>'Other Rifles'!P50</f>
        <v>73.589999999999989</v>
      </c>
      <c r="N28">
        <f>'Other Rifles'!Q50</f>
        <v>72.06</v>
      </c>
      <c r="O28">
        <f>'Other Rifles'!R50</f>
        <v>73.86</v>
      </c>
      <c r="P28">
        <f>'Other Rifles'!S50</f>
        <v>73.7</v>
      </c>
      <c r="Q28">
        <f>'Other Rifles'!T50</f>
        <v>75.02000000000001</v>
      </c>
      <c r="R28">
        <f>'Other Rifles'!U50</f>
        <v>73.8</v>
      </c>
      <c r="S28">
        <f>'Other Rifles'!V50</f>
        <v>73.350000000000009</v>
      </c>
      <c r="T28">
        <f>'Other Rifles'!W50</f>
        <v>72.550000000000011</v>
      </c>
      <c r="U28">
        <f>'Other Rifles'!X50</f>
        <v>78.02</v>
      </c>
      <c r="V28">
        <f>'Other Rifles'!Y50</f>
        <v>75.02</v>
      </c>
      <c r="W28">
        <f>'Other Rifles'!Z50</f>
        <v>0</v>
      </c>
    </row>
    <row r="29" spans="1:174" x14ac:dyDescent="0.25">
      <c r="A29" t="s">
        <v>196</v>
      </c>
      <c r="B29">
        <f>Cases!D49</f>
        <v>213.12</v>
      </c>
      <c r="C29">
        <f>Cases!E49</f>
        <v>213.12</v>
      </c>
      <c r="D29">
        <f>Cases!F49</f>
        <v>213.12</v>
      </c>
      <c r="E29">
        <f>Cases!G49</f>
        <v>224.32</v>
      </c>
      <c r="F29">
        <f>Cases!H49</f>
        <v>224.32</v>
      </c>
      <c r="G29">
        <f>Cases!I49</f>
        <v>227.92000000000002</v>
      </c>
      <c r="H29">
        <f>Cases!J49</f>
        <v>208.32</v>
      </c>
      <c r="I29">
        <f>Cases!K49</f>
        <v>224.32</v>
      </c>
      <c r="J29">
        <f>Cases!L49</f>
        <v>224.32</v>
      </c>
      <c r="K29">
        <f>Cases!M49</f>
        <v>224.32</v>
      </c>
      <c r="L29">
        <f>Cases!N49</f>
        <v>224.32</v>
      </c>
      <c r="M29">
        <f>Cases!O49</f>
        <v>216.32</v>
      </c>
      <c r="N29">
        <f>Cases!P49</f>
        <v>217.51999999999998</v>
      </c>
      <c r="O29">
        <f>Cases!Q49</f>
        <v>209.51999999999998</v>
      </c>
      <c r="P29">
        <f>Cases!R49</f>
        <v>227.92000000000002</v>
      </c>
      <c r="Q29">
        <f>Cases!S49</f>
        <v>224.32</v>
      </c>
      <c r="R29">
        <f>Cases!T49</f>
        <v>225.51999999999998</v>
      </c>
      <c r="S29">
        <f>Cases!U49</f>
        <v>224.32</v>
      </c>
      <c r="T29">
        <f>Cases!V49</f>
        <v>329.16</v>
      </c>
      <c r="U29">
        <f>Cases!W49</f>
        <v>390.32</v>
      </c>
      <c r="V29">
        <f>Cases!X49</f>
        <v>311.27999999999997</v>
      </c>
      <c r="W29">
        <f>Cases!Y49</f>
        <v>353</v>
      </c>
    </row>
    <row r="30" spans="1:174" x14ac:dyDescent="0.25">
      <c r="A30" t="s">
        <v>197</v>
      </c>
    </row>
    <row r="36" spans="1:174" x14ac:dyDescent="0.25">
      <c r="B36" s="2">
        <f>B19</f>
        <v>44331</v>
      </c>
      <c r="C36" s="2">
        <f t="shared" ref="C36:BN36" si="3">C19</f>
        <v>44332</v>
      </c>
      <c r="D36" s="2">
        <f t="shared" si="3"/>
        <v>44334</v>
      </c>
      <c r="E36" s="2">
        <f t="shared" si="3"/>
        <v>44336</v>
      </c>
      <c r="F36" s="2">
        <f t="shared" si="3"/>
        <v>44337</v>
      </c>
      <c r="G36" s="2">
        <f t="shared" si="3"/>
        <v>44338</v>
      </c>
      <c r="H36" s="2">
        <f t="shared" si="3"/>
        <v>44339</v>
      </c>
      <c r="I36" s="2">
        <f t="shared" si="3"/>
        <v>44340</v>
      </c>
      <c r="J36" s="2">
        <f t="shared" si="3"/>
        <v>44341</v>
      </c>
      <c r="K36" s="2">
        <f t="shared" si="3"/>
        <v>44342</v>
      </c>
      <c r="L36" s="2">
        <f t="shared" si="3"/>
        <v>44343</v>
      </c>
      <c r="M36" s="2">
        <f t="shared" si="3"/>
        <v>44344</v>
      </c>
      <c r="N36" s="2">
        <f t="shared" si="3"/>
        <v>44345</v>
      </c>
      <c r="O36" s="2">
        <f t="shared" si="3"/>
        <v>44346</v>
      </c>
      <c r="P36" s="2">
        <f t="shared" si="3"/>
        <v>44347</v>
      </c>
      <c r="Q36" s="2">
        <f t="shared" si="3"/>
        <v>44348</v>
      </c>
      <c r="R36" s="2">
        <f t="shared" si="3"/>
        <v>44349</v>
      </c>
      <c r="S36" s="2">
        <f t="shared" si="3"/>
        <v>44350</v>
      </c>
      <c r="T36" s="2">
        <f t="shared" si="3"/>
        <v>44351</v>
      </c>
      <c r="U36" s="2">
        <f t="shared" si="3"/>
        <v>44352</v>
      </c>
      <c r="V36" s="2">
        <f t="shared" si="3"/>
        <v>44353</v>
      </c>
      <c r="W36" s="2">
        <f t="shared" si="3"/>
        <v>44354</v>
      </c>
      <c r="X36" s="2">
        <f t="shared" si="3"/>
        <v>44355</v>
      </c>
      <c r="Y36" s="2">
        <f t="shared" si="3"/>
        <v>44356</v>
      </c>
      <c r="Z36" s="2">
        <f t="shared" si="3"/>
        <v>44357</v>
      </c>
      <c r="AA36" s="2">
        <f t="shared" si="3"/>
        <v>44358</v>
      </c>
      <c r="AB36" s="2">
        <f t="shared" si="3"/>
        <v>44359</v>
      </c>
      <c r="AC36" s="2">
        <f t="shared" si="3"/>
        <v>44360</v>
      </c>
      <c r="AD36" s="2">
        <f t="shared" si="3"/>
        <v>44361</v>
      </c>
      <c r="AE36" s="2">
        <f t="shared" si="3"/>
        <v>44362</v>
      </c>
      <c r="AF36" s="2">
        <f t="shared" si="3"/>
        <v>44363</v>
      </c>
      <c r="AG36" s="2">
        <f t="shared" si="3"/>
        <v>44364</v>
      </c>
      <c r="AH36" s="2">
        <f t="shared" si="3"/>
        <v>44365</v>
      </c>
      <c r="AI36" s="2">
        <f t="shared" si="3"/>
        <v>44366</v>
      </c>
      <c r="AJ36" s="2">
        <f t="shared" si="3"/>
        <v>44367</v>
      </c>
      <c r="AK36" s="2">
        <f t="shared" si="3"/>
        <v>44368</v>
      </c>
      <c r="AL36" s="2">
        <f t="shared" si="3"/>
        <v>44369</v>
      </c>
      <c r="AM36" s="2">
        <f t="shared" si="3"/>
        <v>44370</v>
      </c>
      <c r="AN36" s="2">
        <f t="shared" si="3"/>
        <v>44371</v>
      </c>
      <c r="AO36" s="2">
        <f t="shared" si="3"/>
        <v>44372</v>
      </c>
      <c r="AP36" s="2">
        <f t="shared" si="3"/>
        <v>44373</v>
      </c>
      <c r="AQ36" s="2">
        <f t="shared" si="3"/>
        <v>44374</v>
      </c>
      <c r="AR36" s="2">
        <f t="shared" si="3"/>
        <v>44375</v>
      </c>
      <c r="AS36" s="2">
        <f t="shared" si="3"/>
        <v>44376</v>
      </c>
      <c r="AT36" s="2">
        <f t="shared" si="3"/>
        <v>44377</v>
      </c>
      <c r="AU36" s="2">
        <f t="shared" si="3"/>
        <v>44378</v>
      </c>
      <c r="AV36" s="2">
        <f t="shared" si="3"/>
        <v>44379</v>
      </c>
      <c r="AW36" s="2">
        <f t="shared" si="3"/>
        <v>44380</v>
      </c>
      <c r="AX36" s="2">
        <f t="shared" si="3"/>
        <v>44381</v>
      </c>
      <c r="AY36" s="2">
        <f t="shared" si="3"/>
        <v>44382</v>
      </c>
      <c r="AZ36" s="2">
        <f t="shared" si="3"/>
        <v>44383</v>
      </c>
      <c r="BA36" s="2">
        <f t="shared" si="3"/>
        <v>44384</v>
      </c>
      <c r="BB36" s="2">
        <f t="shared" si="3"/>
        <v>44385</v>
      </c>
      <c r="BC36" s="2">
        <f t="shared" si="3"/>
        <v>44386</v>
      </c>
      <c r="BD36" s="2">
        <f t="shared" si="3"/>
        <v>44387</v>
      </c>
      <c r="BE36" s="2">
        <f t="shared" si="3"/>
        <v>44388</v>
      </c>
      <c r="BF36" s="2">
        <f t="shared" si="3"/>
        <v>44389</v>
      </c>
      <c r="BG36" s="2">
        <f t="shared" si="3"/>
        <v>44390</v>
      </c>
      <c r="BH36" s="2">
        <f t="shared" si="3"/>
        <v>44391</v>
      </c>
      <c r="BI36" s="2">
        <f t="shared" si="3"/>
        <v>44392</v>
      </c>
      <c r="BJ36" s="2">
        <f t="shared" si="3"/>
        <v>44393</v>
      </c>
      <c r="BK36" s="2">
        <f t="shared" si="3"/>
        <v>44394</v>
      </c>
      <c r="BL36" s="2">
        <f t="shared" si="3"/>
        <v>44395</v>
      </c>
      <c r="BM36" s="2">
        <f t="shared" si="3"/>
        <v>44396</v>
      </c>
      <c r="BN36" s="2">
        <f t="shared" si="3"/>
        <v>44397</v>
      </c>
      <c r="BO36" s="2">
        <f t="shared" ref="BO36:DZ36" si="4">BO19</f>
        <v>44398</v>
      </c>
      <c r="BP36" s="2">
        <f t="shared" si="4"/>
        <v>44399</v>
      </c>
      <c r="BQ36" s="2">
        <f t="shared" si="4"/>
        <v>44400</v>
      </c>
      <c r="BR36" s="2">
        <f t="shared" si="4"/>
        <v>44401</v>
      </c>
      <c r="BS36" s="2">
        <f t="shared" si="4"/>
        <v>44402</v>
      </c>
      <c r="BT36" s="2">
        <f t="shared" si="4"/>
        <v>44403</v>
      </c>
      <c r="BU36" s="2">
        <f t="shared" si="4"/>
        <v>44404</v>
      </c>
      <c r="BV36" s="2">
        <f t="shared" si="4"/>
        <v>44405</v>
      </c>
      <c r="BW36" s="2">
        <f t="shared" si="4"/>
        <v>44406</v>
      </c>
      <c r="BX36" s="2">
        <f t="shared" si="4"/>
        <v>44407</v>
      </c>
      <c r="BY36" s="2">
        <f t="shared" si="4"/>
        <v>44408</v>
      </c>
      <c r="BZ36" s="2">
        <f t="shared" si="4"/>
        <v>44409</v>
      </c>
      <c r="CA36" s="2">
        <f t="shared" si="4"/>
        <v>44410</v>
      </c>
      <c r="CB36" s="2">
        <f t="shared" si="4"/>
        <v>44411</v>
      </c>
      <c r="CC36" s="2">
        <f t="shared" si="4"/>
        <v>44412</v>
      </c>
      <c r="CD36" s="2">
        <f t="shared" si="4"/>
        <v>44413</v>
      </c>
      <c r="CE36" s="2">
        <f t="shared" si="4"/>
        <v>44414</v>
      </c>
      <c r="CF36" s="2">
        <f t="shared" si="4"/>
        <v>44415</v>
      </c>
      <c r="CG36" s="2">
        <f t="shared" si="4"/>
        <v>44416</v>
      </c>
      <c r="CH36" s="2">
        <f t="shared" si="4"/>
        <v>44417</v>
      </c>
      <c r="CI36" s="2">
        <f t="shared" si="4"/>
        <v>44418</v>
      </c>
      <c r="CJ36" s="2">
        <f t="shared" si="4"/>
        <v>44419</v>
      </c>
      <c r="CK36" s="2">
        <f t="shared" si="4"/>
        <v>44420</v>
      </c>
      <c r="CL36" s="2">
        <f t="shared" si="4"/>
        <v>44421</v>
      </c>
      <c r="CM36" s="2">
        <f t="shared" si="4"/>
        <v>44422</v>
      </c>
      <c r="CN36" s="2">
        <f t="shared" si="4"/>
        <v>44423</v>
      </c>
      <c r="CO36" s="2">
        <f t="shared" si="4"/>
        <v>44424</v>
      </c>
      <c r="CP36" s="2">
        <f t="shared" si="4"/>
        <v>44425</v>
      </c>
      <c r="CQ36" s="2">
        <f t="shared" si="4"/>
        <v>44426</v>
      </c>
      <c r="CR36" s="2">
        <f t="shared" si="4"/>
        <v>44427</v>
      </c>
      <c r="CS36" s="2">
        <f t="shared" si="4"/>
        <v>44428</v>
      </c>
      <c r="CT36" s="2">
        <f t="shared" si="4"/>
        <v>44429</v>
      </c>
      <c r="CU36" s="2">
        <f t="shared" si="4"/>
        <v>44430</v>
      </c>
      <c r="CV36" s="2">
        <f t="shared" si="4"/>
        <v>44431</v>
      </c>
      <c r="CW36" s="2">
        <f t="shared" si="4"/>
        <v>44432</v>
      </c>
      <c r="CX36" s="2">
        <f t="shared" si="4"/>
        <v>44433</v>
      </c>
      <c r="CY36" s="2">
        <f t="shared" si="4"/>
        <v>44434</v>
      </c>
      <c r="CZ36" s="2">
        <f t="shared" si="4"/>
        <v>44435</v>
      </c>
      <c r="DA36" s="2">
        <f t="shared" si="4"/>
        <v>44436</v>
      </c>
      <c r="DB36" s="2">
        <f t="shared" si="4"/>
        <v>44437</v>
      </c>
      <c r="DC36" s="2">
        <f t="shared" si="4"/>
        <v>44438</v>
      </c>
      <c r="DD36" s="2">
        <f t="shared" si="4"/>
        <v>44439</v>
      </c>
      <c r="DE36" s="2">
        <f t="shared" si="4"/>
        <v>44440</v>
      </c>
      <c r="DF36" s="2">
        <f t="shared" si="4"/>
        <v>44441</v>
      </c>
      <c r="DG36" s="2">
        <f t="shared" si="4"/>
        <v>44442</v>
      </c>
      <c r="DH36" s="2">
        <f t="shared" si="4"/>
        <v>44443</v>
      </c>
      <c r="DI36" s="2">
        <f t="shared" si="4"/>
        <v>44444</v>
      </c>
      <c r="DJ36" s="2">
        <f t="shared" si="4"/>
        <v>44445</v>
      </c>
      <c r="DK36" s="2">
        <f t="shared" si="4"/>
        <v>44446</v>
      </c>
      <c r="DL36" s="2">
        <f t="shared" si="4"/>
        <v>44447</v>
      </c>
      <c r="DM36" s="2">
        <f t="shared" si="4"/>
        <v>44448</v>
      </c>
      <c r="DN36" s="2">
        <f t="shared" si="4"/>
        <v>44449</v>
      </c>
      <c r="DO36" s="2">
        <f t="shared" si="4"/>
        <v>44450</v>
      </c>
      <c r="DP36" s="2">
        <f t="shared" si="4"/>
        <v>44451</v>
      </c>
      <c r="DQ36" s="2">
        <f t="shared" si="4"/>
        <v>44452</v>
      </c>
      <c r="DR36" s="2">
        <f t="shared" si="4"/>
        <v>44453</v>
      </c>
      <c r="DS36" s="2">
        <f t="shared" si="4"/>
        <v>44454</v>
      </c>
      <c r="DT36" s="2">
        <f t="shared" si="4"/>
        <v>44455</v>
      </c>
      <c r="DU36" s="2">
        <f t="shared" si="4"/>
        <v>44456</v>
      </c>
      <c r="DV36" s="2">
        <f t="shared" si="4"/>
        <v>44457</v>
      </c>
      <c r="DW36" s="2">
        <f t="shared" si="4"/>
        <v>44458</v>
      </c>
      <c r="DX36" s="2">
        <f t="shared" si="4"/>
        <v>44459</v>
      </c>
      <c r="DY36" s="2">
        <f t="shared" si="4"/>
        <v>44460</v>
      </c>
      <c r="DZ36" s="2">
        <f t="shared" si="4"/>
        <v>44461</v>
      </c>
      <c r="EA36" s="2">
        <f t="shared" ref="EA36:FR36" si="5">EA19</f>
        <v>44462</v>
      </c>
      <c r="EB36" s="2">
        <f t="shared" si="5"/>
        <v>44463</v>
      </c>
      <c r="EC36" s="2">
        <f t="shared" si="5"/>
        <v>44464</v>
      </c>
      <c r="ED36" s="2">
        <f t="shared" si="5"/>
        <v>44465</v>
      </c>
      <c r="EE36" s="2">
        <f t="shared" si="5"/>
        <v>44466</v>
      </c>
      <c r="EF36" s="2">
        <f t="shared" si="5"/>
        <v>44467</v>
      </c>
      <c r="EG36" s="2">
        <f t="shared" si="5"/>
        <v>44468</v>
      </c>
      <c r="EH36" s="2">
        <f t="shared" si="5"/>
        <v>44469</v>
      </c>
      <c r="EI36" s="2">
        <f t="shared" si="5"/>
        <v>44470</v>
      </c>
      <c r="EJ36" s="2">
        <f t="shared" si="5"/>
        <v>44471</v>
      </c>
      <c r="EK36" s="2">
        <f t="shared" si="5"/>
        <v>44472</v>
      </c>
      <c r="EL36" s="2">
        <f t="shared" si="5"/>
        <v>44473</v>
      </c>
      <c r="EM36" s="2">
        <f t="shared" si="5"/>
        <v>44474</v>
      </c>
      <c r="EN36" s="2">
        <f t="shared" si="5"/>
        <v>44475</v>
      </c>
      <c r="EO36" s="2">
        <f t="shared" si="5"/>
        <v>44476</v>
      </c>
      <c r="EP36" s="2">
        <f t="shared" si="5"/>
        <v>44477</v>
      </c>
      <c r="EQ36" s="2">
        <f t="shared" si="5"/>
        <v>44478</v>
      </c>
      <c r="ER36" s="2">
        <f t="shared" si="5"/>
        <v>44479</v>
      </c>
      <c r="ES36" s="2">
        <f t="shared" si="5"/>
        <v>44480</v>
      </c>
      <c r="ET36" s="2">
        <f t="shared" si="5"/>
        <v>44481</v>
      </c>
      <c r="EU36" s="2">
        <f t="shared" si="5"/>
        <v>44482</v>
      </c>
      <c r="EV36" s="2">
        <f t="shared" si="5"/>
        <v>44483</v>
      </c>
      <c r="EW36" s="2">
        <f t="shared" si="5"/>
        <v>44484</v>
      </c>
      <c r="EX36" s="2">
        <f t="shared" si="5"/>
        <v>44485</v>
      </c>
      <c r="EY36" s="2">
        <f t="shared" si="5"/>
        <v>44486</v>
      </c>
      <c r="EZ36" s="2">
        <f t="shared" si="5"/>
        <v>44487</v>
      </c>
      <c r="FA36" s="2">
        <f t="shared" si="5"/>
        <v>44488</v>
      </c>
      <c r="FB36" s="2">
        <f t="shared" si="5"/>
        <v>44489</v>
      </c>
      <c r="FC36" s="2">
        <f t="shared" si="5"/>
        <v>44490</v>
      </c>
      <c r="FD36" s="2">
        <f t="shared" si="5"/>
        <v>44491</v>
      </c>
      <c r="FE36" s="2">
        <f t="shared" si="5"/>
        <v>44492</v>
      </c>
      <c r="FF36" s="2">
        <f t="shared" si="5"/>
        <v>44493</v>
      </c>
      <c r="FG36" s="2">
        <f t="shared" si="5"/>
        <v>44494</v>
      </c>
      <c r="FH36" s="2">
        <f t="shared" si="5"/>
        <v>44495</v>
      </c>
      <c r="FI36" s="2">
        <f t="shared" si="5"/>
        <v>44496</v>
      </c>
      <c r="FJ36" s="2">
        <f t="shared" si="5"/>
        <v>44497</v>
      </c>
      <c r="FK36" s="2">
        <f t="shared" si="5"/>
        <v>44498</v>
      </c>
      <c r="FL36" s="2">
        <f t="shared" si="5"/>
        <v>44499</v>
      </c>
      <c r="FM36" s="2">
        <f t="shared" si="5"/>
        <v>44500</v>
      </c>
      <c r="FN36" s="2">
        <f t="shared" si="5"/>
        <v>44501</v>
      </c>
      <c r="FO36" s="2">
        <f t="shared" si="5"/>
        <v>44502</v>
      </c>
      <c r="FP36" s="2">
        <f t="shared" si="5"/>
        <v>44503</v>
      </c>
      <c r="FQ36" s="2">
        <f t="shared" si="5"/>
        <v>44504</v>
      </c>
      <c r="FR36" s="2">
        <f t="shared" si="5"/>
        <v>44505</v>
      </c>
    </row>
    <row r="37" spans="1:174" x14ac:dyDescent="0.25">
      <c r="A37" t="s">
        <v>186</v>
      </c>
      <c r="B37">
        <f>SUM(B2:B12)</f>
        <v>3626.0399999999986</v>
      </c>
      <c r="C37">
        <f t="shared" ref="C37:BN37" si="6">SUM(C2:C12)</f>
        <v>3630.9199999999996</v>
      </c>
      <c r="D37">
        <f t="shared" si="6"/>
        <v>3662.2800000000007</v>
      </c>
      <c r="E37">
        <f t="shared" si="6"/>
        <v>3678.14</v>
      </c>
      <c r="F37">
        <f t="shared" si="6"/>
        <v>3704.2099999999996</v>
      </c>
      <c r="G37">
        <f t="shared" si="6"/>
        <v>3658.4899999999993</v>
      </c>
      <c r="H37">
        <f t="shared" si="6"/>
        <v>3759.4799999999996</v>
      </c>
      <c r="I37">
        <f t="shared" si="6"/>
        <v>3811.119999999999</v>
      </c>
      <c r="J37">
        <f t="shared" si="6"/>
        <v>3775.15</v>
      </c>
      <c r="K37">
        <f t="shared" si="6"/>
        <v>4003.1</v>
      </c>
      <c r="L37">
        <f t="shared" si="6"/>
        <v>3974.1400000000003</v>
      </c>
      <c r="M37">
        <f t="shared" si="6"/>
        <v>3940</v>
      </c>
      <c r="N37">
        <f t="shared" si="6"/>
        <v>3892.2500000000005</v>
      </c>
      <c r="O37">
        <f t="shared" si="6"/>
        <v>3897.7400000000002</v>
      </c>
      <c r="P37">
        <f t="shared" si="6"/>
        <v>3898.47</v>
      </c>
      <c r="Q37">
        <f t="shared" si="6"/>
        <v>3924.34</v>
      </c>
      <c r="R37">
        <f t="shared" si="6"/>
        <v>3964.25</v>
      </c>
      <c r="S37">
        <f t="shared" si="6"/>
        <v>3970.9499999999994</v>
      </c>
      <c r="T37">
        <f t="shared" si="6"/>
        <v>4084.64</v>
      </c>
      <c r="U37">
        <f t="shared" si="6"/>
        <v>4311.4099999999989</v>
      </c>
      <c r="V37">
        <f t="shared" si="6"/>
        <v>4312.4599999999991</v>
      </c>
      <c r="W37">
        <f t="shared" si="6"/>
        <v>576.70000000000005</v>
      </c>
    </row>
    <row r="38" spans="1:174" x14ac:dyDescent="0.25">
      <c r="A38" t="s">
        <v>194</v>
      </c>
      <c r="B38">
        <f>SUM(B20:B30)</f>
        <v>2485.1799999999998</v>
      </c>
      <c r="C38">
        <f t="shared" ref="C38:BN38" si="7">SUM(C20:C30)</f>
        <v>2488.59</v>
      </c>
      <c r="D38">
        <f t="shared" si="7"/>
        <v>2510.5299999999997</v>
      </c>
      <c r="E38">
        <f t="shared" si="7"/>
        <v>2523.0400000000004</v>
      </c>
      <c r="F38">
        <f t="shared" si="7"/>
        <v>2542.3700000000003</v>
      </c>
      <c r="G38">
        <f t="shared" si="7"/>
        <v>2509.7700000000004</v>
      </c>
      <c r="H38">
        <f t="shared" si="7"/>
        <v>2578.9700000000003</v>
      </c>
      <c r="I38">
        <f t="shared" si="7"/>
        <v>2617.1</v>
      </c>
      <c r="J38">
        <f t="shared" si="7"/>
        <v>2590.8900000000003</v>
      </c>
      <c r="K38">
        <f t="shared" si="7"/>
        <v>2751.47</v>
      </c>
      <c r="L38">
        <f t="shared" si="7"/>
        <v>2730.17</v>
      </c>
      <c r="M38">
        <f t="shared" si="7"/>
        <v>2706.2700000000009</v>
      </c>
      <c r="N38">
        <f t="shared" si="7"/>
        <v>2671.9799999999991</v>
      </c>
      <c r="O38">
        <f t="shared" si="7"/>
        <v>2674.81</v>
      </c>
      <c r="P38">
        <f t="shared" si="7"/>
        <v>2677.6499999999996</v>
      </c>
      <c r="Q38">
        <f t="shared" si="7"/>
        <v>2696.3799999999997</v>
      </c>
      <c r="R38">
        <f t="shared" si="7"/>
        <v>2723.3900000000003</v>
      </c>
      <c r="S38">
        <f t="shared" si="7"/>
        <v>2729.02</v>
      </c>
      <c r="T38">
        <f t="shared" si="7"/>
        <v>2805.19</v>
      </c>
      <c r="U38">
        <f t="shared" si="7"/>
        <v>2968.54</v>
      </c>
      <c r="V38">
        <f t="shared" si="7"/>
        <v>2962.33</v>
      </c>
      <c r="W38">
        <f t="shared" si="7"/>
        <v>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1951-9C08-4FA7-9268-A53CE0C2A47E}">
  <dimension ref="A3:FU73"/>
  <sheetViews>
    <sheetView zoomScaleNormal="100" workbookViewId="0">
      <selection activeCell="E15" sqref="E15"/>
    </sheetView>
  </sheetViews>
  <sheetFormatPr defaultRowHeight="15" x14ac:dyDescent="0.25"/>
  <cols>
    <col min="1" max="1" width="16.140625" customWidth="1"/>
    <col min="2" max="2" width="11.140625" customWidth="1"/>
    <col min="3" max="3" width="14.5703125" customWidth="1"/>
    <col min="4" max="174" width="11.140625" customWidth="1"/>
    <col min="175" max="176" width="10.5703125" customWidth="1"/>
  </cols>
  <sheetData>
    <row r="3" spans="1:176" x14ac:dyDescent="0.25">
      <c r="C3" t="s">
        <v>189</v>
      </c>
    </row>
    <row r="4" spans="1:176" x14ac:dyDescent="0.25">
      <c r="D4" s="2">
        <f>Inventory!E1</f>
        <v>44331</v>
      </c>
      <c r="E4" s="2">
        <f>Inventory!F1</f>
        <v>44332</v>
      </c>
      <c r="F4" s="2">
        <f>Inventory!G1</f>
        <v>44334</v>
      </c>
      <c r="G4" s="2">
        <f>Inventory!H1</f>
        <v>44336</v>
      </c>
      <c r="H4" s="2">
        <f>Inventory!I1</f>
        <v>44337</v>
      </c>
      <c r="I4" s="2">
        <f>Inventory!J1</f>
        <v>44338</v>
      </c>
      <c r="J4" s="2">
        <f>Inventory!K1</f>
        <v>44339</v>
      </c>
      <c r="K4" s="2">
        <f>Inventory!L1</f>
        <v>44340</v>
      </c>
      <c r="L4" s="2">
        <f>Inventory!M1</f>
        <v>44341</v>
      </c>
      <c r="M4" s="2">
        <f>Inventory!N1</f>
        <v>44342</v>
      </c>
      <c r="N4" s="2">
        <f>Inventory!O1</f>
        <v>44343</v>
      </c>
      <c r="O4" s="2">
        <f>Inventory!P1</f>
        <v>44344</v>
      </c>
      <c r="P4" s="2">
        <f>Inventory!Q1</f>
        <v>44345</v>
      </c>
      <c r="Q4" s="2">
        <f>Inventory!R1</f>
        <v>44346</v>
      </c>
      <c r="R4" s="2">
        <f>Inventory!S1</f>
        <v>44347</v>
      </c>
      <c r="S4" s="2">
        <f>Inventory!T1</f>
        <v>44348</v>
      </c>
      <c r="T4" s="2">
        <f>Inventory!U1</f>
        <v>44349</v>
      </c>
      <c r="U4" s="2">
        <f>Inventory!V1</f>
        <v>44350</v>
      </c>
      <c r="V4" s="2">
        <f>Inventory!W1</f>
        <v>44351</v>
      </c>
      <c r="W4" s="2">
        <f>Inventory!X1</f>
        <v>44352</v>
      </c>
      <c r="X4" s="2">
        <f>Inventory!Y1</f>
        <v>44353</v>
      </c>
      <c r="Y4" s="2">
        <f>Inventory!Z1</f>
        <v>44354</v>
      </c>
      <c r="Z4" s="2">
        <f>Inventory!AA1</f>
        <v>44355</v>
      </c>
      <c r="AA4" s="2">
        <f>Inventory!AB1</f>
        <v>44356</v>
      </c>
      <c r="AB4" s="2">
        <f>Inventory!AC1</f>
        <v>44357</v>
      </c>
      <c r="AC4" s="2">
        <f>Inventory!AD1</f>
        <v>44358</v>
      </c>
      <c r="AD4" s="2">
        <f>Inventory!AE1</f>
        <v>44359</v>
      </c>
      <c r="AE4" s="2">
        <f>Inventory!AF1</f>
        <v>44360</v>
      </c>
      <c r="AF4" s="2">
        <f>Inventory!AG1</f>
        <v>44361</v>
      </c>
      <c r="AG4" s="2">
        <f>Inventory!AH1</f>
        <v>44362</v>
      </c>
      <c r="AH4" s="2">
        <f>Inventory!AI1</f>
        <v>44363</v>
      </c>
      <c r="AI4" s="2">
        <f>Inventory!AJ1</f>
        <v>44364</v>
      </c>
      <c r="AJ4" s="2">
        <f>Inventory!AK1</f>
        <v>44365</v>
      </c>
      <c r="AK4" s="2">
        <f>Inventory!AL1</f>
        <v>44366</v>
      </c>
      <c r="AL4" s="2">
        <f>Inventory!AM1</f>
        <v>44367</v>
      </c>
      <c r="AM4" s="2">
        <f>Inventory!AN1</f>
        <v>44368</v>
      </c>
      <c r="AN4" s="2">
        <f>Inventory!AO1</f>
        <v>44369</v>
      </c>
      <c r="AO4" s="2">
        <f>Inventory!AP1</f>
        <v>44370</v>
      </c>
      <c r="AP4" s="2">
        <f>Inventory!AQ1</f>
        <v>44371</v>
      </c>
      <c r="AQ4" s="2">
        <f>Inventory!AR1</f>
        <v>44372</v>
      </c>
      <c r="AR4" s="2">
        <f>Inventory!AS1</f>
        <v>44373</v>
      </c>
      <c r="AS4" s="2">
        <f>Inventory!AT1</f>
        <v>44374</v>
      </c>
      <c r="AT4" s="2">
        <f>Inventory!AU1</f>
        <v>44375</v>
      </c>
      <c r="AU4" s="2">
        <f>Inventory!AV1</f>
        <v>44376</v>
      </c>
      <c r="AV4" s="2">
        <f>Inventory!AW1</f>
        <v>44377</v>
      </c>
      <c r="AW4" s="2">
        <f>Inventory!AX1</f>
        <v>44378</v>
      </c>
      <c r="AX4" s="2">
        <f>Inventory!AY1</f>
        <v>44379</v>
      </c>
      <c r="AY4" s="2">
        <f>Inventory!AZ1</f>
        <v>44380</v>
      </c>
      <c r="AZ4" s="2">
        <f>Inventory!BA1</f>
        <v>44381</v>
      </c>
      <c r="BA4" s="2">
        <f>Inventory!BB1</f>
        <v>44382</v>
      </c>
      <c r="BB4" s="2">
        <f>Inventory!BC1</f>
        <v>44383</v>
      </c>
      <c r="BC4" s="2">
        <f>Inventory!BD1</f>
        <v>44384</v>
      </c>
      <c r="BD4" s="2">
        <f>Inventory!BE1</f>
        <v>44385</v>
      </c>
      <c r="BE4" s="2">
        <f>Inventory!BF1</f>
        <v>44386</v>
      </c>
      <c r="BF4" s="2">
        <f>Inventory!BG1</f>
        <v>44387</v>
      </c>
      <c r="BG4" s="2">
        <f>Inventory!BH1</f>
        <v>44388</v>
      </c>
      <c r="BH4" s="2">
        <f>Inventory!BI1</f>
        <v>44389</v>
      </c>
      <c r="BI4" s="2">
        <f>Inventory!BJ1</f>
        <v>44390</v>
      </c>
      <c r="BJ4" s="2">
        <f>Inventory!BK1</f>
        <v>44391</v>
      </c>
      <c r="BK4" s="2">
        <f>Inventory!BL1</f>
        <v>44392</v>
      </c>
      <c r="BL4" s="2">
        <f>Inventory!BM1</f>
        <v>44393</v>
      </c>
      <c r="BM4" s="2">
        <f>Inventory!BN1</f>
        <v>44394</v>
      </c>
      <c r="BN4" s="2">
        <f>Inventory!BO1</f>
        <v>44395</v>
      </c>
      <c r="BO4" s="2">
        <f>Inventory!BP1</f>
        <v>44396</v>
      </c>
      <c r="BP4" s="2">
        <f>Inventory!BQ1</f>
        <v>44397</v>
      </c>
      <c r="BQ4" s="2">
        <f>Inventory!BR1</f>
        <v>44398</v>
      </c>
      <c r="BR4" s="2">
        <f>Inventory!BS1</f>
        <v>44399</v>
      </c>
      <c r="BS4" s="2">
        <f>Inventory!BT1</f>
        <v>44400</v>
      </c>
      <c r="BT4" s="2">
        <f>Inventory!BU1</f>
        <v>44401</v>
      </c>
      <c r="BU4" s="2">
        <f>Inventory!BV1</f>
        <v>44402</v>
      </c>
      <c r="BV4" s="2">
        <f>Inventory!BW1</f>
        <v>44403</v>
      </c>
      <c r="BW4" s="2">
        <f>Inventory!BX1</f>
        <v>44404</v>
      </c>
      <c r="BX4" s="2">
        <f>Inventory!BY1</f>
        <v>44405</v>
      </c>
      <c r="BY4" s="2">
        <f>Inventory!BZ1</f>
        <v>44406</v>
      </c>
      <c r="BZ4" s="2">
        <f>Inventory!CA1</f>
        <v>44407</v>
      </c>
      <c r="CA4" s="2">
        <f>Inventory!CB1</f>
        <v>44408</v>
      </c>
      <c r="CB4" s="2">
        <f>Inventory!CC1</f>
        <v>44409</v>
      </c>
      <c r="CC4" s="2">
        <f>Inventory!CD1</f>
        <v>44410</v>
      </c>
      <c r="CD4" s="2">
        <f>Inventory!CE1</f>
        <v>44411</v>
      </c>
      <c r="CE4" s="2">
        <f>Inventory!CF1</f>
        <v>44412</v>
      </c>
      <c r="CF4" s="2">
        <f>Inventory!CG1</f>
        <v>44413</v>
      </c>
      <c r="CG4" s="2">
        <f>Inventory!CH1</f>
        <v>44414</v>
      </c>
      <c r="CH4" s="2">
        <f>Inventory!CI1</f>
        <v>44415</v>
      </c>
      <c r="CI4" s="2">
        <f>Inventory!CJ1</f>
        <v>44416</v>
      </c>
      <c r="CJ4" s="2">
        <f>Inventory!CK1</f>
        <v>44417</v>
      </c>
      <c r="CK4" s="2">
        <f>Inventory!CL1</f>
        <v>44418</v>
      </c>
      <c r="CL4" s="2">
        <f>Inventory!CM1</f>
        <v>44419</v>
      </c>
      <c r="CM4" s="2">
        <f>Inventory!CN1</f>
        <v>44420</v>
      </c>
      <c r="CN4" s="2">
        <f>Inventory!CO1</f>
        <v>44421</v>
      </c>
      <c r="CO4" s="2">
        <f>Inventory!CP1</f>
        <v>44422</v>
      </c>
      <c r="CP4" s="2">
        <f>Inventory!CQ1</f>
        <v>44423</v>
      </c>
      <c r="CQ4" s="2">
        <f>Inventory!CR1</f>
        <v>44424</v>
      </c>
      <c r="CR4" s="2">
        <f>Inventory!CS1</f>
        <v>44425</v>
      </c>
      <c r="CS4" s="2">
        <f>Inventory!CT1</f>
        <v>44426</v>
      </c>
      <c r="CT4" s="2">
        <f>Inventory!CU1</f>
        <v>44427</v>
      </c>
      <c r="CU4" s="2">
        <f>Inventory!CV1</f>
        <v>44428</v>
      </c>
      <c r="CV4" s="2">
        <f>Inventory!CW1</f>
        <v>44429</v>
      </c>
      <c r="CW4" s="2">
        <f>Inventory!CX1</f>
        <v>44430</v>
      </c>
      <c r="CX4" s="2">
        <f>Inventory!CY1</f>
        <v>44431</v>
      </c>
      <c r="CY4" s="2">
        <f>Inventory!CZ1</f>
        <v>44432</v>
      </c>
      <c r="CZ4" s="2">
        <f>Inventory!DA1</f>
        <v>44433</v>
      </c>
      <c r="DA4" s="2">
        <f>Inventory!DB1</f>
        <v>44434</v>
      </c>
      <c r="DB4" s="2">
        <f>Inventory!DC1</f>
        <v>44435</v>
      </c>
      <c r="DC4" s="2">
        <f>Inventory!DD1</f>
        <v>44436</v>
      </c>
      <c r="DD4" s="2">
        <f>Inventory!DE1</f>
        <v>44437</v>
      </c>
      <c r="DE4" s="2">
        <f>Inventory!DF1</f>
        <v>44438</v>
      </c>
      <c r="DF4" s="2">
        <f>Inventory!DG1</f>
        <v>44439</v>
      </c>
      <c r="DG4" s="2">
        <f>Inventory!DH1</f>
        <v>44440</v>
      </c>
      <c r="DH4" s="2">
        <f>Inventory!DI1</f>
        <v>44441</v>
      </c>
      <c r="DI4" s="2">
        <f>Inventory!DJ1</f>
        <v>44442</v>
      </c>
      <c r="DJ4" s="2">
        <f>Inventory!DK1</f>
        <v>44443</v>
      </c>
      <c r="DK4" s="2">
        <f>Inventory!DL1</f>
        <v>44444</v>
      </c>
      <c r="DL4" s="2">
        <f>Inventory!DM1</f>
        <v>44445</v>
      </c>
      <c r="DM4" s="2">
        <f>Inventory!DN1</f>
        <v>44446</v>
      </c>
      <c r="DN4" s="2">
        <f>Inventory!DO1</f>
        <v>44447</v>
      </c>
      <c r="DO4" s="2">
        <f>Inventory!DP1</f>
        <v>44448</v>
      </c>
      <c r="DP4" s="2">
        <f>Inventory!DQ1</f>
        <v>44449</v>
      </c>
      <c r="DQ4" s="2">
        <f>Inventory!DR1</f>
        <v>44450</v>
      </c>
      <c r="DR4" s="2">
        <f>Inventory!DS1</f>
        <v>44451</v>
      </c>
      <c r="DS4" s="2">
        <f>Inventory!DT1</f>
        <v>44452</v>
      </c>
      <c r="DT4" s="2">
        <f>Inventory!DU1</f>
        <v>44453</v>
      </c>
      <c r="DU4" s="2">
        <f>Inventory!DV1</f>
        <v>44454</v>
      </c>
      <c r="DV4" s="2">
        <f>Inventory!DW1</f>
        <v>44455</v>
      </c>
      <c r="DW4" s="2">
        <f>Inventory!DX1</f>
        <v>44456</v>
      </c>
      <c r="DX4" s="2">
        <f>Inventory!DY1</f>
        <v>44457</v>
      </c>
      <c r="DY4" s="2">
        <f>Inventory!DZ1</f>
        <v>44458</v>
      </c>
      <c r="DZ4" s="2">
        <f>Inventory!EA1</f>
        <v>44459</v>
      </c>
      <c r="EA4" s="2">
        <f>Inventory!EB1</f>
        <v>44460</v>
      </c>
      <c r="EB4" s="2">
        <f>Inventory!EC1</f>
        <v>44461</v>
      </c>
      <c r="EC4" s="2">
        <f>Inventory!ED1</f>
        <v>44462</v>
      </c>
      <c r="ED4" s="2">
        <f>Inventory!EE1</f>
        <v>44463</v>
      </c>
      <c r="EE4" s="2">
        <f>Inventory!EF1</f>
        <v>44464</v>
      </c>
      <c r="EF4" s="2">
        <f>Inventory!EG1</f>
        <v>44465</v>
      </c>
      <c r="EG4" s="2">
        <f>Inventory!EH1</f>
        <v>44466</v>
      </c>
      <c r="EH4" s="2">
        <f>Inventory!EI1</f>
        <v>44467</v>
      </c>
      <c r="EI4" s="2">
        <f>Inventory!EJ1</f>
        <v>44468</v>
      </c>
      <c r="EJ4" s="2">
        <f>Inventory!EK1</f>
        <v>44469</v>
      </c>
      <c r="EK4" s="2">
        <f>Inventory!EL1</f>
        <v>44470</v>
      </c>
      <c r="EL4" s="2">
        <f>Inventory!EM1</f>
        <v>44471</v>
      </c>
      <c r="EM4" s="2">
        <f>Inventory!EN1</f>
        <v>44472</v>
      </c>
      <c r="EN4" s="2">
        <f>Inventory!EO1</f>
        <v>44473</v>
      </c>
      <c r="EO4" s="2">
        <f>Inventory!EP1</f>
        <v>44474</v>
      </c>
      <c r="EP4" s="2">
        <f>Inventory!EQ1</f>
        <v>44475</v>
      </c>
      <c r="EQ4" s="2">
        <f>Inventory!ER1</f>
        <v>44476</v>
      </c>
      <c r="ER4" s="2">
        <f>Inventory!ES1</f>
        <v>44477</v>
      </c>
      <c r="ES4" s="2">
        <f>Inventory!ET1</f>
        <v>44478</v>
      </c>
      <c r="ET4" s="2">
        <f>Inventory!EU1</f>
        <v>44479</v>
      </c>
      <c r="EU4" s="2">
        <f>Inventory!EV1</f>
        <v>44480</v>
      </c>
      <c r="EV4" s="2">
        <f>Inventory!EW1</f>
        <v>44481</v>
      </c>
      <c r="EW4" s="2">
        <f>Inventory!EX1</f>
        <v>44482</v>
      </c>
      <c r="EX4" s="2">
        <f>Inventory!EY1</f>
        <v>44483</v>
      </c>
      <c r="EY4" s="2">
        <f>Inventory!EZ1</f>
        <v>44484</v>
      </c>
      <c r="EZ4" s="2">
        <f>Inventory!FA1</f>
        <v>44485</v>
      </c>
      <c r="FA4" s="2">
        <f>Inventory!FB1</f>
        <v>44486</v>
      </c>
      <c r="FB4" s="2">
        <f>Inventory!FC1</f>
        <v>44487</v>
      </c>
      <c r="FC4" s="2">
        <f>Inventory!FD1</f>
        <v>44488</v>
      </c>
      <c r="FD4" s="2">
        <f>Inventory!FE1</f>
        <v>44489</v>
      </c>
      <c r="FE4" s="2">
        <f>Inventory!FF1</f>
        <v>44490</v>
      </c>
      <c r="FF4" s="2">
        <f>Inventory!FG1</f>
        <v>44491</v>
      </c>
      <c r="FG4" s="2">
        <f>Inventory!FH1</f>
        <v>44492</v>
      </c>
      <c r="FH4" s="2">
        <f>Inventory!FI1</f>
        <v>44493</v>
      </c>
      <c r="FI4" s="2">
        <f>Inventory!FJ1</f>
        <v>44494</v>
      </c>
      <c r="FJ4" s="2">
        <f>Inventory!FK1</f>
        <v>44495</v>
      </c>
      <c r="FK4" s="2">
        <f>Inventory!FL1</f>
        <v>44496</v>
      </c>
      <c r="FL4" s="2">
        <f>Inventory!FM1</f>
        <v>44497</v>
      </c>
      <c r="FM4" s="2">
        <f>Inventory!FN1</f>
        <v>44498</v>
      </c>
      <c r="FN4" s="2">
        <f>Inventory!FO1</f>
        <v>44499</v>
      </c>
      <c r="FO4" s="2">
        <f>Inventory!FP1</f>
        <v>44500</v>
      </c>
      <c r="FP4" s="2">
        <f>Inventory!FQ1</f>
        <v>44501</v>
      </c>
      <c r="FQ4" s="2">
        <f>Inventory!FR1</f>
        <v>44502</v>
      </c>
      <c r="FR4" s="2">
        <f>Inventory!FS1</f>
        <v>44503</v>
      </c>
      <c r="FS4" s="2">
        <f>Inventory!FT1</f>
        <v>44504</v>
      </c>
      <c r="FT4" s="2">
        <f>Inventory!FU1</f>
        <v>44505</v>
      </c>
    </row>
    <row r="5" spans="1:176" x14ac:dyDescent="0.25">
      <c r="C5" t="s">
        <v>190</v>
      </c>
      <c r="D5">
        <v>0.05</v>
      </c>
      <c r="E5">
        <v>0.05</v>
      </c>
      <c r="F5">
        <v>0.05</v>
      </c>
      <c r="G5">
        <v>0.06</v>
      </c>
      <c r="H5">
        <v>0.06</v>
      </c>
      <c r="I5">
        <v>0.06</v>
      </c>
      <c r="J5">
        <v>0.05</v>
      </c>
      <c r="K5">
        <v>0.06</v>
      </c>
      <c r="L5">
        <v>0.06</v>
      </c>
      <c r="M5">
        <v>0.06</v>
      </c>
      <c r="N5">
        <v>0.06</v>
      </c>
      <c r="O5">
        <v>0.06</v>
      </c>
      <c r="P5">
        <v>0.06</v>
      </c>
      <c r="Q5">
        <v>0.05</v>
      </c>
      <c r="R5">
        <v>0.06</v>
      </c>
      <c r="S5">
        <v>0.06</v>
      </c>
      <c r="T5">
        <v>0.06</v>
      </c>
      <c r="U5">
        <v>0.06</v>
      </c>
      <c r="V5">
        <v>7.0000000000000007E-2</v>
      </c>
      <c r="W5">
        <v>0.08</v>
      </c>
      <c r="X5">
        <v>7.0000000000000007E-2</v>
      </c>
      <c r="Y5">
        <v>0.08</v>
      </c>
    </row>
    <row r="6" spans="1:176" x14ac:dyDescent="0.25">
      <c r="C6" t="s">
        <v>49</v>
      </c>
      <c r="D6">
        <v>7.0000000000000007E-2</v>
      </c>
      <c r="E6">
        <v>7.0000000000000007E-2</v>
      </c>
      <c r="F6">
        <v>7.0000000000000007E-2</v>
      </c>
      <c r="G6">
        <v>7.0000000000000007E-2</v>
      </c>
      <c r="H6">
        <v>7.0000000000000007E-2</v>
      </c>
      <c r="I6">
        <v>7.0000000000000007E-2</v>
      </c>
      <c r="J6">
        <v>7.0000000000000007E-2</v>
      </c>
      <c r="K6">
        <v>7.0000000000000007E-2</v>
      </c>
      <c r="L6">
        <v>7.0000000000000007E-2</v>
      </c>
      <c r="M6">
        <v>7.0000000000000007E-2</v>
      </c>
      <c r="N6">
        <v>7.0000000000000007E-2</v>
      </c>
      <c r="O6">
        <v>0.06</v>
      </c>
      <c r="P6">
        <v>0.06</v>
      </c>
      <c r="Q6">
        <v>7.0000000000000007E-2</v>
      </c>
      <c r="R6">
        <v>7.0000000000000007E-2</v>
      </c>
      <c r="S6">
        <v>7.0000000000000007E-2</v>
      </c>
      <c r="T6">
        <v>7.0000000000000007E-2</v>
      </c>
      <c r="U6">
        <v>7.0000000000000007E-2</v>
      </c>
      <c r="V6">
        <v>0.08</v>
      </c>
      <c r="W6">
        <v>0.09</v>
      </c>
      <c r="X6">
        <v>0.08</v>
      </c>
      <c r="Y6">
        <v>0.09</v>
      </c>
    </row>
    <row r="7" spans="1:176" x14ac:dyDescent="0.25">
      <c r="C7" t="s">
        <v>76</v>
      </c>
      <c r="D7">
        <v>7.0000000000000007E-2</v>
      </c>
      <c r="E7">
        <v>7.0000000000000007E-2</v>
      </c>
      <c r="F7">
        <v>7.0000000000000007E-2</v>
      </c>
      <c r="G7">
        <v>7.0000000000000007E-2</v>
      </c>
      <c r="H7">
        <v>7.0000000000000007E-2</v>
      </c>
      <c r="I7">
        <v>7.0000000000000007E-2</v>
      </c>
      <c r="J7">
        <v>7.0000000000000007E-2</v>
      </c>
      <c r="K7">
        <v>7.0000000000000007E-2</v>
      </c>
      <c r="L7">
        <v>7.0000000000000007E-2</v>
      </c>
      <c r="M7">
        <v>7.0000000000000007E-2</v>
      </c>
      <c r="N7">
        <v>7.0000000000000007E-2</v>
      </c>
      <c r="O7">
        <v>7.0000000000000007E-2</v>
      </c>
      <c r="P7">
        <v>7.0000000000000007E-2</v>
      </c>
      <c r="Q7">
        <v>7.0000000000000007E-2</v>
      </c>
      <c r="R7">
        <v>7.0000000000000007E-2</v>
      </c>
      <c r="S7">
        <v>0.08</v>
      </c>
      <c r="T7">
        <v>0.08</v>
      </c>
      <c r="U7">
        <v>0.08</v>
      </c>
      <c r="V7">
        <v>0.09</v>
      </c>
      <c r="W7">
        <v>0.12</v>
      </c>
      <c r="X7">
        <v>0.1</v>
      </c>
      <c r="Y7">
        <v>0.1</v>
      </c>
    </row>
    <row r="8" spans="1:176" x14ac:dyDescent="0.25">
      <c r="C8" t="s">
        <v>83</v>
      </c>
      <c r="D8">
        <v>7.0000000000000007E-2</v>
      </c>
      <c r="E8">
        <v>7.0000000000000007E-2</v>
      </c>
      <c r="F8">
        <v>7.0000000000000007E-2</v>
      </c>
      <c r="G8">
        <v>7.0000000000000007E-2</v>
      </c>
      <c r="H8">
        <v>7.0000000000000007E-2</v>
      </c>
      <c r="I8">
        <v>7.0000000000000007E-2</v>
      </c>
      <c r="J8">
        <v>7.0000000000000007E-2</v>
      </c>
      <c r="K8">
        <v>7.0000000000000007E-2</v>
      </c>
      <c r="L8">
        <v>7.0000000000000007E-2</v>
      </c>
      <c r="M8">
        <v>7.0000000000000007E-2</v>
      </c>
      <c r="N8">
        <v>7.0000000000000007E-2</v>
      </c>
      <c r="O8">
        <v>7.0000000000000007E-2</v>
      </c>
      <c r="P8">
        <v>7.0000000000000007E-2</v>
      </c>
      <c r="Q8">
        <v>7.0000000000000007E-2</v>
      </c>
      <c r="R8">
        <v>7.0000000000000007E-2</v>
      </c>
      <c r="S8">
        <v>7.0000000000000007E-2</v>
      </c>
      <c r="T8">
        <v>7.0000000000000007E-2</v>
      </c>
      <c r="U8">
        <v>7.0000000000000007E-2</v>
      </c>
      <c r="V8">
        <v>0.12</v>
      </c>
      <c r="W8">
        <v>0.14000000000000001</v>
      </c>
      <c r="X8">
        <v>0.11</v>
      </c>
      <c r="Y8">
        <v>0.12</v>
      </c>
    </row>
    <row r="9" spans="1:176" x14ac:dyDescent="0.25">
      <c r="C9" t="s">
        <v>13</v>
      </c>
      <c r="D9">
        <v>0.08</v>
      </c>
      <c r="E9">
        <v>0.08</v>
      </c>
      <c r="F9">
        <v>0.08</v>
      </c>
      <c r="G9">
        <v>0.08</v>
      </c>
      <c r="H9">
        <v>0.08</v>
      </c>
      <c r="I9">
        <v>0.08</v>
      </c>
      <c r="J9">
        <v>0.08</v>
      </c>
      <c r="K9">
        <v>0.08</v>
      </c>
      <c r="L9">
        <v>0.08</v>
      </c>
      <c r="M9">
        <v>0.08</v>
      </c>
      <c r="N9">
        <v>0.08</v>
      </c>
      <c r="O9">
        <v>0.08</v>
      </c>
      <c r="P9">
        <v>0.08</v>
      </c>
      <c r="Q9">
        <v>0.08</v>
      </c>
      <c r="R9">
        <v>0.08</v>
      </c>
      <c r="S9">
        <v>0.08</v>
      </c>
      <c r="T9">
        <v>0.08</v>
      </c>
      <c r="U9">
        <v>0.08</v>
      </c>
      <c r="V9">
        <v>0.16</v>
      </c>
      <c r="W9">
        <v>0.21</v>
      </c>
      <c r="X9">
        <v>0.17</v>
      </c>
      <c r="Y9">
        <v>0.18</v>
      </c>
    </row>
    <row r="10" spans="1:176" x14ac:dyDescent="0.25">
      <c r="C10" t="s">
        <v>191</v>
      </c>
      <c r="D10">
        <v>0.35</v>
      </c>
      <c r="E10">
        <v>0.35</v>
      </c>
      <c r="F10">
        <v>0.35</v>
      </c>
      <c r="G10">
        <v>0.31</v>
      </c>
      <c r="H10">
        <v>0.3</v>
      </c>
      <c r="I10">
        <v>0.34</v>
      </c>
      <c r="J10">
        <v>0.3</v>
      </c>
      <c r="K10">
        <v>0.3</v>
      </c>
      <c r="L10">
        <v>0.31</v>
      </c>
      <c r="M10">
        <v>0.3</v>
      </c>
      <c r="N10">
        <v>0.31</v>
      </c>
      <c r="O10">
        <v>0.3</v>
      </c>
      <c r="P10">
        <v>0.32</v>
      </c>
      <c r="Q10">
        <v>0.32</v>
      </c>
      <c r="R10">
        <v>0.34</v>
      </c>
      <c r="S10">
        <v>0.3</v>
      </c>
      <c r="T10">
        <v>0.32</v>
      </c>
      <c r="U10">
        <v>0.3</v>
      </c>
      <c r="V10">
        <v>0.35</v>
      </c>
      <c r="W10">
        <v>0.35</v>
      </c>
      <c r="X10">
        <v>0.32</v>
      </c>
      <c r="Y10">
        <v>0.32</v>
      </c>
    </row>
    <row r="11" spans="1:176" x14ac:dyDescent="0.25">
      <c r="C11" t="s">
        <v>92</v>
      </c>
      <c r="D11">
        <v>0.21</v>
      </c>
      <c r="E11">
        <v>0.21</v>
      </c>
      <c r="F11">
        <v>0.21</v>
      </c>
      <c r="G11">
        <v>0.21</v>
      </c>
      <c r="H11">
        <v>0.21</v>
      </c>
      <c r="I11">
        <v>0.21</v>
      </c>
      <c r="J11">
        <v>0.21</v>
      </c>
      <c r="K11">
        <v>0.21</v>
      </c>
      <c r="L11">
        <v>0.21</v>
      </c>
      <c r="M11">
        <v>0.2</v>
      </c>
      <c r="N11">
        <v>0.2</v>
      </c>
      <c r="O11">
        <v>0.21</v>
      </c>
      <c r="P11">
        <v>0.21</v>
      </c>
      <c r="Q11">
        <v>0.24</v>
      </c>
      <c r="R11">
        <v>0.24</v>
      </c>
      <c r="S11">
        <v>0.24</v>
      </c>
      <c r="T11">
        <v>0.26</v>
      </c>
      <c r="U11">
        <v>0.27</v>
      </c>
      <c r="V11">
        <v>0.34</v>
      </c>
      <c r="W11">
        <v>0.43</v>
      </c>
      <c r="X11">
        <v>0.3</v>
      </c>
      <c r="Y11">
        <v>0.31</v>
      </c>
    </row>
    <row r="12" spans="1:176" x14ac:dyDescent="0.25">
      <c r="C12" t="s">
        <v>110</v>
      </c>
      <c r="D12">
        <v>0.17</v>
      </c>
      <c r="E12">
        <v>0.17</v>
      </c>
      <c r="F12">
        <v>0.19</v>
      </c>
      <c r="G12">
        <v>0.19</v>
      </c>
      <c r="H12">
        <v>0.17</v>
      </c>
      <c r="I12">
        <v>0.18</v>
      </c>
      <c r="J12">
        <v>0.18</v>
      </c>
      <c r="K12">
        <v>0.17</v>
      </c>
      <c r="L12">
        <v>0.17</v>
      </c>
      <c r="M12">
        <v>0.18</v>
      </c>
      <c r="N12">
        <v>0.18</v>
      </c>
      <c r="O12">
        <v>0.19</v>
      </c>
      <c r="P12">
        <v>0.2</v>
      </c>
      <c r="Q12">
        <v>0.21</v>
      </c>
      <c r="R12">
        <v>0.21</v>
      </c>
      <c r="S12">
        <v>0.24</v>
      </c>
      <c r="T12">
        <v>0.24</v>
      </c>
      <c r="U12">
        <v>0.23</v>
      </c>
      <c r="V12">
        <v>0.34</v>
      </c>
      <c r="W12">
        <v>0.39</v>
      </c>
      <c r="X12">
        <v>0.34</v>
      </c>
      <c r="Y12">
        <v>0.36</v>
      </c>
    </row>
    <row r="13" spans="1:176" x14ac:dyDescent="0.25">
      <c r="C13" t="s">
        <v>103</v>
      </c>
      <c r="D13">
        <v>0.59</v>
      </c>
      <c r="E13">
        <v>0.57999999999999996</v>
      </c>
      <c r="F13">
        <v>0.55000000000000004</v>
      </c>
      <c r="G13">
        <v>0.53</v>
      </c>
      <c r="H13">
        <v>0.6</v>
      </c>
      <c r="I13">
        <v>0.6</v>
      </c>
      <c r="J13">
        <v>0.6</v>
      </c>
      <c r="K13">
        <v>0.61</v>
      </c>
      <c r="L13">
        <v>0.57999999999999996</v>
      </c>
      <c r="M13">
        <v>0.61</v>
      </c>
      <c r="N13">
        <v>0.57999999999999996</v>
      </c>
      <c r="O13">
        <v>0.62</v>
      </c>
      <c r="P13">
        <v>0.65</v>
      </c>
      <c r="Q13">
        <v>0.66</v>
      </c>
      <c r="R13">
        <v>0.65</v>
      </c>
      <c r="S13">
        <v>0.66</v>
      </c>
      <c r="T13">
        <v>0.64</v>
      </c>
      <c r="U13">
        <v>0.64</v>
      </c>
      <c r="V13">
        <v>0.72</v>
      </c>
      <c r="W13">
        <v>0.86</v>
      </c>
      <c r="X13">
        <v>0.73</v>
      </c>
      <c r="Y13">
        <v>0.64</v>
      </c>
    </row>
    <row r="14" spans="1:176" x14ac:dyDescent="0.25">
      <c r="C14" t="s">
        <v>192</v>
      </c>
      <c r="D14">
        <v>1.1200000000000001</v>
      </c>
      <c r="E14">
        <v>1.1200000000000001</v>
      </c>
      <c r="F14">
        <v>1.2</v>
      </c>
      <c r="G14">
        <v>1.24</v>
      </c>
      <c r="H14">
        <v>1.21</v>
      </c>
      <c r="I14">
        <v>1.26</v>
      </c>
      <c r="J14">
        <v>1.27</v>
      </c>
      <c r="K14">
        <v>1.31</v>
      </c>
      <c r="L14">
        <v>1.53</v>
      </c>
      <c r="M14">
        <v>1.45</v>
      </c>
      <c r="N14">
        <v>1.51</v>
      </c>
      <c r="O14">
        <v>1.49</v>
      </c>
      <c r="P14">
        <v>1.41</v>
      </c>
      <c r="Q14">
        <v>1.39</v>
      </c>
      <c r="R14">
        <v>1.31</v>
      </c>
      <c r="S14">
        <v>1.34</v>
      </c>
      <c r="T14">
        <v>1.31</v>
      </c>
      <c r="U14">
        <v>1.35</v>
      </c>
      <c r="V14">
        <v>1.35</v>
      </c>
      <c r="W14">
        <v>1.35</v>
      </c>
      <c r="X14">
        <v>1.46</v>
      </c>
      <c r="Y14">
        <v>1.46</v>
      </c>
    </row>
    <row r="16" spans="1:176" x14ac:dyDescent="0.25">
      <c r="A16" t="s">
        <v>188</v>
      </c>
    </row>
    <row r="18" spans="1:177" x14ac:dyDescent="0.25">
      <c r="A18" t="s">
        <v>195</v>
      </c>
      <c r="D18" s="2">
        <f>D4</f>
        <v>44331</v>
      </c>
      <c r="E18" s="2">
        <f t="shared" ref="E18:BP18" si="0">E4</f>
        <v>44332</v>
      </c>
      <c r="F18" s="2">
        <f t="shared" si="0"/>
        <v>44334</v>
      </c>
      <c r="G18" s="2">
        <f t="shared" si="0"/>
        <v>44336</v>
      </c>
      <c r="H18" s="2">
        <f t="shared" si="0"/>
        <v>44337</v>
      </c>
      <c r="I18" s="2">
        <f t="shared" si="0"/>
        <v>44338</v>
      </c>
      <c r="J18" s="2">
        <f t="shared" si="0"/>
        <v>44339</v>
      </c>
      <c r="K18" s="2">
        <f t="shared" si="0"/>
        <v>44340</v>
      </c>
      <c r="L18" s="2">
        <f t="shared" si="0"/>
        <v>44341</v>
      </c>
      <c r="M18" s="2">
        <f t="shared" si="0"/>
        <v>44342</v>
      </c>
      <c r="N18" s="2">
        <f t="shared" si="0"/>
        <v>44343</v>
      </c>
      <c r="O18" s="2">
        <f t="shared" si="0"/>
        <v>44344</v>
      </c>
      <c r="P18" s="2">
        <f t="shared" si="0"/>
        <v>44345</v>
      </c>
      <c r="Q18" s="2">
        <f t="shared" si="0"/>
        <v>44346</v>
      </c>
      <c r="R18" s="2">
        <f t="shared" si="0"/>
        <v>44347</v>
      </c>
      <c r="S18" s="2">
        <f t="shared" si="0"/>
        <v>44348</v>
      </c>
      <c r="T18" s="2">
        <f t="shared" si="0"/>
        <v>44349</v>
      </c>
      <c r="U18" s="2">
        <f t="shared" si="0"/>
        <v>44350</v>
      </c>
      <c r="V18" s="2">
        <f t="shared" si="0"/>
        <v>44351</v>
      </c>
      <c r="W18" s="2">
        <f t="shared" si="0"/>
        <v>44352</v>
      </c>
      <c r="X18" s="2">
        <f t="shared" si="0"/>
        <v>44353</v>
      </c>
      <c r="Y18" s="2">
        <f t="shared" si="0"/>
        <v>44354</v>
      </c>
      <c r="Z18" s="2">
        <f t="shared" si="0"/>
        <v>44355</v>
      </c>
      <c r="AA18" s="2">
        <f t="shared" si="0"/>
        <v>44356</v>
      </c>
      <c r="AB18" s="2">
        <f t="shared" si="0"/>
        <v>44357</v>
      </c>
      <c r="AC18" s="2">
        <f t="shared" si="0"/>
        <v>44358</v>
      </c>
      <c r="AD18" s="2">
        <f t="shared" si="0"/>
        <v>44359</v>
      </c>
      <c r="AE18" s="2">
        <f t="shared" si="0"/>
        <v>44360</v>
      </c>
      <c r="AF18" s="2">
        <f t="shared" si="0"/>
        <v>44361</v>
      </c>
      <c r="AG18" s="2">
        <f t="shared" si="0"/>
        <v>44362</v>
      </c>
      <c r="AH18" s="2">
        <f t="shared" si="0"/>
        <v>44363</v>
      </c>
      <c r="AI18" s="2">
        <f t="shared" si="0"/>
        <v>44364</v>
      </c>
      <c r="AJ18" s="2">
        <f t="shared" si="0"/>
        <v>44365</v>
      </c>
      <c r="AK18" s="2">
        <f t="shared" si="0"/>
        <v>44366</v>
      </c>
      <c r="AL18" s="2">
        <f t="shared" si="0"/>
        <v>44367</v>
      </c>
      <c r="AM18" s="2">
        <f t="shared" si="0"/>
        <v>44368</v>
      </c>
      <c r="AN18" s="2">
        <f t="shared" si="0"/>
        <v>44369</v>
      </c>
      <c r="AO18" s="2">
        <f t="shared" si="0"/>
        <v>44370</v>
      </c>
      <c r="AP18" s="2">
        <f t="shared" si="0"/>
        <v>44371</v>
      </c>
      <c r="AQ18" s="2">
        <f t="shared" si="0"/>
        <v>44372</v>
      </c>
      <c r="AR18" s="2">
        <f t="shared" si="0"/>
        <v>44373</v>
      </c>
      <c r="AS18" s="2">
        <f t="shared" si="0"/>
        <v>44374</v>
      </c>
      <c r="AT18" s="2">
        <f t="shared" si="0"/>
        <v>44375</v>
      </c>
      <c r="AU18" s="2">
        <f t="shared" si="0"/>
        <v>44376</v>
      </c>
      <c r="AV18" s="2">
        <f t="shared" si="0"/>
        <v>44377</v>
      </c>
      <c r="AW18" s="2">
        <f t="shared" si="0"/>
        <v>44378</v>
      </c>
      <c r="AX18" s="2">
        <f t="shared" si="0"/>
        <v>44379</v>
      </c>
      <c r="AY18" s="2">
        <f t="shared" si="0"/>
        <v>44380</v>
      </c>
      <c r="AZ18" s="2">
        <f t="shared" si="0"/>
        <v>44381</v>
      </c>
      <c r="BA18" s="2">
        <f t="shared" si="0"/>
        <v>44382</v>
      </c>
      <c r="BB18" s="2">
        <f t="shared" si="0"/>
        <v>44383</v>
      </c>
      <c r="BC18" s="2">
        <f t="shared" si="0"/>
        <v>44384</v>
      </c>
      <c r="BD18" s="2">
        <f t="shared" si="0"/>
        <v>44385</v>
      </c>
      <c r="BE18" s="2">
        <f t="shared" si="0"/>
        <v>44386</v>
      </c>
      <c r="BF18" s="2">
        <f t="shared" si="0"/>
        <v>44387</v>
      </c>
      <c r="BG18" s="2">
        <f t="shared" si="0"/>
        <v>44388</v>
      </c>
      <c r="BH18" s="2">
        <f t="shared" si="0"/>
        <v>44389</v>
      </c>
      <c r="BI18" s="2">
        <f t="shared" si="0"/>
        <v>44390</v>
      </c>
      <c r="BJ18" s="2">
        <f t="shared" si="0"/>
        <v>44391</v>
      </c>
      <c r="BK18" s="2">
        <f t="shared" si="0"/>
        <v>44392</v>
      </c>
      <c r="BL18" s="2">
        <f t="shared" si="0"/>
        <v>44393</v>
      </c>
      <c r="BM18" s="2">
        <f t="shared" si="0"/>
        <v>44394</v>
      </c>
      <c r="BN18" s="2">
        <f t="shared" si="0"/>
        <v>44395</v>
      </c>
      <c r="BO18" s="2">
        <f t="shared" si="0"/>
        <v>44396</v>
      </c>
      <c r="BP18" s="2">
        <f t="shared" si="0"/>
        <v>44397</v>
      </c>
      <c r="BQ18" s="2">
        <f t="shared" ref="BQ18:EB18" si="1">BQ4</f>
        <v>44398</v>
      </c>
      <c r="BR18" s="2">
        <f t="shared" si="1"/>
        <v>44399</v>
      </c>
      <c r="BS18" s="2">
        <f t="shared" si="1"/>
        <v>44400</v>
      </c>
      <c r="BT18" s="2">
        <f t="shared" si="1"/>
        <v>44401</v>
      </c>
      <c r="BU18" s="2">
        <f t="shared" si="1"/>
        <v>44402</v>
      </c>
      <c r="BV18" s="2">
        <f t="shared" si="1"/>
        <v>44403</v>
      </c>
      <c r="BW18" s="2">
        <f t="shared" si="1"/>
        <v>44404</v>
      </c>
      <c r="BX18" s="2">
        <f t="shared" si="1"/>
        <v>44405</v>
      </c>
      <c r="BY18" s="2">
        <f t="shared" si="1"/>
        <v>44406</v>
      </c>
      <c r="BZ18" s="2">
        <f t="shared" si="1"/>
        <v>44407</v>
      </c>
      <c r="CA18" s="2">
        <f t="shared" si="1"/>
        <v>44408</v>
      </c>
      <c r="CB18" s="2">
        <f t="shared" si="1"/>
        <v>44409</v>
      </c>
      <c r="CC18" s="2">
        <f t="shared" si="1"/>
        <v>44410</v>
      </c>
      <c r="CD18" s="2">
        <f t="shared" si="1"/>
        <v>44411</v>
      </c>
      <c r="CE18" s="2">
        <f t="shared" si="1"/>
        <v>44412</v>
      </c>
      <c r="CF18" s="2">
        <f t="shared" si="1"/>
        <v>44413</v>
      </c>
      <c r="CG18" s="2">
        <f t="shared" si="1"/>
        <v>44414</v>
      </c>
      <c r="CH18" s="2">
        <f t="shared" si="1"/>
        <v>44415</v>
      </c>
      <c r="CI18" s="2">
        <f t="shared" si="1"/>
        <v>44416</v>
      </c>
      <c r="CJ18" s="2">
        <f t="shared" si="1"/>
        <v>44417</v>
      </c>
      <c r="CK18" s="2">
        <f t="shared" si="1"/>
        <v>44418</v>
      </c>
      <c r="CL18" s="2">
        <f t="shared" si="1"/>
        <v>44419</v>
      </c>
      <c r="CM18" s="2">
        <f t="shared" si="1"/>
        <v>44420</v>
      </c>
      <c r="CN18" s="2">
        <f t="shared" si="1"/>
        <v>44421</v>
      </c>
      <c r="CO18" s="2">
        <f t="shared" si="1"/>
        <v>44422</v>
      </c>
      <c r="CP18" s="2">
        <f t="shared" si="1"/>
        <v>44423</v>
      </c>
      <c r="CQ18" s="2">
        <f t="shared" si="1"/>
        <v>44424</v>
      </c>
      <c r="CR18" s="2">
        <f t="shared" si="1"/>
        <v>44425</v>
      </c>
      <c r="CS18" s="2">
        <f t="shared" si="1"/>
        <v>44426</v>
      </c>
      <c r="CT18" s="2">
        <f t="shared" si="1"/>
        <v>44427</v>
      </c>
      <c r="CU18" s="2">
        <f t="shared" si="1"/>
        <v>44428</v>
      </c>
      <c r="CV18" s="2">
        <f t="shared" si="1"/>
        <v>44429</v>
      </c>
      <c r="CW18" s="2">
        <f t="shared" si="1"/>
        <v>44430</v>
      </c>
      <c r="CX18" s="2">
        <f t="shared" si="1"/>
        <v>44431</v>
      </c>
      <c r="CY18" s="2">
        <f t="shared" si="1"/>
        <v>44432</v>
      </c>
      <c r="CZ18" s="2">
        <f t="shared" si="1"/>
        <v>44433</v>
      </c>
      <c r="DA18" s="2">
        <f t="shared" si="1"/>
        <v>44434</v>
      </c>
      <c r="DB18" s="2">
        <f t="shared" si="1"/>
        <v>44435</v>
      </c>
      <c r="DC18" s="2">
        <f t="shared" si="1"/>
        <v>44436</v>
      </c>
      <c r="DD18" s="2">
        <f t="shared" si="1"/>
        <v>44437</v>
      </c>
      <c r="DE18" s="2">
        <f t="shared" si="1"/>
        <v>44438</v>
      </c>
      <c r="DF18" s="2">
        <f t="shared" si="1"/>
        <v>44439</v>
      </c>
      <c r="DG18" s="2">
        <f t="shared" si="1"/>
        <v>44440</v>
      </c>
      <c r="DH18" s="2">
        <f t="shared" si="1"/>
        <v>44441</v>
      </c>
      <c r="DI18" s="2">
        <f t="shared" si="1"/>
        <v>44442</v>
      </c>
      <c r="DJ18" s="2">
        <f t="shared" si="1"/>
        <v>44443</v>
      </c>
      <c r="DK18" s="2">
        <f t="shared" si="1"/>
        <v>44444</v>
      </c>
      <c r="DL18" s="2">
        <f t="shared" si="1"/>
        <v>44445</v>
      </c>
      <c r="DM18" s="2">
        <f t="shared" si="1"/>
        <v>44446</v>
      </c>
      <c r="DN18" s="2">
        <f t="shared" si="1"/>
        <v>44447</v>
      </c>
      <c r="DO18" s="2">
        <f t="shared" si="1"/>
        <v>44448</v>
      </c>
      <c r="DP18" s="2">
        <f t="shared" si="1"/>
        <v>44449</v>
      </c>
      <c r="DQ18" s="2">
        <f t="shared" si="1"/>
        <v>44450</v>
      </c>
      <c r="DR18" s="2">
        <f t="shared" si="1"/>
        <v>44451</v>
      </c>
      <c r="DS18" s="2">
        <f t="shared" si="1"/>
        <v>44452</v>
      </c>
      <c r="DT18" s="2">
        <f t="shared" si="1"/>
        <v>44453</v>
      </c>
      <c r="DU18" s="2">
        <f t="shared" si="1"/>
        <v>44454</v>
      </c>
      <c r="DV18" s="2">
        <f t="shared" si="1"/>
        <v>44455</v>
      </c>
      <c r="DW18" s="2">
        <f t="shared" si="1"/>
        <v>44456</v>
      </c>
      <c r="DX18" s="2">
        <f t="shared" si="1"/>
        <v>44457</v>
      </c>
      <c r="DY18" s="2">
        <f t="shared" si="1"/>
        <v>44458</v>
      </c>
      <c r="DZ18" s="2">
        <f t="shared" si="1"/>
        <v>44459</v>
      </c>
      <c r="EA18" s="2">
        <f t="shared" si="1"/>
        <v>44460</v>
      </c>
      <c r="EB18" s="2">
        <f t="shared" si="1"/>
        <v>44461</v>
      </c>
      <c r="EC18" s="2">
        <f t="shared" ref="EC18:FU18" si="2">EC4</f>
        <v>44462</v>
      </c>
      <c r="ED18" s="2">
        <f t="shared" si="2"/>
        <v>44463</v>
      </c>
      <c r="EE18" s="2">
        <f t="shared" si="2"/>
        <v>44464</v>
      </c>
      <c r="EF18" s="2">
        <f t="shared" si="2"/>
        <v>44465</v>
      </c>
      <c r="EG18" s="2">
        <f t="shared" si="2"/>
        <v>44466</v>
      </c>
      <c r="EH18" s="2">
        <f t="shared" si="2"/>
        <v>44467</v>
      </c>
      <c r="EI18" s="2">
        <f t="shared" si="2"/>
        <v>44468</v>
      </c>
      <c r="EJ18" s="2">
        <f t="shared" si="2"/>
        <v>44469</v>
      </c>
      <c r="EK18" s="2">
        <f t="shared" si="2"/>
        <v>44470</v>
      </c>
      <c r="EL18" s="2">
        <f t="shared" si="2"/>
        <v>44471</v>
      </c>
      <c r="EM18" s="2">
        <f t="shared" si="2"/>
        <v>44472</v>
      </c>
      <c r="EN18" s="2">
        <f t="shared" si="2"/>
        <v>44473</v>
      </c>
      <c r="EO18" s="2">
        <f t="shared" si="2"/>
        <v>44474</v>
      </c>
      <c r="EP18" s="2">
        <f t="shared" si="2"/>
        <v>44475</v>
      </c>
      <c r="EQ18" s="2">
        <f t="shared" si="2"/>
        <v>44476</v>
      </c>
      <c r="ER18" s="2">
        <f t="shared" si="2"/>
        <v>44477</v>
      </c>
      <c r="ES18" s="2">
        <f t="shared" si="2"/>
        <v>44478</v>
      </c>
      <c r="ET18" s="2">
        <f t="shared" si="2"/>
        <v>44479</v>
      </c>
      <c r="EU18" s="2">
        <f t="shared" si="2"/>
        <v>44480</v>
      </c>
      <c r="EV18" s="2">
        <f t="shared" si="2"/>
        <v>44481</v>
      </c>
      <c r="EW18" s="2">
        <f t="shared" si="2"/>
        <v>44482</v>
      </c>
      <c r="EX18" s="2">
        <f t="shared" si="2"/>
        <v>44483</v>
      </c>
      <c r="EY18" s="2">
        <f t="shared" si="2"/>
        <v>44484</v>
      </c>
      <c r="EZ18" s="2">
        <f t="shared" si="2"/>
        <v>44485</v>
      </c>
      <c r="FA18" s="2">
        <f t="shared" si="2"/>
        <v>44486</v>
      </c>
      <c r="FB18" s="2">
        <f t="shared" si="2"/>
        <v>44487</v>
      </c>
      <c r="FC18" s="2">
        <f t="shared" si="2"/>
        <v>44488</v>
      </c>
      <c r="FD18" s="2">
        <f t="shared" si="2"/>
        <v>44489</v>
      </c>
      <c r="FE18" s="2">
        <f t="shared" si="2"/>
        <v>44490</v>
      </c>
      <c r="FF18" s="2">
        <f t="shared" si="2"/>
        <v>44491</v>
      </c>
      <c r="FG18" s="2">
        <f t="shared" si="2"/>
        <v>44492</v>
      </c>
      <c r="FH18" s="2">
        <f t="shared" si="2"/>
        <v>44493</v>
      </c>
      <c r="FI18" s="2">
        <f t="shared" si="2"/>
        <v>44494</v>
      </c>
      <c r="FJ18" s="2">
        <f t="shared" si="2"/>
        <v>44495</v>
      </c>
      <c r="FK18" s="2">
        <f t="shared" si="2"/>
        <v>44496</v>
      </c>
      <c r="FL18" s="2">
        <f t="shared" si="2"/>
        <v>44497</v>
      </c>
      <c r="FM18" s="2">
        <f t="shared" si="2"/>
        <v>44498</v>
      </c>
      <c r="FN18" s="2">
        <f t="shared" si="2"/>
        <v>44499</v>
      </c>
      <c r="FO18" s="2">
        <f t="shared" si="2"/>
        <v>44500</v>
      </c>
      <c r="FP18" s="2">
        <f t="shared" si="2"/>
        <v>44501</v>
      </c>
      <c r="FQ18" s="2">
        <f t="shared" si="2"/>
        <v>44502</v>
      </c>
      <c r="FR18" s="2">
        <f t="shared" si="2"/>
        <v>44503</v>
      </c>
      <c r="FS18" s="2">
        <f t="shared" si="2"/>
        <v>44504</v>
      </c>
      <c r="FT18" s="2">
        <f t="shared" si="2"/>
        <v>44505</v>
      </c>
      <c r="FU18" s="2"/>
    </row>
    <row r="19" spans="1:177" x14ac:dyDescent="0.25">
      <c r="A19">
        <v>0.06</v>
      </c>
      <c r="C19" t="s">
        <v>190</v>
      </c>
      <c r="D19">
        <f>D5</f>
        <v>0.05</v>
      </c>
      <c r="E19">
        <f t="shared" ref="E19:BP19" si="3">E5</f>
        <v>0.05</v>
      </c>
      <c r="F19">
        <f t="shared" si="3"/>
        <v>0.05</v>
      </c>
      <c r="G19">
        <f t="shared" si="3"/>
        <v>0.06</v>
      </c>
      <c r="H19">
        <f t="shared" si="3"/>
        <v>0.06</v>
      </c>
      <c r="I19">
        <f t="shared" si="3"/>
        <v>0.06</v>
      </c>
      <c r="J19">
        <f t="shared" si="3"/>
        <v>0.05</v>
      </c>
      <c r="K19">
        <f t="shared" si="3"/>
        <v>0.06</v>
      </c>
      <c r="L19">
        <f t="shared" si="3"/>
        <v>0.06</v>
      </c>
      <c r="M19">
        <f t="shared" si="3"/>
        <v>0.06</v>
      </c>
      <c r="N19">
        <f t="shared" si="3"/>
        <v>0.06</v>
      </c>
      <c r="O19">
        <f t="shared" si="3"/>
        <v>0.06</v>
      </c>
      <c r="P19">
        <f t="shared" si="3"/>
        <v>0.06</v>
      </c>
      <c r="Q19">
        <f t="shared" si="3"/>
        <v>0.05</v>
      </c>
      <c r="R19">
        <f t="shared" si="3"/>
        <v>0.06</v>
      </c>
      <c r="S19">
        <f t="shared" si="3"/>
        <v>0.06</v>
      </c>
      <c r="T19">
        <f t="shared" si="3"/>
        <v>0.06</v>
      </c>
      <c r="U19">
        <f t="shared" si="3"/>
        <v>0.06</v>
      </c>
      <c r="V19">
        <f t="shared" si="3"/>
        <v>7.0000000000000007E-2</v>
      </c>
      <c r="W19">
        <f t="shared" si="3"/>
        <v>0.08</v>
      </c>
      <c r="X19">
        <f t="shared" si="3"/>
        <v>7.0000000000000007E-2</v>
      </c>
      <c r="Y19">
        <f t="shared" si="3"/>
        <v>0.08</v>
      </c>
    </row>
    <row r="20" spans="1:177" x14ac:dyDescent="0.25">
      <c r="A20">
        <v>7.0000000000000007E-2</v>
      </c>
      <c r="C20" t="s">
        <v>49</v>
      </c>
      <c r="D20">
        <f>D6</f>
        <v>7.0000000000000007E-2</v>
      </c>
      <c r="E20">
        <f t="shared" ref="E20:BP20" si="4">E6</f>
        <v>7.0000000000000007E-2</v>
      </c>
      <c r="F20">
        <f t="shared" si="4"/>
        <v>7.0000000000000007E-2</v>
      </c>
      <c r="G20">
        <f t="shared" si="4"/>
        <v>7.0000000000000007E-2</v>
      </c>
      <c r="H20">
        <f t="shared" si="4"/>
        <v>7.0000000000000007E-2</v>
      </c>
      <c r="I20">
        <f t="shared" si="4"/>
        <v>7.0000000000000007E-2</v>
      </c>
      <c r="J20">
        <f t="shared" si="4"/>
        <v>7.0000000000000007E-2</v>
      </c>
      <c r="K20">
        <f t="shared" si="4"/>
        <v>7.0000000000000007E-2</v>
      </c>
      <c r="L20">
        <f t="shared" si="4"/>
        <v>7.0000000000000007E-2</v>
      </c>
      <c r="M20">
        <f t="shared" si="4"/>
        <v>7.0000000000000007E-2</v>
      </c>
      <c r="N20">
        <f t="shared" si="4"/>
        <v>7.0000000000000007E-2</v>
      </c>
      <c r="O20">
        <f t="shared" si="4"/>
        <v>0.06</v>
      </c>
      <c r="P20">
        <f t="shared" si="4"/>
        <v>0.06</v>
      </c>
      <c r="Q20">
        <f t="shared" si="4"/>
        <v>7.0000000000000007E-2</v>
      </c>
      <c r="R20">
        <f t="shared" si="4"/>
        <v>7.0000000000000007E-2</v>
      </c>
      <c r="S20">
        <f t="shared" si="4"/>
        <v>7.0000000000000007E-2</v>
      </c>
      <c r="T20">
        <f t="shared" si="4"/>
        <v>7.0000000000000007E-2</v>
      </c>
      <c r="U20">
        <f t="shared" si="4"/>
        <v>7.0000000000000007E-2</v>
      </c>
      <c r="V20">
        <f t="shared" si="4"/>
        <v>0.08</v>
      </c>
      <c r="W20">
        <f t="shared" si="4"/>
        <v>0.09</v>
      </c>
      <c r="X20">
        <f t="shared" si="4"/>
        <v>0.08</v>
      </c>
      <c r="Y20">
        <f t="shared" si="4"/>
        <v>0.09</v>
      </c>
    </row>
    <row r="21" spans="1:177" x14ac:dyDescent="0.25">
      <c r="A21">
        <v>0.1</v>
      </c>
      <c r="C21" t="s">
        <v>83</v>
      </c>
      <c r="D21">
        <f>D8</f>
        <v>7.0000000000000007E-2</v>
      </c>
      <c r="E21">
        <f t="shared" ref="E21:BP21" si="5">E8</f>
        <v>7.0000000000000007E-2</v>
      </c>
      <c r="F21">
        <f t="shared" si="5"/>
        <v>7.0000000000000007E-2</v>
      </c>
      <c r="G21">
        <f t="shared" si="5"/>
        <v>7.0000000000000007E-2</v>
      </c>
      <c r="H21">
        <f t="shared" si="5"/>
        <v>7.0000000000000007E-2</v>
      </c>
      <c r="I21">
        <f t="shared" si="5"/>
        <v>7.0000000000000007E-2</v>
      </c>
      <c r="J21">
        <f t="shared" si="5"/>
        <v>7.0000000000000007E-2</v>
      </c>
      <c r="K21">
        <f t="shared" si="5"/>
        <v>7.0000000000000007E-2</v>
      </c>
      <c r="L21">
        <f t="shared" si="5"/>
        <v>7.0000000000000007E-2</v>
      </c>
      <c r="M21">
        <f t="shared" si="5"/>
        <v>7.0000000000000007E-2</v>
      </c>
      <c r="N21">
        <f t="shared" si="5"/>
        <v>7.0000000000000007E-2</v>
      </c>
      <c r="O21">
        <f t="shared" si="5"/>
        <v>7.0000000000000007E-2</v>
      </c>
      <c r="P21">
        <f t="shared" si="5"/>
        <v>7.0000000000000007E-2</v>
      </c>
      <c r="Q21">
        <f t="shared" si="5"/>
        <v>7.0000000000000007E-2</v>
      </c>
      <c r="R21">
        <f t="shared" si="5"/>
        <v>7.0000000000000007E-2</v>
      </c>
      <c r="S21">
        <f t="shared" si="5"/>
        <v>7.0000000000000007E-2</v>
      </c>
      <c r="T21">
        <f t="shared" si="5"/>
        <v>7.0000000000000007E-2</v>
      </c>
      <c r="U21">
        <f t="shared" si="5"/>
        <v>7.0000000000000007E-2</v>
      </c>
      <c r="V21">
        <f t="shared" si="5"/>
        <v>0.12</v>
      </c>
      <c r="W21">
        <f t="shared" si="5"/>
        <v>0.14000000000000001</v>
      </c>
      <c r="X21">
        <f t="shared" si="5"/>
        <v>0.11</v>
      </c>
      <c r="Y21">
        <f t="shared" si="5"/>
        <v>0.12</v>
      </c>
    </row>
    <row r="22" spans="1:177" x14ac:dyDescent="0.25">
      <c r="A22">
        <v>0.12</v>
      </c>
      <c r="C22" t="s">
        <v>13</v>
      </c>
      <c r="D22">
        <f>D9</f>
        <v>0.08</v>
      </c>
      <c r="E22">
        <f t="shared" ref="E22:BP22" si="6">E9</f>
        <v>0.08</v>
      </c>
      <c r="F22">
        <f t="shared" si="6"/>
        <v>0.08</v>
      </c>
      <c r="G22">
        <f t="shared" si="6"/>
        <v>0.08</v>
      </c>
      <c r="H22">
        <f t="shared" si="6"/>
        <v>0.08</v>
      </c>
      <c r="I22">
        <f t="shared" si="6"/>
        <v>0.08</v>
      </c>
      <c r="J22">
        <f t="shared" si="6"/>
        <v>0.08</v>
      </c>
      <c r="K22">
        <f t="shared" si="6"/>
        <v>0.08</v>
      </c>
      <c r="L22">
        <f t="shared" si="6"/>
        <v>0.08</v>
      </c>
      <c r="M22">
        <f t="shared" si="6"/>
        <v>0.08</v>
      </c>
      <c r="N22">
        <f t="shared" si="6"/>
        <v>0.08</v>
      </c>
      <c r="O22">
        <f t="shared" si="6"/>
        <v>0.08</v>
      </c>
      <c r="P22">
        <f t="shared" si="6"/>
        <v>0.08</v>
      </c>
      <c r="Q22">
        <f t="shared" si="6"/>
        <v>0.08</v>
      </c>
      <c r="R22">
        <f t="shared" si="6"/>
        <v>0.08</v>
      </c>
      <c r="S22">
        <f t="shared" si="6"/>
        <v>0.08</v>
      </c>
      <c r="T22">
        <f t="shared" si="6"/>
        <v>0.08</v>
      </c>
      <c r="U22">
        <f t="shared" si="6"/>
        <v>0.08</v>
      </c>
      <c r="V22">
        <f t="shared" si="6"/>
        <v>0.16</v>
      </c>
      <c r="W22">
        <f t="shared" si="6"/>
        <v>0.21</v>
      </c>
      <c r="X22">
        <f t="shared" si="6"/>
        <v>0.17</v>
      </c>
      <c r="Y22">
        <f t="shared" si="6"/>
        <v>0.18</v>
      </c>
    </row>
    <row r="23" spans="1:177" x14ac:dyDescent="0.25">
      <c r="A23">
        <v>0.56999999999999995</v>
      </c>
      <c r="C23" t="s">
        <v>193</v>
      </c>
      <c r="D23">
        <f>D10</f>
        <v>0.35</v>
      </c>
      <c r="E23">
        <f t="shared" ref="E23:BP23" si="7">E10</f>
        <v>0.35</v>
      </c>
      <c r="F23">
        <f t="shared" si="7"/>
        <v>0.35</v>
      </c>
      <c r="G23">
        <f t="shared" si="7"/>
        <v>0.31</v>
      </c>
      <c r="H23">
        <f t="shared" si="7"/>
        <v>0.3</v>
      </c>
      <c r="I23">
        <f t="shared" si="7"/>
        <v>0.34</v>
      </c>
      <c r="J23">
        <f t="shared" si="7"/>
        <v>0.3</v>
      </c>
      <c r="K23">
        <f t="shared" si="7"/>
        <v>0.3</v>
      </c>
      <c r="L23">
        <f t="shared" si="7"/>
        <v>0.31</v>
      </c>
      <c r="M23">
        <f t="shared" si="7"/>
        <v>0.3</v>
      </c>
      <c r="N23">
        <f t="shared" si="7"/>
        <v>0.31</v>
      </c>
      <c r="O23">
        <f t="shared" si="7"/>
        <v>0.3</v>
      </c>
      <c r="P23">
        <f t="shared" si="7"/>
        <v>0.32</v>
      </c>
      <c r="Q23">
        <f t="shared" si="7"/>
        <v>0.32</v>
      </c>
      <c r="R23">
        <f t="shared" si="7"/>
        <v>0.34</v>
      </c>
      <c r="S23">
        <f t="shared" si="7"/>
        <v>0.3</v>
      </c>
      <c r="T23">
        <f t="shared" si="7"/>
        <v>0.32</v>
      </c>
      <c r="U23">
        <f t="shared" si="7"/>
        <v>0.3</v>
      </c>
      <c r="V23">
        <f t="shared" si="7"/>
        <v>0.35</v>
      </c>
      <c r="W23">
        <f t="shared" si="7"/>
        <v>0.35</v>
      </c>
      <c r="X23">
        <f t="shared" si="7"/>
        <v>0.32</v>
      </c>
      <c r="Y23">
        <f t="shared" si="7"/>
        <v>0.32</v>
      </c>
    </row>
    <row r="25" spans="1:177" x14ac:dyDescent="0.25">
      <c r="B25">
        <v>2000</v>
      </c>
      <c r="C25" t="s">
        <v>190</v>
      </c>
      <c r="D25">
        <f>D19*$B25</f>
        <v>100</v>
      </c>
      <c r="E25">
        <f t="shared" ref="E25:BP26" si="8">E19*$B25</f>
        <v>100</v>
      </c>
      <c r="F25">
        <f t="shared" si="8"/>
        <v>100</v>
      </c>
      <c r="G25">
        <f t="shared" si="8"/>
        <v>120</v>
      </c>
      <c r="H25">
        <f t="shared" si="8"/>
        <v>120</v>
      </c>
      <c r="I25">
        <f t="shared" si="8"/>
        <v>120</v>
      </c>
      <c r="J25">
        <f t="shared" si="8"/>
        <v>100</v>
      </c>
      <c r="K25">
        <f t="shared" si="8"/>
        <v>120</v>
      </c>
      <c r="L25">
        <f t="shared" si="8"/>
        <v>120</v>
      </c>
      <c r="M25">
        <f t="shared" si="8"/>
        <v>120</v>
      </c>
      <c r="N25">
        <f t="shared" si="8"/>
        <v>120</v>
      </c>
      <c r="O25">
        <f t="shared" si="8"/>
        <v>120</v>
      </c>
      <c r="P25">
        <f t="shared" si="8"/>
        <v>120</v>
      </c>
      <c r="Q25">
        <f t="shared" si="8"/>
        <v>100</v>
      </c>
      <c r="R25">
        <f t="shared" si="8"/>
        <v>120</v>
      </c>
      <c r="S25">
        <f t="shared" si="8"/>
        <v>120</v>
      </c>
      <c r="T25">
        <f t="shared" si="8"/>
        <v>120</v>
      </c>
      <c r="U25">
        <f t="shared" si="8"/>
        <v>120</v>
      </c>
      <c r="V25">
        <f t="shared" si="8"/>
        <v>140</v>
      </c>
      <c r="W25">
        <f t="shared" si="8"/>
        <v>160</v>
      </c>
      <c r="X25">
        <f t="shared" si="8"/>
        <v>140</v>
      </c>
      <c r="Y25">
        <f t="shared" si="8"/>
        <v>160</v>
      </c>
    </row>
    <row r="26" spans="1:177" x14ac:dyDescent="0.25">
      <c r="B26">
        <v>1000</v>
      </c>
      <c r="C26" t="s">
        <v>49</v>
      </c>
      <c r="D26">
        <f t="shared" ref="D26:S29" si="9">D20*$B26</f>
        <v>70</v>
      </c>
      <c r="E26">
        <f t="shared" si="9"/>
        <v>70</v>
      </c>
      <c r="F26">
        <f t="shared" si="9"/>
        <v>70</v>
      </c>
      <c r="G26">
        <f t="shared" si="9"/>
        <v>70</v>
      </c>
      <c r="H26">
        <f t="shared" si="9"/>
        <v>70</v>
      </c>
      <c r="I26">
        <f t="shared" si="9"/>
        <v>70</v>
      </c>
      <c r="J26">
        <f t="shared" si="9"/>
        <v>70</v>
      </c>
      <c r="K26">
        <f t="shared" si="9"/>
        <v>70</v>
      </c>
      <c r="L26">
        <f t="shared" si="9"/>
        <v>70</v>
      </c>
      <c r="M26">
        <f t="shared" si="9"/>
        <v>70</v>
      </c>
      <c r="N26">
        <f t="shared" si="9"/>
        <v>70</v>
      </c>
      <c r="O26">
        <f t="shared" si="9"/>
        <v>60</v>
      </c>
      <c r="P26">
        <f t="shared" si="9"/>
        <v>60</v>
      </c>
      <c r="Q26">
        <f t="shared" si="9"/>
        <v>70</v>
      </c>
      <c r="R26">
        <f t="shared" si="9"/>
        <v>70</v>
      </c>
      <c r="S26">
        <f t="shared" si="9"/>
        <v>70</v>
      </c>
      <c r="T26">
        <f t="shared" si="8"/>
        <v>70</v>
      </c>
      <c r="U26">
        <f t="shared" si="8"/>
        <v>70</v>
      </c>
      <c r="V26">
        <f t="shared" si="8"/>
        <v>80</v>
      </c>
      <c r="W26">
        <f t="shared" si="8"/>
        <v>90</v>
      </c>
      <c r="X26">
        <f t="shared" si="8"/>
        <v>80</v>
      </c>
      <c r="Y26">
        <f t="shared" si="8"/>
        <v>90</v>
      </c>
    </row>
    <row r="27" spans="1:177" x14ac:dyDescent="0.25">
      <c r="B27">
        <v>2000</v>
      </c>
      <c r="C27" t="s">
        <v>83</v>
      </c>
      <c r="D27">
        <f t="shared" si="9"/>
        <v>140</v>
      </c>
      <c r="E27">
        <f t="shared" ref="E27:BP29" si="10">E21*$B27</f>
        <v>140</v>
      </c>
      <c r="F27">
        <f t="shared" si="10"/>
        <v>140</v>
      </c>
      <c r="G27">
        <f t="shared" si="10"/>
        <v>140</v>
      </c>
      <c r="H27">
        <f t="shared" si="10"/>
        <v>140</v>
      </c>
      <c r="I27">
        <f t="shared" si="10"/>
        <v>140</v>
      </c>
      <c r="J27">
        <f t="shared" si="10"/>
        <v>140</v>
      </c>
      <c r="K27">
        <f t="shared" si="10"/>
        <v>140</v>
      </c>
      <c r="L27">
        <f t="shared" si="10"/>
        <v>140</v>
      </c>
      <c r="M27">
        <f t="shared" si="10"/>
        <v>140</v>
      </c>
      <c r="N27">
        <f t="shared" si="10"/>
        <v>140</v>
      </c>
      <c r="O27">
        <f t="shared" si="10"/>
        <v>140</v>
      </c>
      <c r="P27">
        <f t="shared" si="10"/>
        <v>140</v>
      </c>
      <c r="Q27">
        <f t="shared" si="10"/>
        <v>140</v>
      </c>
      <c r="R27">
        <f t="shared" si="10"/>
        <v>140</v>
      </c>
      <c r="S27">
        <f t="shared" si="10"/>
        <v>140</v>
      </c>
      <c r="T27">
        <f t="shared" si="10"/>
        <v>140</v>
      </c>
      <c r="U27">
        <f t="shared" si="10"/>
        <v>140</v>
      </c>
      <c r="V27">
        <f t="shared" si="10"/>
        <v>240</v>
      </c>
      <c r="W27">
        <f t="shared" si="10"/>
        <v>280</v>
      </c>
      <c r="X27">
        <f t="shared" si="10"/>
        <v>220</v>
      </c>
      <c r="Y27">
        <f t="shared" si="10"/>
        <v>240</v>
      </c>
    </row>
    <row r="28" spans="1:177" x14ac:dyDescent="0.25">
      <c r="B28">
        <v>215</v>
      </c>
      <c r="C28" t="s">
        <v>13</v>
      </c>
      <c r="D28">
        <f t="shared" si="9"/>
        <v>17.2</v>
      </c>
      <c r="E28">
        <f t="shared" si="10"/>
        <v>17.2</v>
      </c>
      <c r="F28">
        <f t="shared" si="10"/>
        <v>17.2</v>
      </c>
      <c r="G28">
        <f t="shared" si="10"/>
        <v>17.2</v>
      </c>
      <c r="H28">
        <f t="shared" si="10"/>
        <v>17.2</v>
      </c>
      <c r="I28">
        <f t="shared" si="10"/>
        <v>17.2</v>
      </c>
      <c r="J28">
        <f t="shared" si="10"/>
        <v>17.2</v>
      </c>
      <c r="K28">
        <f t="shared" si="10"/>
        <v>17.2</v>
      </c>
      <c r="L28">
        <f t="shared" si="10"/>
        <v>17.2</v>
      </c>
      <c r="M28">
        <f t="shared" si="10"/>
        <v>17.2</v>
      </c>
      <c r="N28">
        <f t="shared" si="10"/>
        <v>17.2</v>
      </c>
      <c r="O28">
        <f t="shared" si="10"/>
        <v>17.2</v>
      </c>
      <c r="P28">
        <f t="shared" si="10"/>
        <v>17.2</v>
      </c>
      <c r="Q28">
        <f t="shared" si="10"/>
        <v>17.2</v>
      </c>
      <c r="R28">
        <f t="shared" si="10"/>
        <v>17.2</v>
      </c>
      <c r="S28">
        <f t="shared" si="10"/>
        <v>17.2</v>
      </c>
      <c r="T28">
        <f t="shared" si="10"/>
        <v>17.2</v>
      </c>
      <c r="U28">
        <f t="shared" si="10"/>
        <v>17.2</v>
      </c>
      <c r="V28">
        <f t="shared" si="10"/>
        <v>34.4</v>
      </c>
      <c r="W28">
        <f t="shared" si="10"/>
        <v>45.15</v>
      </c>
      <c r="X28">
        <f t="shared" si="10"/>
        <v>36.550000000000004</v>
      </c>
      <c r="Y28">
        <f t="shared" si="10"/>
        <v>38.699999999999996</v>
      </c>
    </row>
    <row r="29" spans="1:177" x14ac:dyDescent="0.25">
      <c r="B29">
        <v>150</v>
      </c>
      <c r="C29" t="s">
        <v>193</v>
      </c>
      <c r="D29">
        <f t="shared" si="9"/>
        <v>52.5</v>
      </c>
      <c r="E29">
        <f t="shared" si="10"/>
        <v>52.5</v>
      </c>
      <c r="F29">
        <f t="shared" si="10"/>
        <v>52.5</v>
      </c>
      <c r="G29">
        <f t="shared" si="10"/>
        <v>46.5</v>
      </c>
      <c r="H29">
        <f t="shared" si="10"/>
        <v>45</v>
      </c>
      <c r="I29">
        <f t="shared" si="10"/>
        <v>51.000000000000007</v>
      </c>
      <c r="J29">
        <f t="shared" si="10"/>
        <v>45</v>
      </c>
      <c r="K29">
        <f t="shared" si="10"/>
        <v>45</v>
      </c>
      <c r="L29">
        <f t="shared" si="10"/>
        <v>46.5</v>
      </c>
      <c r="M29">
        <f t="shared" si="10"/>
        <v>45</v>
      </c>
      <c r="N29">
        <f t="shared" si="10"/>
        <v>46.5</v>
      </c>
      <c r="O29">
        <f t="shared" si="10"/>
        <v>45</v>
      </c>
      <c r="P29">
        <f t="shared" si="10"/>
        <v>48</v>
      </c>
      <c r="Q29">
        <f t="shared" si="10"/>
        <v>48</v>
      </c>
      <c r="R29">
        <f t="shared" si="10"/>
        <v>51.000000000000007</v>
      </c>
      <c r="S29">
        <f t="shared" si="10"/>
        <v>45</v>
      </c>
      <c r="T29">
        <f t="shared" si="10"/>
        <v>48</v>
      </c>
      <c r="U29">
        <f t="shared" si="10"/>
        <v>45</v>
      </c>
      <c r="V29">
        <f t="shared" si="10"/>
        <v>52.5</v>
      </c>
      <c r="W29">
        <f t="shared" si="10"/>
        <v>52.5</v>
      </c>
      <c r="X29">
        <f t="shared" si="10"/>
        <v>48</v>
      </c>
      <c r="Y29">
        <f t="shared" si="10"/>
        <v>48</v>
      </c>
    </row>
    <row r="32" spans="1:177" x14ac:dyDescent="0.25">
      <c r="D32" s="2">
        <f>D18</f>
        <v>44331</v>
      </c>
      <c r="E32" s="2">
        <f t="shared" ref="E32:BP32" si="11">E18</f>
        <v>44332</v>
      </c>
      <c r="F32" s="2">
        <f t="shared" si="11"/>
        <v>44334</v>
      </c>
      <c r="G32" s="2">
        <f t="shared" si="11"/>
        <v>44336</v>
      </c>
      <c r="H32" s="2">
        <f t="shared" si="11"/>
        <v>44337</v>
      </c>
      <c r="I32" s="2">
        <f t="shared" si="11"/>
        <v>44338</v>
      </c>
      <c r="J32" s="2">
        <f t="shared" si="11"/>
        <v>44339</v>
      </c>
      <c r="K32" s="2">
        <f t="shared" si="11"/>
        <v>44340</v>
      </c>
      <c r="L32" s="2">
        <f t="shared" si="11"/>
        <v>44341</v>
      </c>
      <c r="M32" s="2">
        <f t="shared" si="11"/>
        <v>44342</v>
      </c>
      <c r="N32" s="2">
        <f t="shared" si="11"/>
        <v>44343</v>
      </c>
      <c r="O32" s="2">
        <f t="shared" si="11"/>
        <v>44344</v>
      </c>
      <c r="P32" s="2">
        <f t="shared" si="11"/>
        <v>44345</v>
      </c>
      <c r="Q32" s="2">
        <f t="shared" si="11"/>
        <v>44346</v>
      </c>
      <c r="R32" s="2">
        <f t="shared" si="11"/>
        <v>44347</v>
      </c>
      <c r="S32" s="2">
        <f t="shared" si="11"/>
        <v>44348</v>
      </c>
      <c r="T32" s="2">
        <f t="shared" si="11"/>
        <v>44349</v>
      </c>
      <c r="U32" s="2">
        <f t="shared" si="11"/>
        <v>44350</v>
      </c>
      <c r="V32" s="2">
        <f t="shared" si="11"/>
        <v>44351</v>
      </c>
      <c r="W32" s="2">
        <f t="shared" si="11"/>
        <v>44352</v>
      </c>
      <c r="X32" s="2">
        <f t="shared" si="11"/>
        <v>44353</v>
      </c>
      <c r="Y32" s="2">
        <f t="shared" si="11"/>
        <v>44354</v>
      </c>
      <c r="Z32" s="2">
        <f t="shared" si="11"/>
        <v>44355</v>
      </c>
      <c r="AA32" s="2">
        <f t="shared" si="11"/>
        <v>44356</v>
      </c>
      <c r="AB32" s="2">
        <f t="shared" si="11"/>
        <v>44357</v>
      </c>
      <c r="AC32" s="2">
        <f t="shared" si="11"/>
        <v>44358</v>
      </c>
      <c r="AD32" s="2">
        <f t="shared" si="11"/>
        <v>44359</v>
      </c>
      <c r="AE32" s="2">
        <f t="shared" si="11"/>
        <v>44360</v>
      </c>
      <c r="AF32" s="2">
        <f t="shared" si="11"/>
        <v>44361</v>
      </c>
      <c r="AG32" s="2">
        <f t="shared" si="11"/>
        <v>44362</v>
      </c>
      <c r="AH32" s="2">
        <f t="shared" si="11"/>
        <v>44363</v>
      </c>
      <c r="AI32" s="2">
        <f t="shared" si="11"/>
        <v>44364</v>
      </c>
      <c r="AJ32" s="2">
        <f t="shared" si="11"/>
        <v>44365</v>
      </c>
      <c r="AK32" s="2">
        <f t="shared" si="11"/>
        <v>44366</v>
      </c>
      <c r="AL32" s="2">
        <f t="shared" si="11"/>
        <v>44367</v>
      </c>
      <c r="AM32" s="2">
        <f t="shared" si="11"/>
        <v>44368</v>
      </c>
      <c r="AN32" s="2">
        <f t="shared" si="11"/>
        <v>44369</v>
      </c>
      <c r="AO32" s="2">
        <f t="shared" si="11"/>
        <v>44370</v>
      </c>
      <c r="AP32" s="2">
        <f t="shared" si="11"/>
        <v>44371</v>
      </c>
      <c r="AQ32" s="2">
        <f t="shared" si="11"/>
        <v>44372</v>
      </c>
      <c r="AR32" s="2">
        <f t="shared" si="11"/>
        <v>44373</v>
      </c>
      <c r="AS32" s="2">
        <f t="shared" si="11"/>
        <v>44374</v>
      </c>
      <c r="AT32" s="2">
        <f t="shared" si="11"/>
        <v>44375</v>
      </c>
      <c r="AU32" s="2">
        <f t="shared" si="11"/>
        <v>44376</v>
      </c>
      <c r="AV32" s="2">
        <f t="shared" si="11"/>
        <v>44377</v>
      </c>
      <c r="AW32" s="2">
        <f t="shared" si="11"/>
        <v>44378</v>
      </c>
      <c r="AX32" s="2">
        <f t="shared" si="11"/>
        <v>44379</v>
      </c>
      <c r="AY32" s="2">
        <f t="shared" si="11"/>
        <v>44380</v>
      </c>
      <c r="AZ32" s="2">
        <f t="shared" si="11"/>
        <v>44381</v>
      </c>
      <c r="BA32" s="2">
        <f t="shared" si="11"/>
        <v>44382</v>
      </c>
      <c r="BB32" s="2">
        <f t="shared" si="11"/>
        <v>44383</v>
      </c>
      <c r="BC32" s="2">
        <f t="shared" si="11"/>
        <v>44384</v>
      </c>
      <c r="BD32" s="2">
        <f t="shared" si="11"/>
        <v>44385</v>
      </c>
      <c r="BE32" s="2">
        <f t="shared" si="11"/>
        <v>44386</v>
      </c>
      <c r="BF32" s="2">
        <f t="shared" si="11"/>
        <v>44387</v>
      </c>
      <c r="BG32" s="2">
        <f t="shared" si="11"/>
        <v>44388</v>
      </c>
      <c r="BH32" s="2">
        <f t="shared" si="11"/>
        <v>44389</v>
      </c>
      <c r="BI32" s="2">
        <f t="shared" si="11"/>
        <v>44390</v>
      </c>
      <c r="BJ32" s="2">
        <f t="shared" si="11"/>
        <v>44391</v>
      </c>
      <c r="BK32" s="2">
        <f t="shared" si="11"/>
        <v>44392</v>
      </c>
      <c r="BL32" s="2">
        <f t="shared" si="11"/>
        <v>44393</v>
      </c>
      <c r="BM32" s="2">
        <f t="shared" si="11"/>
        <v>44394</v>
      </c>
      <c r="BN32" s="2">
        <f t="shared" si="11"/>
        <v>44395</v>
      </c>
      <c r="BO32" s="2">
        <f t="shared" si="11"/>
        <v>44396</v>
      </c>
      <c r="BP32" s="2">
        <f t="shared" si="11"/>
        <v>44397</v>
      </c>
      <c r="BQ32" s="2">
        <f t="shared" ref="BQ32:EB32" si="12">BQ18</f>
        <v>44398</v>
      </c>
      <c r="BR32" s="2">
        <f t="shared" si="12"/>
        <v>44399</v>
      </c>
      <c r="BS32" s="2">
        <f t="shared" si="12"/>
        <v>44400</v>
      </c>
      <c r="BT32" s="2">
        <f t="shared" si="12"/>
        <v>44401</v>
      </c>
      <c r="BU32" s="2">
        <f t="shared" si="12"/>
        <v>44402</v>
      </c>
      <c r="BV32" s="2">
        <f t="shared" si="12"/>
        <v>44403</v>
      </c>
      <c r="BW32" s="2">
        <f t="shared" si="12"/>
        <v>44404</v>
      </c>
      <c r="BX32" s="2">
        <f t="shared" si="12"/>
        <v>44405</v>
      </c>
      <c r="BY32" s="2">
        <f t="shared" si="12"/>
        <v>44406</v>
      </c>
      <c r="BZ32" s="2">
        <f t="shared" si="12"/>
        <v>44407</v>
      </c>
      <c r="CA32" s="2">
        <f t="shared" si="12"/>
        <v>44408</v>
      </c>
      <c r="CB32" s="2">
        <f t="shared" si="12"/>
        <v>44409</v>
      </c>
      <c r="CC32" s="2">
        <f t="shared" si="12"/>
        <v>44410</v>
      </c>
      <c r="CD32" s="2">
        <f t="shared" si="12"/>
        <v>44411</v>
      </c>
      <c r="CE32" s="2">
        <f t="shared" si="12"/>
        <v>44412</v>
      </c>
      <c r="CF32" s="2">
        <f t="shared" si="12"/>
        <v>44413</v>
      </c>
      <c r="CG32" s="2">
        <f t="shared" si="12"/>
        <v>44414</v>
      </c>
      <c r="CH32" s="2">
        <f t="shared" si="12"/>
        <v>44415</v>
      </c>
      <c r="CI32" s="2">
        <f t="shared" si="12"/>
        <v>44416</v>
      </c>
      <c r="CJ32" s="2">
        <f t="shared" si="12"/>
        <v>44417</v>
      </c>
      <c r="CK32" s="2">
        <f t="shared" si="12"/>
        <v>44418</v>
      </c>
      <c r="CL32" s="2">
        <f t="shared" si="12"/>
        <v>44419</v>
      </c>
      <c r="CM32" s="2">
        <f t="shared" si="12"/>
        <v>44420</v>
      </c>
      <c r="CN32" s="2">
        <f t="shared" si="12"/>
        <v>44421</v>
      </c>
      <c r="CO32" s="2">
        <f t="shared" si="12"/>
        <v>44422</v>
      </c>
      <c r="CP32" s="2">
        <f t="shared" si="12"/>
        <v>44423</v>
      </c>
      <c r="CQ32" s="2">
        <f t="shared" si="12"/>
        <v>44424</v>
      </c>
      <c r="CR32" s="2">
        <f t="shared" si="12"/>
        <v>44425</v>
      </c>
      <c r="CS32" s="2">
        <f t="shared" si="12"/>
        <v>44426</v>
      </c>
      <c r="CT32" s="2">
        <f t="shared" si="12"/>
        <v>44427</v>
      </c>
      <c r="CU32" s="2">
        <f t="shared" si="12"/>
        <v>44428</v>
      </c>
      <c r="CV32" s="2">
        <f t="shared" si="12"/>
        <v>44429</v>
      </c>
      <c r="CW32" s="2">
        <f t="shared" si="12"/>
        <v>44430</v>
      </c>
      <c r="CX32" s="2">
        <f t="shared" si="12"/>
        <v>44431</v>
      </c>
      <c r="CY32" s="2">
        <f t="shared" si="12"/>
        <v>44432</v>
      </c>
      <c r="CZ32" s="2">
        <f t="shared" si="12"/>
        <v>44433</v>
      </c>
      <c r="DA32" s="2">
        <f t="shared" si="12"/>
        <v>44434</v>
      </c>
      <c r="DB32" s="2">
        <f t="shared" si="12"/>
        <v>44435</v>
      </c>
      <c r="DC32" s="2">
        <f t="shared" si="12"/>
        <v>44436</v>
      </c>
      <c r="DD32" s="2">
        <f t="shared" si="12"/>
        <v>44437</v>
      </c>
      <c r="DE32" s="2">
        <f t="shared" si="12"/>
        <v>44438</v>
      </c>
      <c r="DF32" s="2">
        <f t="shared" si="12"/>
        <v>44439</v>
      </c>
      <c r="DG32" s="2">
        <f t="shared" si="12"/>
        <v>44440</v>
      </c>
      <c r="DH32" s="2">
        <f t="shared" si="12"/>
        <v>44441</v>
      </c>
      <c r="DI32" s="2">
        <f t="shared" si="12"/>
        <v>44442</v>
      </c>
      <c r="DJ32" s="2">
        <f t="shared" si="12"/>
        <v>44443</v>
      </c>
      <c r="DK32" s="2">
        <f t="shared" si="12"/>
        <v>44444</v>
      </c>
      <c r="DL32" s="2">
        <f t="shared" si="12"/>
        <v>44445</v>
      </c>
      <c r="DM32" s="2">
        <f t="shared" si="12"/>
        <v>44446</v>
      </c>
      <c r="DN32" s="2">
        <f t="shared" si="12"/>
        <v>44447</v>
      </c>
      <c r="DO32" s="2">
        <f t="shared" si="12"/>
        <v>44448</v>
      </c>
      <c r="DP32" s="2">
        <f t="shared" si="12"/>
        <v>44449</v>
      </c>
      <c r="DQ32" s="2">
        <f t="shared" si="12"/>
        <v>44450</v>
      </c>
      <c r="DR32" s="2">
        <f t="shared" si="12"/>
        <v>44451</v>
      </c>
      <c r="DS32" s="2">
        <f t="shared" si="12"/>
        <v>44452</v>
      </c>
      <c r="DT32" s="2">
        <f t="shared" si="12"/>
        <v>44453</v>
      </c>
      <c r="DU32" s="2">
        <f t="shared" si="12"/>
        <v>44454</v>
      </c>
      <c r="DV32" s="2">
        <f t="shared" si="12"/>
        <v>44455</v>
      </c>
      <c r="DW32" s="2">
        <f t="shared" si="12"/>
        <v>44456</v>
      </c>
      <c r="DX32" s="2">
        <f t="shared" si="12"/>
        <v>44457</v>
      </c>
      <c r="DY32" s="2">
        <f t="shared" si="12"/>
        <v>44458</v>
      </c>
      <c r="DZ32" s="2">
        <f t="shared" si="12"/>
        <v>44459</v>
      </c>
      <c r="EA32" s="2">
        <f t="shared" si="12"/>
        <v>44460</v>
      </c>
      <c r="EB32" s="2">
        <f t="shared" si="12"/>
        <v>44461</v>
      </c>
      <c r="EC32" s="2">
        <f t="shared" ref="EC32:FT32" si="13">EC18</f>
        <v>44462</v>
      </c>
      <c r="ED32" s="2">
        <f t="shared" si="13"/>
        <v>44463</v>
      </c>
      <c r="EE32" s="2">
        <f t="shared" si="13"/>
        <v>44464</v>
      </c>
      <c r="EF32" s="2">
        <f t="shared" si="13"/>
        <v>44465</v>
      </c>
      <c r="EG32" s="2">
        <f t="shared" si="13"/>
        <v>44466</v>
      </c>
      <c r="EH32" s="2">
        <f t="shared" si="13"/>
        <v>44467</v>
      </c>
      <c r="EI32" s="2">
        <f t="shared" si="13"/>
        <v>44468</v>
      </c>
      <c r="EJ32" s="2">
        <f t="shared" si="13"/>
        <v>44469</v>
      </c>
      <c r="EK32" s="2">
        <f t="shared" si="13"/>
        <v>44470</v>
      </c>
      <c r="EL32" s="2">
        <f t="shared" si="13"/>
        <v>44471</v>
      </c>
      <c r="EM32" s="2">
        <f t="shared" si="13"/>
        <v>44472</v>
      </c>
      <c r="EN32" s="2">
        <f t="shared" si="13"/>
        <v>44473</v>
      </c>
      <c r="EO32" s="2">
        <f t="shared" si="13"/>
        <v>44474</v>
      </c>
      <c r="EP32" s="2">
        <f t="shared" si="13"/>
        <v>44475</v>
      </c>
      <c r="EQ32" s="2">
        <f t="shared" si="13"/>
        <v>44476</v>
      </c>
      <c r="ER32" s="2">
        <f t="shared" si="13"/>
        <v>44477</v>
      </c>
      <c r="ES32" s="2">
        <f t="shared" si="13"/>
        <v>44478</v>
      </c>
      <c r="ET32" s="2">
        <f t="shared" si="13"/>
        <v>44479</v>
      </c>
      <c r="EU32" s="2">
        <f t="shared" si="13"/>
        <v>44480</v>
      </c>
      <c r="EV32" s="2">
        <f t="shared" si="13"/>
        <v>44481</v>
      </c>
      <c r="EW32" s="2">
        <f t="shared" si="13"/>
        <v>44482</v>
      </c>
      <c r="EX32" s="2">
        <f t="shared" si="13"/>
        <v>44483</v>
      </c>
      <c r="EY32" s="2">
        <f t="shared" si="13"/>
        <v>44484</v>
      </c>
      <c r="EZ32" s="2">
        <f t="shared" si="13"/>
        <v>44485</v>
      </c>
      <c r="FA32" s="2">
        <f t="shared" si="13"/>
        <v>44486</v>
      </c>
      <c r="FB32" s="2">
        <f t="shared" si="13"/>
        <v>44487</v>
      </c>
      <c r="FC32" s="2">
        <f t="shared" si="13"/>
        <v>44488</v>
      </c>
      <c r="FD32" s="2">
        <f t="shared" si="13"/>
        <v>44489</v>
      </c>
      <c r="FE32" s="2">
        <f t="shared" si="13"/>
        <v>44490</v>
      </c>
      <c r="FF32" s="2">
        <f t="shared" si="13"/>
        <v>44491</v>
      </c>
      <c r="FG32" s="2">
        <f t="shared" si="13"/>
        <v>44492</v>
      </c>
      <c r="FH32" s="2">
        <f t="shared" si="13"/>
        <v>44493</v>
      </c>
      <c r="FI32" s="2">
        <f t="shared" si="13"/>
        <v>44494</v>
      </c>
      <c r="FJ32" s="2">
        <f t="shared" si="13"/>
        <v>44495</v>
      </c>
      <c r="FK32" s="2">
        <f t="shared" si="13"/>
        <v>44496</v>
      </c>
      <c r="FL32" s="2">
        <f t="shared" si="13"/>
        <v>44497</v>
      </c>
      <c r="FM32" s="2">
        <f t="shared" si="13"/>
        <v>44498</v>
      </c>
      <c r="FN32" s="2">
        <f t="shared" si="13"/>
        <v>44499</v>
      </c>
      <c r="FO32" s="2">
        <f t="shared" si="13"/>
        <v>44500</v>
      </c>
      <c r="FP32" s="2">
        <f t="shared" si="13"/>
        <v>44501</v>
      </c>
      <c r="FQ32" s="2">
        <f t="shared" si="13"/>
        <v>44502</v>
      </c>
      <c r="FR32" s="2">
        <f t="shared" si="13"/>
        <v>44503</v>
      </c>
      <c r="FS32" s="2">
        <f t="shared" si="13"/>
        <v>44504</v>
      </c>
      <c r="FT32" s="2">
        <f t="shared" si="13"/>
        <v>44505</v>
      </c>
      <c r="FU32" s="2"/>
    </row>
    <row r="33" spans="2:176" x14ac:dyDescent="0.25">
      <c r="C33" t="s">
        <v>190</v>
      </c>
      <c r="D33">
        <f>D19-ROUNDUP(D19*0.1,2)-ROUNDUP(D19*0.05,2)</f>
        <v>0.03</v>
      </c>
      <c r="E33">
        <f t="shared" ref="E33:BP33" si="14">E19-ROUNDUP(E19*0.1,2)-ROUNDUP(E19*0.05,2)</f>
        <v>0.03</v>
      </c>
      <c r="F33">
        <f t="shared" si="14"/>
        <v>0.03</v>
      </c>
      <c r="G33">
        <f t="shared" si="14"/>
        <v>3.9999999999999994E-2</v>
      </c>
      <c r="H33">
        <f t="shared" si="14"/>
        <v>3.9999999999999994E-2</v>
      </c>
      <c r="I33">
        <f t="shared" si="14"/>
        <v>3.9999999999999994E-2</v>
      </c>
      <c r="J33">
        <f t="shared" si="14"/>
        <v>0.03</v>
      </c>
      <c r="K33">
        <f t="shared" si="14"/>
        <v>3.9999999999999994E-2</v>
      </c>
      <c r="L33">
        <f t="shared" si="14"/>
        <v>3.9999999999999994E-2</v>
      </c>
      <c r="M33">
        <f t="shared" si="14"/>
        <v>3.9999999999999994E-2</v>
      </c>
      <c r="N33">
        <f t="shared" si="14"/>
        <v>3.9999999999999994E-2</v>
      </c>
      <c r="O33">
        <f t="shared" si="14"/>
        <v>3.9999999999999994E-2</v>
      </c>
      <c r="P33">
        <f t="shared" si="14"/>
        <v>3.9999999999999994E-2</v>
      </c>
      <c r="Q33">
        <f t="shared" si="14"/>
        <v>0.03</v>
      </c>
      <c r="R33">
        <f t="shared" si="14"/>
        <v>3.9999999999999994E-2</v>
      </c>
      <c r="S33">
        <f t="shared" si="14"/>
        <v>3.9999999999999994E-2</v>
      </c>
      <c r="T33">
        <f t="shared" si="14"/>
        <v>3.9999999999999994E-2</v>
      </c>
      <c r="U33">
        <f t="shared" si="14"/>
        <v>3.9999999999999994E-2</v>
      </c>
      <c r="V33">
        <f t="shared" si="14"/>
        <v>0.05</v>
      </c>
      <c r="W33">
        <f t="shared" si="14"/>
        <v>6.0000000000000005E-2</v>
      </c>
      <c r="X33">
        <f t="shared" si="14"/>
        <v>0.05</v>
      </c>
      <c r="Y33">
        <f t="shared" si="14"/>
        <v>6.0000000000000005E-2</v>
      </c>
    </row>
    <row r="34" spans="2:176" x14ac:dyDescent="0.25">
      <c r="C34" t="s">
        <v>49</v>
      </c>
      <c r="D34">
        <f t="shared" ref="D34:S37" si="15">D20-ROUNDUP(D20*0.1,2)-ROUNDUP(D20*0.05,2)</f>
        <v>0.05</v>
      </c>
      <c r="E34">
        <f t="shared" ref="E34:BP34" si="16">E20-ROUNDUP(E20*0.1,2)-ROUNDUP(E20*0.05,2)</f>
        <v>0.05</v>
      </c>
      <c r="F34">
        <f t="shared" si="16"/>
        <v>0.05</v>
      </c>
      <c r="G34">
        <f t="shared" si="16"/>
        <v>0.05</v>
      </c>
      <c r="H34">
        <f t="shared" si="16"/>
        <v>0.05</v>
      </c>
      <c r="I34">
        <f t="shared" si="16"/>
        <v>0.05</v>
      </c>
      <c r="J34">
        <f t="shared" si="16"/>
        <v>0.05</v>
      </c>
      <c r="K34">
        <f t="shared" si="16"/>
        <v>0.05</v>
      </c>
      <c r="L34">
        <f t="shared" si="16"/>
        <v>0.05</v>
      </c>
      <c r="M34">
        <f t="shared" si="16"/>
        <v>0.05</v>
      </c>
      <c r="N34">
        <f t="shared" si="16"/>
        <v>0.05</v>
      </c>
      <c r="O34">
        <f t="shared" si="16"/>
        <v>3.9999999999999994E-2</v>
      </c>
      <c r="P34">
        <f t="shared" si="16"/>
        <v>3.9999999999999994E-2</v>
      </c>
      <c r="Q34">
        <f t="shared" si="16"/>
        <v>0.05</v>
      </c>
      <c r="R34">
        <f t="shared" si="16"/>
        <v>0.05</v>
      </c>
      <c r="S34">
        <f t="shared" si="16"/>
        <v>0.05</v>
      </c>
      <c r="T34">
        <f t="shared" si="16"/>
        <v>0.05</v>
      </c>
      <c r="U34">
        <f t="shared" si="16"/>
        <v>0.05</v>
      </c>
      <c r="V34">
        <f t="shared" si="16"/>
        <v>6.0000000000000005E-2</v>
      </c>
      <c r="W34">
        <f t="shared" si="16"/>
        <v>7.0000000000000007E-2</v>
      </c>
      <c r="X34">
        <f t="shared" si="16"/>
        <v>6.0000000000000005E-2</v>
      </c>
      <c r="Y34">
        <f t="shared" si="16"/>
        <v>7.0000000000000007E-2</v>
      </c>
    </row>
    <row r="35" spans="2:176" x14ac:dyDescent="0.25">
      <c r="C35" t="s">
        <v>83</v>
      </c>
      <c r="D35">
        <f t="shared" si="15"/>
        <v>0.05</v>
      </c>
      <c r="E35">
        <f t="shared" ref="E35:BP35" si="17">E21-ROUNDUP(E21*0.1,2)-ROUNDUP(E21*0.05,2)</f>
        <v>0.05</v>
      </c>
      <c r="F35">
        <f t="shared" si="17"/>
        <v>0.05</v>
      </c>
      <c r="G35">
        <f t="shared" si="17"/>
        <v>0.05</v>
      </c>
      <c r="H35">
        <f t="shared" si="17"/>
        <v>0.05</v>
      </c>
      <c r="I35">
        <f t="shared" si="17"/>
        <v>0.05</v>
      </c>
      <c r="J35">
        <f t="shared" si="17"/>
        <v>0.05</v>
      </c>
      <c r="K35">
        <f t="shared" si="17"/>
        <v>0.05</v>
      </c>
      <c r="L35">
        <f t="shared" si="17"/>
        <v>0.05</v>
      </c>
      <c r="M35">
        <f t="shared" si="17"/>
        <v>0.05</v>
      </c>
      <c r="N35">
        <f t="shared" si="17"/>
        <v>0.05</v>
      </c>
      <c r="O35">
        <f t="shared" si="17"/>
        <v>0.05</v>
      </c>
      <c r="P35">
        <f t="shared" si="17"/>
        <v>0.05</v>
      </c>
      <c r="Q35">
        <f t="shared" si="17"/>
        <v>0.05</v>
      </c>
      <c r="R35">
        <f t="shared" si="17"/>
        <v>0.05</v>
      </c>
      <c r="S35">
        <f t="shared" si="17"/>
        <v>0.05</v>
      </c>
      <c r="T35">
        <f t="shared" si="17"/>
        <v>0.05</v>
      </c>
      <c r="U35">
        <f t="shared" si="17"/>
        <v>0.05</v>
      </c>
      <c r="V35">
        <f t="shared" si="17"/>
        <v>0.09</v>
      </c>
      <c r="W35">
        <f t="shared" si="17"/>
        <v>0.11000000000000001</v>
      </c>
      <c r="X35">
        <f t="shared" si="17"/>
        <v>0.08</v>
      </c>
      <c r="Y35">
        <f t="shared" si="17"/>
        <v>0.09</v>
      </c>
    </row>
    <row r="36" spans="2:176" x14ac:dyDescent="0.25">
      <c r="C36" t="s">
        <v>13</v>
      </c>
      <c r="D36">
        <f t="shared" si="15"/>
        <v>6.0000000000000005E-2</v>
      </c>
      <c r="E36">
        <f t="shared" ref="E36:BP36" si="18">E22-ROUNDUP(E22*0.1,2)-ROUNDUP(E22*0.05,2)</f>
        <v>6.0000000000000005E-2</v>
      </c>
      <c r="F36">
        <f t="shared" si="18"/>
        <v>6.0000000000000005E-2</v>
      </c>
      <c r="G36">
        <f t="shared" si="18"/>
        <v>6.0000000000000005E-2</v>
      </c>
      <c r="H36">
        <f t="shared" si="18"/>
        <v>6.0000000000000005E-2</v>
      </c>
      <c r="I36">
        <f t="shared" si="18"/>
        <v>6.0000000000000005E-2</v>
      </c>
      <c r="J36">
        <f t="shared" si="18"/>
        <v>6.0000000000000005E-2</v>
      </c>
      <c r="K36">
        <f t="shared" si="18"/>
        <v>6.0000000000000005E-2</v>
      </c>
      <c r="L36">
        <f t="shared" si="18"/>
        <v>6.0000000000000005E-2</v>
      </c>
      <c r="M36">
        <f t="shared" si="18"/>
        <v>6.0000000000000005E-2</v>
      </c>
      <c r="N36">
        <f t="shared" si="18"/>
        <v>6.0000000000000005E-2</v>
      </c>
      <c r="O36">
        <f t="shared" si="18"/>
        <v>6.0000000000000005E-2</v>
      </c>
      <c r="P36">
        <f t="shared" si="18"/>
        <v>6.0000000000000005E-2</v>
      </c>
      <c r="Q36">
        <f t="shared" si="18"/>
        <v>6.0000000000000005E-2</v>
      </c>
      <c r="R36">
        <f t="shared" si="18"/>
        <v>6.0000000000000005E-2</v>
      </c>
      <c r="S36">
        <f t="shared" si="18"/>
        <v>6.0000000000000005E-2</v>
      </c>
      <c r="T36">
        <f t="shared" si="18"/>
        <v>6.0000000000000005E-2</v>
      </c>
      <c r="U36">
        <f t="shared" si="18"/>
        <v>6.0000000000000005E-2</v>
      </c>
      <c r="V36">
        <f t="shared" si="18"/>
        <v>0.13</v>
      </c>
      <c r="W36">
        <f t="shared" si="18"/>
        <v>0.16</v>
      </c>
      <c r="X36">
        <f t="shared" si="18"/>
        <v>0.14000000000000001</v>
      </c>
      <c r="Y36">
        <f t="shared" si="18"/>
        <v>0.15</v>
      </c>
    </row>
    <row r="37" spans="2:176" x14ac:dyDescent="0.25">
      <c r="C37" t="s">
        <v>193</v>
      </c>
      <c r="D37">
        <f t="shared" si="15"/>
        <v>0.28999999999999998</v>
      </c>
      <c r="E37">
        <f t="shared" ref="E37:BP37" si="19">E23-ROUNDUP(E23*0.1,2)-ROUNDUP(E23*0.05,2)</f>
        <v>0.28999999999999998</v>
      </c>
      <c r="F37">
        <f t="shared" si="19"/>
        <v>0.28999999999999998</v>
      </c>
      <c r="G37">
        <f t="shared" si="19"/>
        <v>0.25</v>
      </c>
      <c r="H37">
        <f t="shared" si="19"/>
        <v>0.25</v>
      </c>
      <c r="I37">
        <f t="shared" si="19"/>
        <v>0.28000000000000003</v>
      </c>
      <c r="J37">
        <f t="shared" si="19"/>
        <v>0.25</v>
      </c>
      <c r="K37">
        <f t="shared" si="19"/>
        <v>0.25</v>
      </c>
      <c r="L37">
        <f t="shared" si="19"/>
        <v>0.25</v>
      </c>
      <c r="M37">
        <f t="shared" si="19"/>
        <v>0.25</v>
      </c>
      <c r="N37">
        <f t="shared" si="19"/>
        <v>0.25</v>
      </c>
      <c r="O37">
        <f t="shared" si="19"/>
        <v>0.25</v>
      </c>
      <c r="P37">
        <f t="shared" si="19"/>
        <v>0.26</v>
      </c>
      <c r="Q37">
        <f t="shared" si="19"/>
        <v>0.26</v>
      </c>
      <c r="R37">
        <f t="shared" si="19"/>
        <v>0.28000000000000003</v>
      </c>
      <c r="S37">
        <f t="shared" si="19"/>
        <v>0.25</v>
      </c>
      <c r="T37">
        <f t="shared" si="19"/>
        <v>0.26</v>
      </c>
      <c r="U37">
        <f t="shared" si="19"/>
        <v>0.25</v>
      </c>
      <c r="V37">
        <f t="shared" si="19"/>
        <v>0.28999999999999998</v>
      </c>
      <c r="W37">
        <f t="shared" si="19"/>
        <v>0.28999999999999998</v>
      </c>
      <c r="X37">
        <f t="shared" si="19"/>
        <v>0.26</v>
      </c>
      <c r="Y37">
        <f t="shared" si="19"/>
        <v>0.26</v>
      </c>
    </row>
    <row r="39" spans="2:176" x14ac:dyDescent="0.25">
      <c r="B39">
        <v>2000</v>
      </c>
      <c r="C39" t="s">
        <v>190</v>
      </c>
      <c r="D39">
        <f>($B39*D33)*0.8</f>
        <v>48</v>
      </c>
      <c r="E39">
        <f t="shared" ref="E39:BP40" si="20">($B39*E33)*0.8</f>
        <v>48</v>
      </c>
      <c r="F39">
        <f t="shared" si="20"/>
        <v>48</v>
      </c>
      <c r="G39">
        <f t="shared" si="20"/>
        <v>63.999999999999993</v>
      </c>
      <c r="H39">
        <f t="shared" si="20"/>
        <v>63.999999999999993</v>
      </c>
      <c r="I39">
        <f t="shared" si="20"/>
        <v>63.999999999999993</v>
      </c>
      <c r="J39">
        <f t="shared" si="20"/>
        <v>48</v>
      </c>
      <c r="K39">
        <f t="shared" si="20"/>
        <v>63.999999999999993</v>
      </c>
      <c r="L39">
        <f t="shared" si="20"/>
        <v>63.999999999999993</v>
      </c>
      <c r="M39">
        <f t="shared" si="20"/>
        <v>63.999999999999993</v>
      </c>
      <c r="N39">
        <f t="shared" si="20"/>
        <v>63.999999999999993</v>
      </c>
      <c r="O39">
        <f t="shared" si="20"/>
        <v>63.999999999999993</v>
      </c>
      <c r="P39">
        <f t="shared" si="20"/>
        <v>63.999999999999993</v>
      </c>
      <c r="Q39">
        <f t="shared" si="20"/>
        <v>48</v>
      </c>
      <c r="R39">
        <f t="shared" si="20"/>
        <v>63.999999999999993</v>
      </c>
      <c r="S39">
        <f t="shared" si="20"/>
        <v>63.999999999999993</v>
      </c>
      <c r="T39">
        <f t="shared" si="20"/>
        <v>63.999999999999993</v>
      </c>
      <c r="U39">
        <f t="shared" si="20"/>
        <v>63.999999999999993</v>
      </c>
      <c r="V39">
        <f t="shared" si="20"/>
        <v>80</v>
      </c>
      <c r="W39">
        <f t="shared" si="20"/>
        <v>96.000000000000014</v>
      </c>
      <c r="X39">
        <f t="shared" si="20"/>
        <v>80</v>
      </c>
      <c r="Y39">
        <f t="shared" si="20"/>
        <v>96.000000000000014</v>
      </c>
    </row>
    <row r="40" spans="2:176" x14ac:dyDescent="0.25">
      <c r="B40">
        <v>1000</v>
      </c>
      <c r="C40" t="s">
        <v>49</v>
      </c>
      <c r="D40">
        <f t="shared" ref="D40:S43" si="21">($B40*D34)*0.8</f>
        <v>40</v>
      </c>
      <c r="E40">
        <f t="shared" si="21"/>
        <v>40</v>
      </c>
      <c r="F40">
        <f t="shared" si="21"/>
        <v>40</v>
      </c>
      <c r="G40">
        <f t="shared" si="21"/>
        <v>40</v>
      </c>
      <c r="H40">
        <f t="shared" si="21"/>
        <v>40</v>
      </c>
      <c r="I40">
        <f t="shared" si="21"/>
        <v>40</v>
      </c>
      <c r="J40">
        <f t="shared" si="21"/>
        <v>40</v>
      </c>
      <c r="K40">
        <f t="shared" si="21"/>
        <v>40</v>
      </c>
      <c r="L40">
        <f t="shared" si="21"/>
        <v>40</v>
      </c>
      <c r="M40">
        <f t="shared" si="21"/>
        <v>40</v>
      </c>
      <c r="N40">
        <f t="shared" si="21"/>
        <v>40</v>
      </c>
      <c r="O40">
        <f t="shared" si="21"/>
        <v>31.999999999999996</v>
      </c>
      <c r="P40">
        <f t="shared" si="21"/>
        <v>31.999999999999996</v>
      </c>
      <c r="Q40">
        <f t="shared" si="21"/>
        <v>40</v>
      </c>
      <c r="R40">
        <f t="shared" si="21"/>
        <v>40</v>
      </c>
      <c r="S40">
        <f t="shared" si="21"/>
        <v>40</v>
      </c>
      <c r="T40">
        <f t="shared" si="20"/>
        <v>40</v>
      </c>
      <c r="U40">
        <f t="shared" si="20"/>
        <v>40</v>
      </c>
      <c r="V40">
        <f t="shared" si="20"/>
        <v>48.000000000000007</v>
      </c>
      <c r="W40">
        <f t="shared" si="20"/>
        <v>56</v>
      </c>
      <c r="X40">
        <f t="shared" si="20"/>
        <v>48.000000000000007</v>
      </c>
      <c r="Y40">
        <f t="shared" si="20"/>
        <v>56</v>
      </c>
    </row>
    <row r="41" spans="2:176" x14ac:dyDescent="0.25">
      <c r="B41">
        <v>2000</v>
      </c>
      <c r="C41" t="s">
        <v>83</v>
      </c>
      <c r="D41">
        <f t="shared" si="21"/>
        <v>80</v>
      </c>
      <c r="E41">
        <f t="shared" ref="E41:BP43" si="22">($B41*E35)*0.8</f>
        <v>80</v>
      </c>
      <c r="F41">
        <f t="shared" si="22"/>
        <v>80</v>
      </c>
      <c r="G41">
        <f t="shared" si="22"/>
        <v>80</v>
      </c>
      <c r="H41">
        <f t="shared" si="22"/>
        <v>80</v>
      </c>
      <c r="I41">
        <f t="shared" si="22"/>
        <v>80</v>
      </c>
      <c r="J41">
        <f t="shared" si="22"/>
        <v>80</v>
      </c>
      <c r="K41">
        <f t="shared" si="22"/>
        <v>80</v>
      </c>
      <c r="L41">
        <f t="shared" si="22"/>
        <v>80</v>
      </c>
      <c r="M41">
        <f t="shared" si="22"/>
        <v>80</v>
      </c>
      <c r="N41">
        <f t="shared" si="22"/>
        <v>80</v>
      </c>
      <c r="O41">
        <f t="shared" si="22"/>
        <v>80</v>
      </c>
      <c r="P41">
        <f t="shared" si="22"/>
        <v>80</v>
      </c>
      <c r="Q41">
        <f t="shared" si="22"/>
        <v>80</v>
      </c>
      <c r="R41">
        <f t="shared" si="22"/>
        <v>80</v>
      </c>
      <c r="S41">
        <f t="shared" si="22"/>
        <v>80</v>
      </c>
      <c r="T41">
        <f t="shared" si="22"/>
        <v>80</v>
      </c>
      <c r="U41">
        <f t="shared" si="22"/>
        <v>80</v>
      </c>
      <c r="V41">
        <f t="shared" si="22"/>
        <v>144</v>
      </c>
      <c r="W41">
        <f t="shared" si="22"/>
        <v>176.00000000000003</v>
      </c>
      <c r="X41">
        <f t="shared" si="22"/>
        <v>128</v>
      </c>
      <c r="Y41">
        <f t="shared" si="22"/>
        <v>144</v>
      </c>
    </row>
    <row r="42" spans="2:176" x14ac:dyDescent="0.25">
      <c r="B42">
        <v>215</v>
      </c>
      <c r="C42" t="s">
        <v>13</v>
      </c>
      <c r="D42">
        <f t="shared" si="21"/>
        <v>10.32</v>
      </c>
      <c r="E42">
        <f t="shared" si="22"/>
        <v>10.32</v>
      </c>
      <c r="F42">
        <f t="shared" si="22"/>
        <v>10.32</v>
      </c>
      <c r="G42">
        <f t="shared" si="22"/>
        <v>10.32</v>
      </c>
      <c r="H42">
        <f t="shared" si="22"/>
        <v>10.32</v>
      </c>
      <c r="I42">
        <f t="shared" si="22"/>
        <v>10.32</v>
      </c>
      <c r="J42">
        <f t="shared" si="22"/>
        <v>10.32</v>
      </c>
      <c r="K42">
        <f t="shared" si="22"/>
        <v>10.32</v>
      </c>
      <c r="L42">
        <f t="shared" si="22"/>
        <v>10.32</v>
      </c>
      <c r="M42">
        <f t="shared" si="22"/>
        <v>10.32</v>
      </c>
      <c r="N42">
        <f t="shared" si="22"/>
        <v>10.32</v>
      </c>
      <c r="O42">
        <f t="shared" si="22"/>
        <v>10.32</v>
      </c>
      <c r="P42">
        <f t="shared" si="22"/>
        <v>10.32</v>
      </c>
      <c r="Q42">
        <f t="shared" si="22"/>
        <v>10.32</v>
      </c>
      <c r="R42">
        <f t="shared" si="22"/>
        <v>10.32</v>
      </c>
      <c r="S42">
        <f t="shared" si="22"/>
        <v>10.32</v>
      </c>
      <c r="T42">
        <f t="shared" si="22"/>
        <v>10.32</v>
      </c>
      <c r="U42">
        <f t="shared" si="22"/>
        <v>10.32</v>
      </c>
      <c r="V42">
        <f t="shared" si="22"/>
        <v>22.36</v>
      </c>
      <c r="W42">
        <f t="shared" si="22"/>
        <v>27.52</v>
      </c>
      <c r="X42">
        <f t="shared" si="22"/>
        <v>24.080000000000002</v>
      </c>
      <c r="Y42">
        <f t="shared" si="22"/>
        <v>25.8</v>
      </c>
    </row>
    <row r="43" spans="2:176" x14ac:dyDescent="0.25">
      <c r="B43">
        <v>150</v>
      </c>
      <c r="C43" t="s">
        <v>193</v>
      </c>
      <c r="D43">
        <f t="shared" si="21"/>
        <v>34.800000000000004</v>
      </c>
      <c r="E43">
        <f t="shared" si="22"/>
        <v>34.800000000000004</v>
      </c>
      <c r="F43">
        <f t="shared" si="22"/>
        <v>34.800000000000004</v>
      </c>
      <c r="G43">
        <f t="shared" si="22"/>
        <v>30</v>
      </c>
      <c r="H43">
        <f t="shared" si="22"/>
        <v>30</v>
      </c>
      <c r="I43">
        <f t="shared" si="22"/>
        <v>33.600000000000009</v>
      </c>
      <c r="J43">
        <f t="shared" si="22"/>
        <v>30</v>
      </c>
      <c r="K43">
        <f t="shared" si="22"/>
        <v>30</v>
      </c>
      <c r="L43">
        <f t="shared" si="22"/>
        <v>30</v>
      </c>
      <c r="M43">
        <f t="shared" si="22"/>
        <v>30</v>
      </c>
      <c r="N43">
        <f t="shared" si="22"/>
        <v>30</v>
      </c>
      <c r="O43">
        <f t="shared" si="22"/>
        <v>30</v>
      </c>
      <c r="P43">
        <f t="shared" si="22"/>
        <v>31.200000000000003</v>
      </c>
      <c r="Q43">
        <f t="shared" si="22"/>
        <v>31.200000000000003</v>
      </c>
      <c r="R43">
        <f t="shared" si="22"/>
        <v>33.600000000000009</v>
      </c>
      <c r="S43">
        <f t="shared" si="22"/>
        <v>30</v>
      </c>
      <c r="T43">
        <f t="shared" si="22"/>
        <v>31.200000000000003</v>
      </c>
      <c r="U43">
        <f t="shared" si="22"/>
        <v>30</v>
      </c>
      <c r="V43">
        <f t="shared" si="22"/>
        <v>34.800000000000004</v>
      </c>
      <c r="W43">
        <f t="shared" si="22"/>
        <v>34.800000000000004</v>
      </c>
      <c r="X43">
        <f t="shared" si="22"/>
        <v>31.200000000000003</v>
      </c>
      <c r="Y43">
        <f t="shared" si="22"/>
        <v>31.200000000000003</v>
      </c>
    </row>
    <row r="47" spans="2:176" x14ac:dyDescent="0.25">
      <c r="D47" s="2">
        <f>D32</f>
        <v>44331</v>
      </c>
      <c r="E47" s="2">
        <f t="shared" ref="E47:BP47" si="23">E32</f>
        <v>44332</v>
      </c>
      <c r="F47" s="2">
        <f t="shared" si="23"/>
        <v>44334</v>
      </c>
      <c r="G47" s="2">
        <f t="shared" si="23"/>
        <v>44336</v>
      </c>
      <c r="H47" s="2">
        <f t="shared" si="23"/>
        <v>44337</v>
      </c>
      <c r="I47" s="2">
        <f t="shared" si="23"/>
        <v>44338</v>
      </c>
      <c r="J47" s="2">
        <f t="shared" si="23"/>
        <v>44339</v>
      </c>
      <c r="K47" s="2">
        <f t="shared" si="23"/>
        <v>44340</v>
      </c>
      <c r="L47" s="2">
        <f t="shared" si="23"/>
        <v>44341</v>
      </c>
      <c r="M47" s="2">
        <f t="shared" si="23"/>
        <v>44342</v>
      </c>
      <c r="N47" s="2">
        <f t="shared" si="23"/>
        <v>44343</v>
      </c>
      <c r="O47" s="2">
        <f t="shared" si="23"/>
        <v>44344</v>
      </c>
      <c r="P47" s="2">
        <f t="shared" si="23"/>
        <v>44345</v>
      </c>
      <c r="Q47" s="2">
        <f t="shared" si="23"/>
        <v>44346</v>
      </c>
      <c r="R47" s="2">
        <f t="shared" si="23"/>
        <v>44347</v>
      </c>
      <c r="S47" s="2">
        <f t="shared" si="23"/>
        <v>44348</v>
      </c>
      <c r="T47" s="2">
        <f t="shared" si="23"/>
        <v>44349</v>
      </c>
      <c r="U47" s="2">
        <f t="shared" si="23"/>
        <v>44350</v>
      </c>
      <c r="V47" s="2">
        <f t="shared" si="23"/>
        <v>44351</v>
      </c>
      <c r="W47" s="2">
        <f t="shared" si="23"/>
        <v>44352</v>
      </c>
      <c r="X47" s="2">
        <f t="shared" si="23"/>
        <v>44353</v>
      </c>
      <c r="Y47" s="2">
        <f t="shared" si="23"/>
        <v>44354</v>
      </c>
      <c r="Z47" s="2">
        <f t="shared" si="23"/>
        <v>44355</v>
      </c>
      <c r="AA47" s="2">
        <f t="shared" si="23"/>
        <v>44356</v>
      </c>
      <c r="AB47" s="2">
        <f t="shared" si="23"/>
        <v>44357</v>
      </c>
      <c r="AC47" s="2">
        <f t="shared" si="23"/>
        <v>44358</v>
      </c>
      <c r="AD47" s="2">
        <f t="shared" si="23"/>
        <v>44359</v>
      </c>
      <c r="AE47" s="2">
        <f t="shared" si="23"/>
        <v>44360</v>
      </c>
      <c r="AF47" s="2">
        <f t="shared" si="23"/>
        <v>44361</v>
      </c>
      <c r="AG47" s="2">
        <f t="shared" si="23"/>
        <v>44362</v>
      </c>
      <c r="AH47" s="2">
        <f t="shared" si="23"/>
        <v>44363</v>
      </c>
      <c r="AI47" s="2">
        <f t="shared" si="23"/>
        <v>44364</v>
      </c>
      <c r="AJ47" s="2">
        <f t="shared" si="23"/>
        <v>44365</v>
      </c>
      <c r="AK47" s="2">
        <f t="shared" si="23"/>
        <v>44366</v>
      </c>
      <c r="AL47" s="2">
        <f t="shared" si="23"/>
        <v>44367</v>
      </c>
      <c r="AM47" s="2">
        <f t="shared" si="23"/>
        <v>44368</v>
      </c>
      <c r="AN47" s="2">
        <f t="shared" si="23"/>
        <v>44369</v>
      </c>
      <c r="AO47" s="2">
        <f t="shared" si="23"/>
        <v>44370</v>
      </c>
      <c r="AP47" s="2">
        <f t="shared" si="23"/>
        <v>44371</v>
      </c>
      <c r="AQ47" s="2">
        <f t="shared" si="23"/>
        <v>44372</v>
      </c>
      <c r="AR47" s="2">
        <f t="shared" si="23"/>
        <v>44373</v>
      </c>
      <c r="AS47" s="2">
        <f t="shared" si="23"/>
        <v>44374</v>
      </c>
      <c r="AT47" s="2">
        <f t="shared" si="23"/>
        <v>44375</v>
      </c>
      <c r="AU47" s="2">
        <f t="shared" si="23"/>
        <v>44376</v>
      </c>
      <c r="AV47" s="2">
        <f t="shared" si="23"/>
        <v>44377</v>
      </c>
      <c r="AW47" s="2">
        <f t="shared" si="23"/>
        <v>44378</v>
      </c>
      <c r="AX47" s="2">
        <f t="shared" si="23"/>
        <v>44379</v>
      </c>
      <c r="AY47" s="2">
        <f t="shared" si="23"/>
        <v>44380</v>
      </c>
      <c r="AZ47" s="2">
        <f t="shared" si="23"/>
        <v>44381</v>
      </c>
      <c r="BA47" s="2">
        <f t="shared" si="23"/>
        <v>44382</v>
      </c>
      <c r="BB47" s="2">
        <f t="shared" si="23"/>
        <v>44383</v>
      </c>
      <c r="BC47" s="2">
        <f t="shared" si="23"/>
        <v>44384</v>
      </c>
      <c r="BD47" s="2">
        <f t="shared" si="23"/>
        <v>44385</v>
      </c>
      <c r="BE47" s="2">
        <f t="shared" si="23"/>
        <v>44386</v>
      </c>
      <c r="BF47" s="2">
        <f t="shared" si="23"/>
        <v>44387</v>
      </c>
      <c r="BG47" s="2">
        <f t="shared" si="23"/>
        <v>44388</v>
      </c>
      <c r="BH47" s="2">
        <f t="shared" si="23"/>
        <v>44389</v>
      </c>
      <c r="BI47" s="2">
        <f t="shared" si="23"/>
        <v>44390</v>
      </c>
      <c r="BJ47" s="2">
        <f t="shared" si="23"/>
        <v>44391</v>
      </c>
      <c r="BK47" s="2">
        <f t="shared" si="23"/>
        <v>44392</v>
      </c>
      <c r="BL47" s="2">
        <f t="shared" si="23"/>
        <v>44393</v>
      </c>
      <c r="BM47" s="2">
        <f t="shared" si="23"/>
        <v>44394</v>
      </c>
      <c r="BN47" s="2">
        <f t="shared" si="23"/>
        <v>44395</v>
      </c>
      <c r="BO47" s="2">
        <f t="shared" si="23"/>
        <v>44396</v>
      </c>
      <c r="BP47" s="2">
        <f t="shared" si="23"/>
        <v>44397</v>
      </c>
      <c r="BQ47" s="2">
        <f t="shared" ref="BQ47:EB47" si="24">BQ32</f>
        <v>44398</v>
      </c>
      <c r="BR47" s="2">
        <f t="shared" si="24"/>
        <v>44399</v>
      </c>
      <c r="BS47" s="2">
        <f t="shared" si="24"/>
        <v>44400</v>
      </c>
      <c r="BT47" s="2">
        <f t="shared" si="24"/>
        <v>44401</v>
      </c>
      <c r="BU47" s="2">
        <f t="shared" si="24"/>
        <v>44402</v>
      </c>
      <c r="BV47" s="2">
        <f t="shared" si="24"/>
        <v>44403</v>
      </c>
      <c r="BW47" s="2">
        <f t="shared" si="24"/>
        <v>44404</v>
      </c>
      <c r="BX47" s="2">
        <f t="shared" si="24"/>
        <v>44405</v>
      </c>
      <c r="BY47" s="2">
        <f t="shared" si="24"/>
        <v>44406</v>
      </c>
      <c r="BZ47" s="2">
        <f t="shared" si="24"/>
        <v>44407</v>
      </c>
      <c r="CA47" s="2">
        <f t="shared" si="24"/>
        <v>44408</v>
      </c>
      <c r="CB47" s="2">
        <f t="shared" si="24"/>
        <v>44409</v>
      </c>
      <c r="CC47" s="2">
        <f t="shared" si="24"/>
        <v>44410</v>
      </c>
      <c r="CD47" s="2">
        <f t="shared" si="24"/>
        <v>44411</v>
      </c>
      <c r="CE47" s="2">
        <f t="shared" si="24"/>
        <v>44412</v>
      </c>
      <c r="CF47" s="2">
        <f t="shared" si="24"/>
        <v>44413</v>
      </c>
      <c r="CG47" s="2">
        <f t="shared" si="24"/>
        <v>44414</v>
      </c>
      <c r="CH47" s="2">
        <f t="shared" si="24"/>
        <v>44415</v>
      </c>
      <c r="CI47" s="2">
        <f t="shared" si="24"/>
        <v>44416</v>
      </c>
      <c r="CJ47" s="2">
        <f t="shared" si="24"/>
        <v>44417</v>
      </c>
      <c r="CK47" s="2">
        <f t="shared" si="24"/>
        <v>44418</v>
      </c>
      <c r="CL47" s="2">
        <f t="shared" si="24"/>
        <v>44419</v>
      </c>
      <c r="CM47" s="2">
        <f t="shared" si="24"/>
        <v>44420</v>
      </c>
      <c r="CN47" s="2">
        <f t="shared" si="24"/>
        <v>44421</v>
      </c>
      <c r="CO47" s="2">
        <f t="shared" si="24"/>
        <v>44422</v>
      </c>
      <c r="CP47" s="2">
        <f t="shared" si="24"/>
        <v>44423</v>
      </c>
      <c r="CQ47" s="2">
        <f t="shared" si="24"/>
        <v>44424</v>
      </c>
      <c r="CR47" s="2">
        <f t="shared" si="24"/>
        <v>44425</v>
      </c>
      <c r="CS47" s="2">
        <f t="shared" si="24"/>
        <v>44426</v>
      </c>
      <c r="CT47" s="2">
        <f t="shared" si="24"/>
        <v>44427</v>
      </c>
      <c r="CU47" s="2">
        <f t="shared" si="24"/>
        <v>44428</v>
      </c>
      <c r="CV47" s="2">
        <f t="shared" si="24"/>
        <v>44429</v>
      </c>
      <c r="CW47" s="2">
        <f t="shared" si="24"/>
        <v>44430</v>
      </c>
      <c r="CX47" s="2">
        <f t="shared" si="24"/>
        <v>44431</v>
      </c>
      <c r="CY47" s="2">
        <f t="shared" si="24"/>
        <v>44432</v>
      </c>
      <c r="CZ47" s="2">
        <f t="shared" si="24"/>
        <v>44433</v>
      </c>
      <c r="DA47" s="2">
        <f t="shared" si="24"/>
        <v>44434</v>
      </c>
      <c r="DB47" s="2">
        <f t="shared" si="24"/>
        <v>44435</v>
      </c>
      <c r="DC47" s="2">
        <f t="shared" si="24"/>
        <v>44436</v>
      </c>
      <c r="DD47" s="2">
        <f t="shared" si="24"/>
        <v>44437</v>
      </c>
      <c r="DE47" s="2">
        <f t="shared" si="24"/>
        <v>44438</v>
      </c>
      <c r="DF47" s="2">
        <f t="shared" si="24"/>
        <v>44439</v>
      </c>
      <c r="DG47" s="2">
        <f t="shared" si="24"/>
        <v>44440</v>
      </c>
      <c r="DH47" s="2">
        <f t="shared" si="24"/>
        <v>44441</v>
      </c>
      <c r="DI47" s="2">
        <f t="shared" si="24"/>
        <v>44442</v>
      </c>
      <c r="DJ47" s="2">
        <f t="shared" si="24"/>
        <v>44443</v>
      </c>
      <c r="DK47" s="2">
        <f t="shared" si="24"/>
        <v>44444</v>
      </c>
      <c r="DL47" s="2">
        <f t="shared" si="24"/>
        <v>44445</v>
      </c>
      <c r="DM47" s="2">
        <f t="shared" si="24"/>
        <v>44446</v>
      </c>
      <c r="DN47" s="2">
        <f t="shared" si="24"/>
        <v>44447</v>
      </c>
      <c r="DO47" s="2">
        <f t="shared" si="24"/>
        <v>44448</v>
      </c>
      <c r="DP47" s="2">
        <f t="shared" si="24"/>
        <v>44449</v>
      </c>
      <c r="DQ47" s="2">
        <f t="shared" si="24"/>
        <v>44450</v>
      </c>
      <c r="DR47" s="2">
        <f t="shared" si="24"/>
        <v>44451</v>
      </c>
      <c r="DS47" s="2">
        <f t="shared" si="24"/>
        <v>44452</v>
      </c>
      <c r="DT47" s="2">
        <f t="shared" si="24"/>
        <v>44453</v>
      </c>
      <c r="DU47" s="2">
        <f t="shared" si="24"/>
        <v>44454</v>
      </c>
      <c r="DV47" s="2">
        <f t="shared" si="24"/>
        <v>44455</v>
      </c>
      <c r="DW47" s="2">
        <f t="shared" si="24"/>
        <v>44456</v>
      </c>
      <c r="DX47" s="2">
        <f t="shared" si="24"/>
        <v>44457</v>
      </c>
      <c r="DY47" s="2">
        <f t="shared" si="24"/>
        <v>44458</v>
      </c>
      <c r="DZ47" s="2">
        <f t="shared" si="24"/>
        <v>44459</v>
      </c>
      <c r="EA47" s="2">
        <f t="shared" si="24"/>
        <v>44460</v>
      </c>
      <c r="EB47" s="2">
        <f t="shared" si="24"/>
        <v>44461</v>
      </c>
      <c r="EC47" s="2">
        <f t="shared" ref="EC47:FT47" si="25">EC32</f>
        <v>44462</v>
      </c>
      <c r="ED47" s="2">
        <f t="shared" si="25"/>
        <v>44463</v>
      </c>
      <c r="EE47" s="2">
        <f t="shared" si="25"/>
        <v>44464</v>
      </c>
      <c r="EF47" s="2">
        <f t="shared" si="25"/>
        <v>44465</v>
      </c>
      <c r="EG47" s="2">
        <f t="shared" si="25"/>
        <v>44466</v>
      </c>
      <c r="EH47" s="2">
        <f t="shared" si="25"/>
        <v>44467</v>
      </c>
      <c r="EI47" s="2">
        <f t="shared" si="25"/>
        <v>44468</v>
      </c>
      <c r="EJ47" s="2">
        <f t="shared" si="25"/>
        <v>44469</v>
      </c>
      <c r="EK47" s="2">
        <f t="shared" si="25"/>
        <v>44470</v>
      </c>
      <c r="EL47" s="2">
        <f t="shared" si="25"/>
        <v>44471</v>
      </c>
      <c r="EM47" s="2">
        <f t="shared" si="25"/>
        <v>44472</v>
      </c>
      <c r="EN47" s="2">
        <f t="shared" si="25"/>
        <v>44473</v>
      </c>
      <c r="EO47" s="2">
        <f t="shared" si="25"/>
        <v>44474</v>
      </c>
      <c r="EP47" s="2">
        <f t="shared" si="25"/>
        <v>44475</v>
      </c>
      <c r="EQ47" s="2">
        <f t="shared" si="25"/>
        <v>44476</v>
      </c>
      <c r="ER47" s="2">
        <f t="shared" si="25"/>
        <v>44477</v>
      </c>
      <c r="ES47" s="2">
        <f t="shared" si="25"/>
        <v>44478</v>
      </c>
      <c r="ET47" s="2">
        <f t="shared" si="25"/>
        <v>44479</v>
      </c>
      <c r="EU47" s="2">
        <f t="shared" si="25"/>
        <v>44480</v>
      </c>
      <c r="EV47" s="2">
        <f t="shared" si="25"/>
        <v>44481</v>
      </c>
      <c r="EW47" s="2">
        <f t="shared" si="25"/>
        <v>44482</v>
      </c>
      <c r="EX47" s="2">
        <f t="shared" si="25"/>
        <v>44483</v>
      </c>
      <c r="EY47" s="2">
        <f t="shared" si="25"/>
        <v>44484</v>
      </c>
      <c r="EZ47" s="2">
        <f t="shared" si="25"/>
        <v>44485</v>
      </c>
      <c r="FA47" s="2">
        <f t="shared" si="25"/>
        <v>44486</v>
      </c>
      <c r="FB47" s="2">
        <f t="shared" si="25"/>
        <v>44487</v>
      </c>
      <c r="FC47" s="2">
        <f t="shared" si="25"/>
        <v>44488</v>
      </c>
      <c r="FD47" s="2">
        <f t="shared" si="25"/>
        <v>44489</v>
      </c>
      <c r="FE47" s="2">
        <f t="shared" si="25"/>
        <v>44490</v>
      </c>
      <c r="FF47" s="2">
        <f t="shared" si="25"/>
        <v>44491</v>
      </c>
      <c r="FG47" s="2">
        <f t="shared" si="25"/>
        <v>44492</v>
      </c>
      <c r="FH47" s="2">
        <f t="shared" si="25"/>
        <v>44493</v>
      </c>
      <c r="FI47" s="2">
        <f t="shared" si="25"/>
        <v>44494</v>
      </c>
      <c r="FJ47" s="2">
        <f t="shared" si="25"/>
        <v>44495</v>
      </c>
      <c r="FK47" s="2">
        <f t="shared" si="25"/>
        <v>44496</v>
      </c>
      <c r="FL47" s="2">
        <f t="shared" si="25"/>
        <v>44497</v>
      </c>
      <c r="FM47" s="2">
        <f t="shared" si="25"/>
        <v>44498</v>
      </c>
      <c r="FN47" s="2">
        <f t="shared" si="25"/>
        <v>44499</v>
      </c>
      <c r="FO47" s="2">
        <f t="shared" si="25"/>
        <v>44500</v>
      </c>
      <c r="FP47" s="2">
        <f t="shared" si="25"/>
        <v>44501</v>
      </c>
      <c r="FQ47" s="2">
        <f t="shared" si="25"/>
        <v>44502</v>
      </c>
      <c r="FR47" s="2">
        <f t="shared" si="25"/>
        <v>44503</v>
      </c>
      <c r="FS47" s="2">
        <f t="shared" si="25"/>
        <v>44504</v>
      </c>
      <c r="FT47" s="2">
        <f t="shared" si="25"/>
        <v>44505</v>
      </c>
    </row>
    <row r="48" spans="2:176" x14ac:dyDescent="0.25">
      <c r="C48" t="s">
        <v>186</v>
      </c>
      <c r="D48">
        <f>SUM(D25:D29)</f>
        <v>379.7</v>
      </c>
      <c r="E48">
        <f t="shared" ref="E48:BP48" si="26">SUM(E25:E29)</f>
        <v>379.7</v>
      </c>
      <c r="F48">
        <f t="shared" si="26"/>
        <v>379.7</v>
      </c>
      <c r="G48">
        <f t="shared" si="26"/>
        <v>393.7</v>
      </c>
      <c r="H48">
        <f t="shared" si="26"/>
        <v>392.2</v>
      </c>
      <c r="I48">
        <f t="shared" si="26"/>
        <v>398.2</v>
      </c>
      <c r="J48">
        <f t="shared" si="26"/>
        <v>372.2</v>
      </c>
      <c r="K48">
        <f t="shared" si="26"/>
        <v>392.2</v>
      </c>
      <c r="L48">
        <f t="shared" si="26"/>
        <v>393.7</v>
      </c>
      <c r="M48">
        <f t="shared" si="26"/>
        <v>392.2</v>
      </c>
      <c r="N48">
        <f t="shared" si="26"/>
        <v>393.7</v>
      </c>
      <c r="O48">
        <f t="shared" si="26"/>
        <v>382.2</v>
      </c>
      <c r="P48">
        <f t="shared" si="26"/>
        <v>385.2</v>
      </c>
      <c r="Q48">
        <f t="shared" si="26"/>
        <v>375.2</v>
      </c>
      <c r="R48">
        <f t="shared" si="26"/>
        <v>398.2</v>
      </c>
      <c r="S48">
        <f t="shared" si="26"/>
        <v>392.2</v>
      </c>
      <c r="T48">
        <f t="shared" si="26"/>
        <v>395.2</v>
      </c>
      <c r="U48">
        <f t="shared" si="26"/>
        <v>392.2</v>
      </c>
      <c r="V48">
        <f t="shared" si="26"/>
        <v>546.9</v>
      </c>
      <c r="W48">
        <f t="shared" si="26"/>
        <v>627.65</v>
      </c>
      <c r="X48">
        <f t="shared" si="26"/>
        <v>524.54999999999995</v>
      </c>
      <c r="Y48">
        <f t="shared" si="26"/>
        <v>576.70000000000005</v>
      </c>
    </row>
    <row r="49" spans="2:176" x14ac:dyDescent="0.25">
      <c r="C49" t="s">
        <v>194</v>
      </c>
      <c r="D49">
        <f>SUM(D39:D43)</f>
        <v>213.12</v>
      </c>
      <c r="E49">
        <f t="shared" ref="E49:BP49" si="27">SUM(E39:E43)</f>
        <v>213.12</v>
      </c>
      <c r="F49">
        <f t="shared" si="27"/>
        <v>213.12</v>
      </c>
      <c r="G49">
        <f t="shared" si="27"/>
        <v>224.32</v>
      </c>
      <c r="H49">
        <f t="shared" si="27"/>
        <v>224.32</v>
      </c>
      <c r="I49">
        <f t="shared" si="27"/>
        <v>227.92000000000002</v>
      </c>
      <c r="J49">
        <f t="shared" si="27"/>
        <v>208.32</v>
      </c>
      <c r="K49">
        <f t="shared" si="27"/>
        <v>224.32</v>
      </c>
      <c r="L49">
        <f t="shared" si="27"/>
        <v>224.32</v>
      </c>
      <c r="M49">
        <f t="shared" si="27"/>
        <v>224.32</v>
      </c>
      <c r="N49">
        <f t="shared" si="27"/>
        <v>224.32</v>
      </c>
      <c r="O49">
        <f t="shared" si="27"/>
        <v>216.32</v>
      </c>
      <c r="P49">
        <f t="shared" si="27"/>
        <v>217.51999999999998</v>
      </c>
      <c r="Q49">
        <f t="shared" si="27"/>
        <v>209.51999999999998</v>
      </c>
      <c r="R49">
        <f t="shared" si="27"/>
        <v>227.92000000000002</v>
      </c>
      <c r="S49">
        <f t="shared" si="27"/>
        <v>224.32</v>
      </c>
      <c r="T49">
        <f t="shared" si="27"/>
        <v>225.51999999999998</v>
      </c>
      <c r="U49">
        <f t="shared" si="27"/>
        <v>224.32</v>
      </c>
      <c r="V49">
        <f t="shared" si="27"/>
        <v>329.16</v>
      </c>
      <c r="W49">
        <f t="shared" si="27"/>
        <v>390.32</v>
      </c>
      <c r="X49">
        <f t="shared" si="27"/>
        <v>311.27999999999997</v>
      </c>
      <c r="Y49">
        <f t="shared" si="27"/>
        <v>353</v>
      </c>
    </row>
    <row r="54" spans="2:176" x14ac:dyDescent="0.25">
      <c r="D54" s="2">
        <f>D47</f>
        <v>44331</v>
      </c>
      <c r="E54" s="2">
        <f t="shared" ref="E54:BP54" si="28">E47</f>
        <v>44332</v>
      </c>
      <c r="F54" s="2">
        <f t="shared" si="28"/>
        <v>44334</v>
      </c>
      <c r="G54" s="2">
        <f t="shared" si="28"/>
        <v>44336</v>
      </c>
      <c r="H54" s="2">
        <f t="shared" si="28"/>
        <v>44337</v>
      </c>
      <c r="I54" s="2">
        <f t="shared" si="28"/>
        <v>44338</v>
      </c>
      <c r="J54" s="2">
        <f t="shared" si="28"/>
        <v>44339</v>
      </c>
      <c r="K54" s="2">
        <f t="shared" si="28"/>
        <v>44340</v>
      </c>
      <c r="L54" s="2">
        <f t="shared" si="28"/>
        <v>44341</v>
      </c>
      <c r="M54" s="2">
        <f t="shared" si="28"/>
        <v>44342</v>
      </c>
      <c r="N54" s="2">
        <f t="shared" si="28"/>
        <v>44343</v>
      </c>
      <c r="O54" s="2">
        <f t="shared" si="28"/>
        <v>44344</v>
      </c>
      <c r="P54" s="2">
        <f t="shared" si="28"/>
        <v>44345</v>
      </c>
      <c r="Q54" s="2">
        <f t="shared" si="28"/>
        <v>44346</v>
      </c>
      <c r="R54" s="2">
        <f t="shared" si="28"/>
        <v>44347</v>
      </c>
      <c r="S54" s="2">
        <f t="shared" si="28"/>
        <v>44348</v>
      </c>
      <c r="T54" s="2">
        <f t="shared" si="28"/>
        <v>44349</v>
      </c>
      <c r="U54" s="2">
        <f t="shared" si="28"/>
        <v>44350</v>
      </c>
      <c r="V54" s="2">
        <f t="shared" si="28"/>
        <v>44351</v>
      </c>
      <c r="W54" s="2">
        <f t="shared" si="28"/>
        <v>44352</v>
      </c>
      <c r="X54" s="2">
        <f t="shared" si="28"/>
        <v>44353</v>
      </c>
      <c r="Y54" s="2">
        <f t="shared" si="28"/>
        <v>44354</v>
      </c>
      <c r="Z54" s="2">
        <f t="shared" si="28"/>
        <v>44355</v>
      </c>
      <c r="AA54" s="2">
        <f t="shared" si="28"/>
        <v>44356</v>
      </c>
      <c r="AB54" s="2">
        <f t="shared" si="28"/>
        <v>44357</v>
      </c>
      <c r="AC54" s="2">
        <f t="shared" si="28"/>
        <v>44358</v>
      </c>
      <c r="AD54" s="2">
        <f t="shared" si="28"/>
        <v>44359</v>
      </c>
      <c r="AE54" s="2">
        <f t="shared" si="28"/>
        <v>44360</v>
      </c>
      <c r="AF54" s="2">
        <f t="shared" si="28"/>
        <v>44361</v>
      </c>
      <c r="AG54" s="2">
        <f t="shared" si="28"/>
        <v>44362</v>
      </c>
      <c r="AH54" s="2">
        <f t="shared" si="28"/>
        <v>44363</v>
      </c>
      <c r="AI54" s="2">
        <f t="shared" si="28"/>
        <v>44364</v>
      </c>
      <c r="AJ54" s="2">
        <f t="shared" si="28"/>
        <v>44365</v>
      </c>
      <c r="AK54" s="2">
        <f t="shared" si="28"/>
        <v>44366</v>
      </c>
      <c r="AL54" s="2">
        <f t="shared" si="28"/>
        <v>44367</v>
      </c>
      <c r="AM54" s="2">
        <f t="shared" si="28"/>
        <v>44368</v>
      </c>
      <c r="AN54" s="2">
        <f t="shared" si="28"/>
        <v>44369</v>
      </c>
      <c r="AO54" s="2">
        <f t="shared" si="28"/>
        <v>44370</v>
      </c>
      <c r="AP54" s="2">
        <f t="shared" si="28"/>
        <v>44371</v>
      </c>
      <c r="AQ54" s="2">
        <f t="shared" si="28"/>
        <v>44372</v>
      </c>
      <c r="AR54" s="2">
        <f t="shared" si="28"/>
        <v>44373</v>
      </c>
      <c r="AS54" s="2">
        <f t="shared" si="28"/>
        <v>44374</v>
      </c>
      <c r="AT54" s="2">
        <f t="shared" si="28"/>
        <v>44375</v>
      </c>
      <c r="AU54" s="2">
        <f t="shared" si="28"/>
        <v>44376</v>
      </c>
      <c r="AV54" s="2">
        <f t="shared" si="28"/>
        <v>44377</v>
      </c>
      <c r="AW54" s="2">
        <f t="shared" si="28"/>
        <v>44378</v>
      </c>
      <c r="AX54" s="2">
        <f t="shared" si="28"/>
        <v>44379</v>
      </c>
      <c r="AY54" s="2">
        <f t="shared" si="28"/>
        <v>44380</v>
      </c>
      <c r="AZ54" s="2">
        <f t="shared" si="28"/>
        <v>44381</v>
      </c>
      <c r="BA54" s="2">
        <f t="shared" si="28"/>
        <v>44382</v>
      </c>
      <c r="BB54" s="2">
        <f t="shared" si="28"/>
        <v>44383</v>
      </c>
      <c r="BC54" s="2">
        <f t="shared" si="28"/>
        <v>44384</v>
      </c>
      <c r="BD54" s="2">
        <f t="shared" si="28"/>
        <v>44385</v>
      </c>
      <c r="BE54" s="2">
        <f t="shared" si="28"/>
        <v>44386</v>
      </c>
      <c r="BF54" s="2">
        <f t="shared" si="28"/>
        <v>44387</v>
      </c>
      <c r="BG54" s="2">
        <f t="shared" si="28"/>
        <v>44388</v>
      </c>
      <c r="BH54" s="2">
        <f t="shared" si="28"/>
        <v>44389</v>
      </c>
      <c r="BI54" s="2">
        <f t="shared" si="28"/>
        <v>44390</v>
      </c>
      <c r="BJ54" s="2">
        <f t="shared" si="28"/>
        <v>44391</v>
      </c>
      <c r="BK54" s="2">
        <f t="shared" si="28"/>
        <v>44392</v>
      </c>
      <c r="BL54" s="2">
        <f t="shared" si="28"/>
        <v>44393</v>
      </c>
      <c r="BM54" s="2">
        <f t="shared" si="28"/>
        <v>44394</v>
      </c>
      <c r="BN54" s="2">
        <f t="shared" si="28"/>
        <v>44395</v>
      </c>
      <c r="BO54" s="2">
        <f t="shared" si="28"/>
        <v>44396</v>
      </c>
      <c r="BP54" s="2">
        <f t="shared" si="28"/>
        <v>44397</v>
      </c>
      <c r="BQ54" s="2">
        <f t="shared" ref="BQ54:EB54" si="29">BQ47</f>
        <v>44398</v>
      </c>
      <c r="BR54" s="2">
        <f t="shared" si="29"/>
        <v>44399</v>
      </c>
      <c r="BS54" s="2">
        <f t="shared" si="29"/>
        <v>44400</v>
      </c>
      <c r="BT54" s="2">
        <f t="shared" si="29"/>
        <v>44401</v>
      </c>
      <c r="BU54" s="2">
        <f t="shared" si="29"/>
        <v>44402</v>
      </c>
      <c r="BV54" s="2">
        <f t="shared" si="29"/>
        <v>44403</v>
      </c>
      <c r="BW54" s="2">
        <f t="shared" si="29"/>
        <v>44404</v>
      </c>
      <c r="BX54" s="2">
        <f t="shared" si="29"/>
        <v>44405</v>
      </c>
      <c r="BY54" s="2">
        <f t="shared" si="29"/>
        <v>44406</v>
      </c>
      <c r="BZ54" s="2">
        <f t="shared" si="29"/>
        <v>44407</v>
      </c>
      <c r="CA54" s="2">
        <f t="shared" si="29"/>
        <v>44408</v>
      </c>
      <c r="CB54" s="2">
        <f t="shared" si="29"/>
        <v>44409</v>
      </c>
      <c r="CC54" s="2">
        <f t="shared" si="29"/>
        <v>44410</v>
      </c>
      <c r="CD54" s="2">
        <f t="shared" si="29"/>
        <v>44411</v>
      </c>
      <c r="CE54" s="2">
        <f t="shared" si="29"/>
        <v>44412</v>
      </c>
      <c r="CF54" s="2">
        <f t="shared" si="29"/>
        <v>44413</v>
      </c>
      <c r="CG54" s="2">
        <f t="shared" si="29"/>
        <v>44414</v>
      </c>
      <c r="CH54" s="2">
        <f t="shared" si="29"/>
        <v>44415</v>
      </c>
      <c r="CI54" s="2">
        <f t="shared" si="29"/>
        <v>44416</v>
      </c>
      <c r="CJ54" s="2">
        <f t="shared" si="29"/>
        <v>44417</v>
      </c>
      <c r="CK54" s="2">
        <f t="shared" si="29"/>
        <v>44418</v>
      </c>
      <c r="CL54" s="2">
        <f t="shared" si="29"/>
        <v>44419</v>
      </c>
      <c r="CM54" s="2">
        <f t="shared" si="29"/>
        <v>44420</v>
      </c>
      <c r="CN54" s="2">
        <f t="shared" si="29"/>
        <v>44421</v>
      </c>
      <c r="CO54" s="2">
        <f t="shared" si="29"/>
        <v>44422</v>
      </c>
      <c r="CP54" s="2">
        <f t="shared" si="29"/>
        <v>44423</v>
      </c>
      <c r="CQ54" s="2">
        <f t="shared" si="29"/>
        <v>44424</v>
      </c>
      <c r="CR54" s="2">
        <f t="shared" si="29"/>
        <v>44425</v>
      </c>
      <c r="CS54" s="2">
        <f t="shared" si="29"/>
        <v>44426</v>
      </c>
      <c r="CT54" s="2">
        <f t="shared" si="29"/>
        <v>44427</v>
      </c>
      <c r="CU54" s="2">
        <f t="shared" si="29"/>
        <v>44428</v>
      </c>
      <c r="CV54" s="2">
        <f t="shared" si="29"/>
        <v>44429</v>
      </c>
      <c r="CW54" s="2">
        <f t="shared" si="29"/>
        <v>44430</v>
      </c>
      <c r="CX54" s="2">
        <f t="shared" si="29"/>
        <v>44431</v>
      </c>
      <c r="CY54" s="2">
        <f t="shared" si="29"/>
        <v>44432</v>
      </c>
      <c r="CZ54" s="2">
        <f t="shared" si="29"/>
        <v>44433</v>
      </c>
      <c r="DA54" s="2">
        <f t="shared" si="29"/>
        <v>44434</v>
      </c>
      <c r="DB54" s="2">
        <f t="shared" si="29"/>
        <v>44435</v>
      </c>
      <c r="DC54" s="2">
        <f t="shared" si="29"/>
        <v>44436</v>
      </c>
      <c r="DD54" s="2">
        <f t="shared" si="29"/>
        <v>44437</v>
      </c>
      <c r="DE54" s="2">
        <f t="shared" si="29"/>
        <v>44438</v>
      </c>
      <c r="DF54" s="2">
        <f t="shared" si="29"/>
        <v>44439</v>
      </c>
      <c r="DG54" s="2">
        <f t="shared" si="29"/>
        <v>44440</v>
      </c>
      <c r="DH54" s="2">
        <f t="shared" si="29"/>
        <v>44441</v>
      </c>
      <c r="DI54" s="2">
        <f t="shared" si="29"/>
        <v>44442</v>
      </c>
      <c r="DJ54" s="2">
        <f t="shared" si="29"/>
        <v>44443</v>
      </c>
      <c r="DK54" s="2">
        <f t="shared" si="29"/>
        <v>44444</v>
      </c>
      <c r="DL54" s="2">
        <f t="shared" si="29"/>
        <v>44445</v>
      </c>
      <c r="DM54" s="2">
        <f t="shared" si="29"/>
        <v>44446</v>
      </c>
      <c r="DN54" s="2">
        <f t="shared" si="29"/>
        <v>44447</v>
      </c>
      <c r="DO54" s="2">
        <f t="shared" si="29"/>
        <v>44448</v>
      </c>
      <c r="DP54" s="2">
        <f t="shared" si="29"/>
        <v>44449</v>
      </c>
      <c r="DQ54" s="2">
        <f t="shared" si="29"/>
        <v>44450</v>
      </c>
      <c r="DR54" s="2">
        <f t="shared" si="29"/>
        <v>44451</v>
      </c>
      <c r="DS54" s="2">
        <f t="shared" si="29"/>
        <v>44452</v>
      </c>
      <c r="DT54" s="2">
        <f t="shared" si="29"/>
        <v>44453</v>
      </c>
      <c r="DU54" s="2">
        <f t="shared" si="29"/>
        <v>44454</v>
      </c>
      <c r="DV54" s="2">
        <f t="shared" si="29"/>
        <v>44455</v>
      </c>
      <c r="DW54" s="2">
        <f t="shared" si="29"/>
        <v>44456</v>
      </c>
      <c r="DX54" s="2">
        <f t="shared" si="29"/>
        <v>44457</v>
      </c>
      <c r="DY54" s="2">
        <f t="shared" si="29"/>
        <v>44458</v>
      </c>
      <c r="DZ54" s="2">
        <f t="shared" si="29"/>
        <v>44459</v>
      </c>
      <c r="EA54" s="2">
        <f t="shared" si="29"/>
        <v>44460</v>
      </c>
      <c r="EB54" s="2">
        <f t="shared" si="29"/>
        <v>44461</v>
      </c>
      <c r="EC54" s="2">
        <f t="shared" ref="EC54:FT54" si="30">EC47</f>
        <v>44462</v>
      </c>
      <c r="ED54" s="2">
        <f t="shared" si="30"/>
        <v>44463</v>
      </c>
      <c r="EE54" s="2">
        <f t="shared" si="30"/>
        <v>44464</v>
      </c>
      <c r="EF54" s="2">
        <f t="shared" si="30"/>
        <v>44465</v>
      </c>
      <c r="EG54" s="2">
        <f t="shared" si="30"/>
        <v>44466</v>
      </c>
      <c r="EH54" s="2">
        <f t="shared" si="30"/>
        <v>44467</v>
      </c>
      <c r="EI54" s="2">
        <f t="shared" si="30"/>
        <v>44468</v>
      </c>
      <c r="EJ54" s="2">
        <f t="shared" si="30"/>
        <v>44469</v>
      </c>
      <c r="EK54" s="2">
        <f t="shared" si="30"/>
        <v>44470</v>
      </c>
      <c r="EL54" s="2">
        <f t="shared" si="30"/>
        <v>44471</v>
      </c>
      <c r="EM54" s="2">
        <f t="shared" si="30"/>
        <v>44472</v>
      </c>
      <c r="EN54" s="2">
        <f t="shared" si="30"/>
        <v>44473</v>
      </c>
      <c r="EO54" s="2">
        <f t="shared" si="30"/>
        <v>44474</v>
      </c>
      <c r="EP54" s="2">
        <f t="shared" si="30"/>
        <v>44475</v>
      </c>
      <c r="EQ54" s="2">
        <f t="shared" si="30"/>
        <v>44476</v>
      </c>
      <c r="ER54" s="2">
        <f t="shared" si="30"/>
        <v>44477</v>
      </c>
      <c r="ES54" s="2">
        <f t="shared" si="30"/>
        <v>44478</v>
      </c>
      <c r="ET54" s="2">
        <f t="shared" si="30"/>
        <v>44479</v>
      </c>
      <c r="EU54" s="2">
        <f t="shared" si="30"/>
        <v>44480</v>
      </c>
      <c r="EV54" s="2">
        <f t="shared" si="30"/>
        <v>44481</v>
      </c>
      <c r="EW54" s="2">
        <f t="shared" si="30"/>
        <v>44482</v>
      </c>
      <c r="EX54" s="2">
        <f t="shared" si="30"/>
        <v>44483</v>
      </c>
      <c r="EY54" s="2">
        <f t="shared" si="30"/>
        <v>44484</v>
      </c>
      <c r="EZ54" s="2">
        <f t="shared" si="30"/>
        <v>44485</v>
      </c>
      <c r="FA54" s="2">
        <f t="shared" si="30"/>
        <v>44486</v>
      </c>
      <c r="FB54" s="2">
        <f t="shared" si="30"/>
        <v>44487</v>
      </c>
      <c r="FC54" s="2">
        <f t="shared" si="30"/>
        <v>44488</v>
      </c>
      <c r="FD54" s="2">
        <f t="shared" si="30"/>
        <v>44489</v>
      </c>
      <c r="FE54" s="2">
        <f t="shared" si="30"/>
        <v>44490</v>
      </c>
      <c r="FF54" s="2">
        <f t="shared" si="30"/>
        <v>44491</v>
      </c>
      <c r="FG54" s="2">
        <f t="shared" si="30"/>
        <v>44492</v>
      </c>
      <c r="FH54" s="2">
        <f t="shared" si="30"/>
        <v>44493</v>
      </c>
      <c r="FI54" s="2">
        <f t="shared" si="30"/>
        <v>44494</v>
      </c>
      <c r="FJ54" s="2">
        <f t="shared" si="30"/>
        <v>44495</v>
      </c>
      <c r="FK54" s="2">
        <f t="shared" si="30"/>
        <v>44496</v>
      </c>
      <c r="FL54" s="2">
        <f t="shared" si="30"/>
        <v>44497</v>
      </c>
      <c r="FM54" s="2">
        <f t="shared" si="30"/>
        <v>44498</v>
      </c>
      <c r="FN54" s="2">
        <f t="shared" si="30"/>
        <v>44499</v>
      </c>
      <c r="FO54" s="2">
        <f t="shared" si="30"/>
        <v>44500</v>
      </c>
      <c r="FP54" s="2">
        <f t="shared" si="30"/>
        <v>44501</v>
      </c>
      <c r="FQ54" s="2">
        <f t="shared" si="30"/>
        <v>44502</v>
      </c>
      <c r="FR54" s="2">
        <f t="shared" si="30"/>
        <v>44503</v>
      </c>
      <c r="FS54" s="2">
        <f t="shared" si="30"/>
        <v>44504</v>
      </c>
      <c r="FT54" s="2">
        <f t="shared" si="30"/>
        <v>44505</v>
      </c>
    </row>
    <row r="55" spans="2:176" x14ac:dyDescent="0.25">
      <c r="B55">
        <v>2000</v>
      </c>
      <c r="C55" t="s">
        <v>190</v>
      </c>
      <c r="D55">
        <f>$A19*$B39</f>
        <v>120</v>
      </c>
      <c r="E55">
        <f t="shared" ref="E55:BP56" si="31">$A19*$B39</f>
        <v>120</v>
      </c>
      <c r="F55">
        <f t="shared" si="31"/>
        <v>120</v>
      </c>
      <c r="G55">
        <f t="shared" si="31"/>
        <v>120</v>
      </c>
      <c r="H55">
        <f t="shared" si="31"/>
        <v>120</v>
      </c>
      <c r="I55">
        <f t="shared" si="31"/>
        <v>120</v>
      </c>
      <c r="J55">
        <f t="shared" si="31"/>
        <v>120</v>
      </c>
      <c r="K55">
        <f t="shared" si="31"/>
        <v>120</v>
      </c>
      <c r="L55">
        <f t="shared" si="31"/>
        <v>120</v>
      </c>
      <c r="M55">
        <f t="shared" si="31"/>
        <v>120</v>
      </c>
      <c r="N55">
        <f t="shared" si="31"/>
        <v>120</v>
      </c>
      <c r="O55">
        <f t="shared" si="31"/>
        <v>120</v>
      </c>
      <c r="P55">
        <f t="shared" si="31"/>
        <v>120</v>
      </c>
      <c r="Q55">
        <f t="shared" si="31"/>
        <v>120</v>
      </c>
      <c r="R55">
        <f t="shared" si="31"/>
        <v>120</v>
      </c>
      <c r="S55">
        <f t="shared" si="31"/>
        <v>120</v>
      </c>
      <c r="T55">
        <f t="shared" si="31"/>
        <v>120</v>
      </c>
      <c r="U55">
        <f t="shared" si="31"/>
        <v>120</v>
      </c>
      <c r="V55">
        <f t="shared" si="31"/>
        <v>120</v>
      </c>
      <c r="W55">
        <f t="shared" si="31"/>
        <v>120</v>
      </c>
      <c r="X55">
        <f t="shared" si="31"/>
        <v>120</v>
      </c>
      <c r="Y55">
        <f t="shared" si="31"/>
        <v>120</v>
      </c>
      <c r="Z55">
        <f t="shared" si="31"/>
        <v>120</v>
      </c>
      <c r="AA55">
        <f t="shared" si="31"/>
        <v>120</v>
      </c>
      <c r="AB55">
        <f t="shared" si="31"/>
        <v>120</v>
      </c>
      <c r="AC55">
        <f t="shared" si="31"/>
        <v>120</v>
      </c>
      <c r="AD55">
        <f t="shared" si="31"/>
        <v>120</v>
      </c>
      <c r="AE55">
        <f t="shared" si="31"/>
        <v>120</v>
      </c>
      <c r="AF55">
        <f t="shared" si="31"/>
        <v>120</v>
      </c>
      <c r="AG55">
        <f t="shared" si="31"/>
        <v>120</v>
      </c>
      <c r="AH55">
        <f t="shared" si="31"/>
        <v>120</v>
      </c>
      <c r="AI55">
        <f t="shared" si="31"/>
        <v>120</v>
      </c>
      <c r="AJ55">
        <f t="shared" si="31"/>
        <v>120</v>
      </c>
      <c r="AK55">
        <f t="shared" si="31"/>
        <v>120</v>
      </c>
      <c r="AL55">
        <f t="shared" si="31"/>
        <v>120</v>
      </c>
      <c r="AM55">
        <f t="shared" si="31"/>
        <v>120</v>
      </c>
      <c r="AN55">
        <f t="shared" si="31"/>
        <v>120</v>
      </c>
      <c r="AO55">
        <f t="shared" si="31"/>
        <v>120</v>
      </c>
      <c r="AP55">
        <f t="shared" si="31"/>
        <v>120</v>
      </c>
      <c r="AQ55">
        <f t="shared" si="31"/>
        <v>120</v>
      </c>
      <c r="AR55">
        <f t="shared" si="31"/>
        <v>120</v>
      </c>
      <c r="AS55">
        <f t="shared" si="31"/>
        <v>120</v>
      </c>
      <c r="AT55">
        <f t="shared" si="31"/>
        <v>120</v>
      </c>
      <c r="AU55">
        <f t="shared" si="31"/>
        <v>120</v>
      </c>
      <c r="AV55">
        <f t="shared" si="31"/>
        <v>120</v>
      </c>
      <c r="AW55">
        <f t="shared" si="31"/>
        <v>120</v>
      </c>
      <c r="AX55">
        <f t="shared" si="31"/>
        <v>120</v>
      </c>
      <c r="AY55">
        <f t="shared" si="31"/>
        <v>120</v>
      </c>
      <c r="AZ55">
        <f t="shared" si="31"/>
        <v>120</v>
      </c>
      <c r="BA55">
        <f t="shared" si="31"/>
        <v>120</v>
      </c>
      <c r="BB55">
        <f t="shared" si="31"/>
        <v>120</v>
      </c>
      <c r="BC55">
        <f t="shared" si="31"/>
        <v>120</v>
      </c>
      <c r="BD55">
        <f t="shared" si="31"/>
        <v>120</v>
      </c>
      <c r="BE55">
        <f t="shared" si="31"/>
        <v>120</v>
      </c>
      <c r="BF55">
        <f t="shared" si="31"/>
        <v>120</v>
      </c>
      <c r="BG55">
        <f t="shared" si="31"/>
        <v>120</v>
      </c>
      <c r="BH55">
        <f t="shared" si="31"/>
        <v>120</v>
      </c>
      <c r="BI55">
        <f t="shared" si="31"/>
        <v>120</v>
      </c>
      <c r="BJ55">
        <f t="shared" si="31"/>
        <v>120</v>
      </c>
      <c r="BK55">
        <f t="shared" si="31"/>
        <v>120</v>
      </c>
      <c r="BL55">
        <f t="shared" si="31"/>
        <v>120</v>
      </c>
      <c r="BM55">
        <f t="shared" si="31"/>
        <v>120</v>
      </c>
      <c r="BN55">
        <f t="shared" si="31"/>
        <v>120</v>
      </c>
      <c r="BO55">
        <f t="shared" si="31"/>
        <v>120</v>
      </c>
      <c r="BP55">
        <f t="shared" si="31"/>
        <v>120</v>
      </c>
      <c r="BQ55">
        <f t="shared" ref="BQ55:EB58" si="32">$A19*$B39</f>
        <v>120</v>
      </c>
      <c r="BR55">
        <f t="shared" si="32"/>
        <v>120</v>
      </c>
      <c r="BS55">
        <f t="shared" si="32"/>
        <v>120</v>
      </c>
      <c r="BT55">
        <f t="shared" si="32"/>
        <v>120</v>
      </c>
      <c r="BU55">
        <f t="shared" si="32"/>
        <v>120</v>
      </c>
      <c r="BV55">
        <f t="shared" si="32"/>
        <v>120</v>
      </c>
      <c r="BW55">
        <f t="shared" si="32"/>
        <v>120</v>
      </c>
      <c r="BX55">
        <f t="shared" si="32"/>
        <v>120</v>
      </c>
      <c r="BY55">
        <f t="shared" si="32"/>
        <v>120</v>
      </c>
      <c r="BZ55">
        <f t="shared" si="32"/>
        <v>120</v>
      </c>
      <c r="CA55">
        <f t="shared" si="32"/>
        <v>120</v>
      </c>
      <c r="CB55">
        <f t="shared" si="32"/>
        <v>120</v>
      </c>
      <c r="CC55">
        <f t="shared" si="32"/>
        <v>120</v>
      </c>
      <c r="CD55">
        <f t="shared" si="32"/>
        <v>120</v>
      </c>
      <c r="CE55">
        <f t="shared" si="32"/>
        <v>120</v>
      </c>
      <c r="CF55">
        <f t="shared" si="32"/>
        <v>120</v>
      </c>
      <c r="CG55">
        <f t="shared" si="32"/>
        <v>120</v>
      </c>
      <c r="CH55">
        <f t="shared" si="32"/>
        <v>120</v>
      </c>
      <c r="CI55">
        <f t="shared" si="32"/>
        <v>120</v>
      </c>
      <c r="CJ55">
        <f t="shared" si="32"/>
        <v>120</v>
      </c>
      <c r="CK55">
        <f t="shared" si="32"/>
        <v>120</v>
      </c>
      <c r="CL55">
        <f t="shared" si="32"/>
        <v>120</v>
      </c>
      <c r="CM55">
        <f t="shared" si="32"/>
        <v>120</v>
      </c>
      <c r="CN55">
        <f t="shared" si="32"/>
        <v>120</v>
      </c>
      <c r="CO55">
        <f t="shared" si="32"/>
        <v>120</v>
      </c>
      <c r="CP55">
        <f t="shared" si="32"/>
        <v>120</v>
      </c>
      <c r="CQ55">
        <f t="shared" si="32"/>
        <v>120</v>
      </c>
      <c r="CR55">
        <f t="shared" si="32"/>
        <v>120</v>
      </c>
      <c r="CS55">
        <f t="shared" si="32"/>
        <v>120</v>
      </c>
      <c r="CT55">
        <f t="shared" si="32"/>
        <v>120</v>
      </c>
      <c r="CU55">
        <f t="shared" si="32"/>
        <v>120</v>
      </c>
      <c r="CV55">
        <f t="shared" si="32"/>
        <v>120</v>
      </c>
      <c r="CW55">
        <f t="shared" si="32"/>
        <v>120</v>
      </c>
      <c r="CX55">
        <f t="shared" si="32"/>
        <v>120</v>
      </c>
      <c r="CY55">
        <f t="shared" si="32"/>
        <v>120</v>
      </c>
      <c r="CZ55">
        <f t="shared" si="32"/>
        <v>120</v>
      </c>
      <c r="DA55">
        <f t="shared" si="32"/>
        <v>120</v>
      </c>
      <c r="DB55">
        <f t="shared" si="32"/>
        <v>120</v>
      </c>
      <c r="DC55">
        <f t="shared" si="32"/>
        <v>120</v>
      </c>
      <c r="DD55">
        <f t="shared" si="32"/>
        <v>120</v>
      </c>
      <c r="DE55">
        <f t="shared" si="32"/>
        <v>120</v>
      </c>
      <c r="DF55">
        <f t="shared" si="32"/>
        <v>120</v>
      </c>
      <c r="DG55">
        <f t="shared" si="32"/>
        <v>120</v>
      </c>
      <c r="DH55">
        <f t="shared" si="32"/>
        <v>120</v>
      </c>
      <c r="DI55">
        <f t="shared" si="32"/>
        <v>120</v>
      </c>
      <c r="DJ55">
        <f t="shared" si="32"/>
        <v>120</v>
      </c>
      <c r="DK55">
        <f t="shared" si="32"/>
        <v>120</v>
      </c>
      <c r="DL55">
        <f t="shared" si="32"/>
        <v>120</v>
      </c>
      <c r="DM55">
        <f t="shared" si="32"/>
        <v>120</v>
      </c>
      <c r="DN55">
        <f t="shared" si="32"/>
        <v>120</v>
      </c>
      <c r="DO55">
        <f t="shared" si="32"/>
        <v>120</v>
      </c>
      <c r="DP55">
        <f t="shared" si="32"/>
        <v>120</v>
      </c>
      <c r="DQ55">
        <f t="shared" si="32"/>
        <v>120</v>
      </c>
      <c r="DR55">
        <f t="shared" si="32"/>
        <v>120</v>
      </c>
      <c r="DS55">
        <f t="shared" si="32"/>
        <v>120</v>
      </c>
      <c r="DT55">
        <f t="shared" si="32"/>
        <v>120</v>
      </c>
      <c r="DU55">
        <f t="shared" si="32"/>
        <v>120</v>
      </c>
      <c r="DV55">
        <f t="shared" si="32"/>
        <v>120</v>
      </c>
      <c r="DW55">
        <f t="shared" si="32"/>
        <v>120</v>
      </c>
      <c r="DX55">
        <f t="shared" si="32"/>
        <v>120</v>
      </c>
      <c r="DY55">
        <f t="shared" si="32"/>
        <v>120</v>
      </c>
      <c r="DZ55">
        <f t="shared" si="32"/>
        <v>120</v>
      </c>
      <c r="EA55">
        <f t="shared" si="32"/>
        <v>120</v>
      </c>
      <c r="EB55">
        <f t="shared" si="32"/>
        <v>120</v>
      </c>
      <c r="EC55">
        <f t="shared" ref="EC55:FT57" si="33">$A19*$B39</f>
        <v>120</v>
      </c>
      <c r="ED55">
        <f t="shared" si="33"/>
        <v>120</v>
      </c>
      <c r="EE55">
        <f t="shared" si="33"/>
        <v>120</v>
      </c>
      <c r="EF55">
        <f t="shared" si="33"/>
        <v>120</v>
      </c>
      <c r="EG55">
        <f t="shared" si="33"/>
        <v>120</v>
      </c>
      <c r="EH55">
        <f t="shared" si="33"/>
        <v>120</v>
      </c>
      <c r="EI55">
        <f t="shared" si="33"/>
        <v>120</v>
      </c>
      <c r="EJ55">
        <f t="shared" si="33"/>
        <v>120</v>
      </c>
      <c r="EK55">
        <f t="shared" si="33"/>
        <v>120</v>
      </c>
      <c r="EL55">
        <f t="shared" si="33"/>
        <v>120</v>
      </c>
      <c r="EM55">
        <f t="shared" si="33"/>
        <v>120</v>
      </c>
      <c r="EN55">
        <f t="shared" si="33"/>
        <v>120</v>
      </c>
      <c r="EO55">
        <f t="shared" si="33"/>
        <v>120</v>
      </c>
      <c r="EP55">
        <f t="shared" si="33"/>
        <v>120</v>
      </c>
      <c r="EQ55">
        <f t="shared" si="33"/>
        <v>120</v>
      </c>
      <c r="ER55">
        <f t="shared" si="33"/>
        <v>120</v>
      </c>
      <c r="ES55">
        <f t="shared" si="33"/>
        <v>120</v>
      </c>
      <c r="ET55">
        <f t="shared" si="33"/>
        <v>120</v>
      </c>
      <c r="EU55">
        <f t="shared" si="33"/>
        <v>120</v>
      </c>
      <c r="EV55">
        <f t="shared" si="33"/>
        <v>120</v>
      </c>
      <c r="EW55">
        <f t="shared" si="33"/>
        <v>120</v>
      </c>
      <c r="EX55">
        <f t="shared" si="33"/>
        <v>120</v>
      </c>
      <c r="EY55">
        <f t="shared" si="33"/>
        <v>120</v>
      </c>
      <c r="EZ55">
        <f t="shared" si="33"/>
        <v>120</v>
      </c>
      <c r="FA55">
        <f t="shared" si="33"/>
        <v>120</v>
      </c>
      <c r="FB55">
        <f t="shared" si="33"/>
        <v>120</v>
      </c>
      <c r="FC55">
        <f t="shared" si="33"/>
        <v>120</v>
      </c>
      <c r="FD55">
        <f t="shared" si="33"/>
        <v>120</v>
      </c>
      <c r="FE55">
        <f t="shared" si="33"/>
        <v>120</v>
      </c>
      <c r="FF55">
        <f t="shared" si="33"/>
        <v>120</v>
      </c>
      <c r="FG55">
        <f t="shared" si="33"/>
        <v>120</v>
      </c>
      <c r="FH55">
        <f t="shared" si="33"/>
        <v>120</v>
      </c>
      <c r="FI55">
        <f t="shared" si="33"/>
        <v>120</v>
      </c>
      <c r="FJ55">
        <f t="shared" si="33"/>
        <v>120</v>
      </c>
      <c r="FK55">
        <f t="shared" si="33"/>
        <v>120</v>
      </c>
      <c r="FL55">
        <f t="shared" si="33"/>
        <v>120</v>
      </c>
      <c r="FM55">
        <f t="shared" si="33"/>
        <v>120</v>
      </c>
      <c r="FN55">
        <f t="shared" si="33"/>
        <v>120</v>
      </c>
      <c r="FO55">
        <f t="shared" si="33"/>
        <v>120</v>
      </c>
      <c r="FP55">
        <f t="shared" si="33"/>
        <v>120</v>
      </c>
      <c r="FQ55">
        <f t="shared" si="33"/>
        <v>120</v>
      </c>
      <c r="FR55">
        <f t="shared" si="33"/>
        <v>120</v>
      </c>
      <c r="FS55">
        <f t="shared" si="33"/>
        <v>120</v>
      </c>
      <c r="FT55">
        <f t="shared" si="33"/>
        <v>120</v>
      </c>
    </row>
    <row r="56" spans="2:176" x14ac:dyDescent="0.25">
      <c r="B56">
        <v>1000</v>
      </c>
      <c r="C56" t="s">
        <v>49</v>
      </c>
      <c r="D56">
        <f t="shared" ref="D56:S59" si="34">$A20*$B40</f>
        <v>70</v>
      </c>
      <c r="E56">
        <f t="shared" si="34"/>
        <v>70</v>
      </c>
      <c r="F56">
        <f t="shared" si="34"/>
        <v>70</v>
      </c>
      <c r="G56">
        <f t="shared" si="34"/>
        <v>70</v>
      </c>
      <c r="H56">
        <f t="shared" si="34"/>
        <v>70</v>
      </c>
      <c r="I56">
        <f t="shared" si="34"/>
        <v>70</v>
      </c>
      <c r="J56">
        <f t="shared" si="34"/>
        <v>70</v>
      </c>
      <c r="K56">
        <f t="shared" si="34"/>
        <v>70</v>
      </c>
      <c r="L56">
        <f t="shared" si="34"/>
        <v>70</v>
      </c>
      <c r="M56">
        <f t="shared" si="34"/>
        <v>70</v>
      </c>
      <c r="N56">
        <f t="shared" si="34"/>
        <v>70</v>
      </c>
      <c r="O56">
        <f t="shared" si="34"/>
        <v>70</v>
      </c>
      <c r="P56">
        <f t="shared" si="34"/>
        <v>70</v>
      </c>
      <c r="Q56">
        <f t="shared" si="34"/>
        <v>70</v>
      </c>
      <c r="R56">
        <f t="shared" si="34"/>
        <v>70</v>
      </c>
      <c r="S56">
        <f t="shared" si="34"/>
        <v>70</v>
      </c>
      <c r="T56">
        <f t="shared" si="31"/>
        <v>70</v>
      </c>
      <c r="U56">
        <f t="shared" si="31"/>
        <v>70</v>
      </c>
      <c r="V56">
        <f t="shared" si="31"/>
        <v>70</v>
      </c>
      <c r="W56">
        <f t="shared" si="31"/>
        <v>70</v>
      </c>
      <c r="X56">
        <f t="shared" si="31"/>
        <v>70</v>
      </c>
      <c r="Y56">
        <f t="shared" si="31"/>
        <v>70</v>
      </c>
      <c r="Z56">
        <f t="shared" si="31"/>
        <v>70</v>
      </c>
      <c r="AA56">
        <f t="shared" si="31"/>
        <v>70</v>
      </c>
      <c r="AB56">
        <f t="shared" si="31"/>
        <v>70</v>
      </c>
      <c r="AC56">
        <f t="shared" si="31"/>
        <v>70</v>
      </c>
      <c r="AD56">
        <f t="shared" si="31"/>
        <v>70</v>
      </c>
      <c r="AE56">
        <f t="shared" si="31"/>
        <v>70</v>
      </c>
      <c r="AF56">
        <f t="shared" si="31"/>
        <v>70</v>
      </c>
      <c r="AG56">
        <f t="shared" si="31"/>
        <v>70</v>
      </c>
      <c r="AH56">
        <f t="shared" si="31"/>
        <v>70</v>
      </c>
      <c r="AI56">
        <f t="shared" si="31"/>
        <v>70</v>
      </c>
      <c r="AJ56">
        <f t="shared" si="31"/>
        <v>70</v>
      </c>
      <c r="AK56">
        <f t="shared" si="31"/>
        <v>70</v>
      </c>
      <c r="AL56">
        <f t="shared" si="31"/>
        <v>70</v>
      </c>
      <c r="AM56">
        <f t="shared" si="31"/>
        <v>70</v>
      </c>
      <c r="AN56">
        <f t="shared" si="31"/>
        <v>70</v>
      </c>
      <c r="AO56">
        <f t="shared" si="31"/>
        <v>70</v>
      </c>
      <c r="AP56">
        <f t="shared" si="31"/>
        <v>70</v>
      </c>
      <c r="AQ56">
        <f t="shared" si="31"/>
        <v>70</v>
      </c>
      <c r="AR56">
        <f t="shared" si="31"/>
        <v>70</v>
      </c>
      <c r="AS56">
        <f t="shared" si="31"/>
        <v>70</v>
      </c>
      <c r="AT56">
        <f t="shared" si="31"/>
        <v>70</v>
      </c>
      <c r="AU56">
        <f t="shared" si="31"/>
        <v>70</v>
      </c>
      <c r="AV56">
        <f t="shared" si="31"/>
        <v>70</v>
      </c>
      <c r="AW56">
        <f t="shared" si="31"/>
        <v>70</v>
      </c>
      <c r="AX56">
        <f t="shared" si="31"/>
        <v>70</v>
      </c>
      <c r="AY56">
        <f t="shared" si="31"/>
        <v>70</v>
      </c>
      <c r="AZ56">
        <f t="shared" si="31"/>
        <v>70</v>
      </c>
      <c r="BA56">
        <f t="shared" si="31"/>
        <v>70</v>
      </c>
      <c r="BB56">
        <f t="shared" si="31"/>
        <v>70</v>
      </c>
      <c r="BC56">
        <f t="shared" si="31"/>
        <v>70</v>
      </c>
      <c r="BD56">
        <f t="shared" si="31"/>
        <v>70</v>
      </c>
      <c r="BE56">
        <f t="shared" si="31"/>
        <v>70</v>
      </c>
      <c r="BF56">
        <f t="shared" si="31"/>
        <v>70</v>
      </c>
      <c r="BG56">
        <f t="shared" si="31"/>
        <v>70</v>
      </c>
      <c r="BH56">
        <f t="shared" si="31"/>
        <v>70</v>
      </c>
      <c r="BI56">
        <f t="shared" si="31"/>
        <v>70</v>
      </c>
      <c r="BJ56">
        <f t="shared" si="31"/>
        <v>70</v>
      </c>
      <c r="BK56">
        <f t="shared" si="31"/>
        <v>70</v>
      </c>
      <c r="BL56">
        <f t="shared" si="31"/>
        <v>70</v>
      </c>
      <c r="BM56">
        <f t="shared" si="31"/>
        <v>70</v>
      </c>
      <c r="BN56">
        <f t="shared" si="31"/>
        <v>70</v>
      </c>
      <c r="BO56">
        <f t="shared" si="31"/>
        <v>70</v>
      </c>
      <c r="BP56">
        <f t="shared" si="31"/>
        <v>70</v>
      </c>
      <c r="BQ56">
        <f t="shared" si="32"/>
        <v>70</v>
      </c>
      <c r="BR56">
        <f t="shared" si="32"/>
        <v>70</v>
      </c>
      <c r="BS56">
        <f t="shared" si="32"/>
        <v>70</v>
      </c>
      <c r="BT56">
        <f t="shared" si="32"/>
        <v>70</v>
      </c>
      <c r="BU56">
        <f t="shared" si="32"/>
        <v>70</v>
      </c>
      <c r="BV56">
        <f t="shared" si="32"/>
        <v>70</v>
      </c>
      <c r="BW56">
        <f t="shared" si="32"/>
        <v>70</v>
      </c>
      <c r="BX56">
        <f t="shared" si="32"/>
        <v>70</v>
      </c>
      <c r="BY56">
        <f t="shared" si="32"/>
        <v>70</v>
      </c>
      <c r="BZ56">
        <f t="shared" si="32"/>
        <v>70</v>
      </c>
      <c r="CA56">
        <f t="shared" si="32"/>
        <v>70</v>
      </c>
      <c r="CB56">
        <f t="shared" si="32"/>
        <v>70</v>
      </c>
      <c r="CC56">
        <f t="shared" si="32"/>
        <v>70</v>
      </c>
      <c r="CD56">
        <f t="shared" si="32"/>
        <v>70</v>
      </c>
      <c r="CE56">
        <f t="shared" si="32"/>
        <v>70</v>
      </c>
      <c r="CF56">
        <f t="shared" si="32"/>
        <v>70</v>
      </c>
      <c r="CG56">
        <f t="shared" si="32"/>
        <v>70</v>
      </c>
      <c r="CH56">
        <f t="shared" si="32"/>
        <v>70</v>
      </c>
      <c r="CI56">
        <f t="shared" si="32"/>
        <v>70</v>
      </c>
      <c r="CJ56">
        <f t="shared" si="32"/>
        <v>70</v>
      </c>
      <c r="CK56">
        <f t="shared" si="32"/>
        <v>70</v>
      </c>
      <c r="CL56">
        <f t="shared" si="32"/>
        <v>70</v>
      </c>
      <c r="CM56">
        <f t="shared" si="32"/>
        <v>70</v>
      </c>
      <c r="CN56">
        <f t="shared" si="32"/>
        <v>70</v>
      </c>
      <c r="CO56">
        <f t="shared" si="32"/>
        <v>70</v>
      </c>
      <c r="CP56">
        <f t="shared" si="32"/>
        <v>70</v>
      </c>
      <c r="CQ56">
        <f t="shared" si="32"/>
        <v>70</v>
      </c>
      <c r="CR56">
        <f t="shared" si="32"/>
        <v>70</v>
      </c>
      <c r="CS56">
        <f t="shared" si="32"/>
        <v>70</v>
      </c>
      <c r="CT56">
        <f t="shared" si="32"/>
        <v>70</v>
      </c>
      <c r="CU56">
        <f t="shared" si="32"/>
        <v>70</v>
      </c>
      <c r="CV56">
        <f t="shared" si="32"/>
        <v>70</v>
      </c>
      <c r="CW56">
        <f t="shared" si="32"/>
        <v>70</v>
      </c>
      <c r="CX56">
        <f t="shared" si="32"/>
        <v>70</v>
      </c>
      <c r="CY56">
        <f t="shared" si="32"/>
        <v>70</v>
      </c>
      <c r="CZ56">
        <f t="shared" si="32"/>
        <v>70</v>
      </c>
      <c r="DA56">
        <f t="shared" si="32"/>
        <v>70</v>
      </c>
      <c r="DB56">
        <f t="shared" si="32"/>
        <v>70</v>
      </c>
      <c r="DC56">
        <f t="shared" si="32"/>
        <v>70</v>
      </c>
      <c r="DD56">
        <f t="shared" si="32"/>
        <v>70</v>
      </c>
      <c r="DE56">
        <f t="shared" si="32"/>
        <v>70</v>
      </c>
      <c r="DF56">
        <f t="shared" si="32"/>
        <v>70</v>
      </c>
      <c r="DG56">
        <f t="shared" si="32"/>
        <v>70</v>
      </c>
      <c r="DH56">
        <f t="shared" si="32"/>
        <v>70</v>
      </c>
      <c r="DI56">
        <f t="shared" si="32"/>
        <v>70</v>
      </c>
      <c r="DJ56">
        <f t="shared" si="32"/>
        <v>70</v>
      </c>
      <c r="DK56">
        <f t="shared" si="32"/>
        <v>70</v>
      </c>
      <c r="DL56">
        <f t="shared" si="32"/>
        <v>70</v>
      </c>
      <c r="DM56">
        <f t="shared" si="32"/>
        <v>70</v>
      </c>
      <c r="DN56">
        <f t="shared" si="32"/>
        <v>70</v>
      </c>
      <c r="DO56">
        <f t="shared" si="32"/>
        <v>70</v>
      </c>
      <c r="DP56">
        <f t="shared" si="32"/>
        <v>70</v>
      </c>
      <c r="DQ56">
        <f t="shared" si="32"/>
        <v>70</v>
      </c>
      <c r="DR56">
        <f t="shared" si="32"/>
        <v>70</v>
      </c>
      <c r="DS56">
        <f t="shared" si="32"/>
        <v>70</v>
      </c>
      <c r="DT56">
        <f t="shared" si="32"/>
        <v>70</v>
      </c>
      <c r="DU56">
        <f t="shared" si="32"/>
        <v>70</v>
      </c>
      <c r="DV56">
        <f t="shared" si="32"/>
        <v>70</v>
      </c>
      <c r="DW56">
        <f t="shared" si="32"/>
        <v>70</v>
      </c>
      <c r="DX56">
        <f t="shared" si="32"/>
        <v>70</v>
      </c>
      <c r="DY56">
        <f t="shared" si="32"/>
        <v>70</v>
      </c>
      <c r="DZ56">
        <f t="shared" si="32"/>
        <v>70</v>
      </c>
      <c r="EA56">
        <f t="shared" si="32"/>
        <v>70</v>
      </c>
      <c r="EB56">
        <f t="shared" si="32"/>
        <v>70</v>
      </c>
      <c r="EC56">
        <f t="shared" si="33"/>
        <v>70</v>
      </c>
      <c r="ED56">
        <f t="shared" si="33"/>
        <v>70</v>
      </c>
      <c r="EE56">
        <f t="shared" si="33"/>
        <v>70</v>
      </c>
      <c r="EF56">
        <f t="shared" si="33"/>
        <v>70</v>
      </c>
      <c r="EG56">
        <f t="shared" si="33"/>
        <v>70</v>
      </c>
      <c r="EH56">
        <f t="shared" si="33"/>
        <v>70</v>
      </c>
      <c r="EI56">
        <f t="shared" si="33"/>
        <v>70</v>
      </c>
      <c r="EJ56">
        <f t="shared" si="33"/>
        <v>70</v>
      </c>
      <c r="EK56">
        <f t="shared" si="33"/>
        <v>70</v>
      </c>
      <c r="EL56">
        <f t="shared" si="33"/>
        <v>70</v>
      </c>
      <c r="EM56">
        <f t="shared" si="33"/>
        <v>70</v>
      </c>
      <c r="EN56">
        <f t="shared" si="33"/>
        <v>70</v>
      </c>
      <c r="EO56">
        <f t="shared" si="33"/>
        <v>70</v>
      </c>
      <c r="EP56">
        <f t="shared" si="33"/>
        <v>70</v>
      </c>
      <c r="EQ56">
        <f t="shared" si="33"/>
        <v>70</v>
      </c>
      <c r="ER56">
        <f t="shared" si="33"/>
        <v>70</v>
      </c>
      <c r="ES56">
        <f t="shared" si="33"/>
        <v>70</v>
      </c>
      <c r="ET56">
        <f t="shared" si="33"/>
        <v>70</v>
      </c>
      <c r="EU56">
        <f t="shared" si="33"/>
        <v>70</v>
      </c>
      <c r="EV56">
        <f t="shared" si="33"/>
        <v>70</v>
      </c>
      <c r="EW56">
        <f t="shared" si="33"/>
        <v>70</v>
      </c>
      <c r="EX56">
        <f t="shared" si="33"/>
        <v>70</v>
      </c>
      <c r="EY56">
        <f t="shared" si="33"/>
        <v>70</v>
      </c>
      <c r="EZ56">
        <f t="shared" si="33"/>
        <v>70</v>
      </c>
      <c r="FA56">
        <f t="shared" si="33"/>
        <v>70</v>
      </c>
      <c r="FB56">
        <f t="shared" si="33"/>
        <v>70</v>
      </c>
      <c r="FC56">
        <f t="shared" si="33"/>
        <v>70</v>
      </c>
      <c r="FD56">
        <f t="shared" si="33"/>
        <v>70</v>
      </c>
      <c r="FE56">
        <f t="shared" si="33"/>
        <v>70</v>
      </c>
      <c r="FF56">
        <f t="shared" si="33"/>
        <v>70</v>
      </c>
      <c r="FG56">
        <f t="shared" si="33"/>
        <v>70</v>
      </c>
      <c r="FH56">
        <f t="shared" si="33"/>
        <v>70</v>
      </c>
      <c r="FI56">
        <f t="shared" si="33"/>
        <v>70</v>
      </c>
      <c r="FJ56">
        <f t="shared" si="33"/>
        <v>70</v>
      </c>
      <c r="FK56">
        <f t="shared" si="33"/>
        <v>70</v>
      </c>
      <c r="FL56">
        <f t="shared" si="33"/>
        <v>70</v>
      </c>
      <c r="FM56">
        <f t="shared" si="33"/>
        <v>70</v>
      </c>
      <c r="FN56">
        <f t="shared" si="33"/>
        <v>70</v>
      </c>
      <c r="FO56">
        <f t="shared" si="33"/>
        <v>70</v>
      </c>
      <c r="FP56">
        <f t="shared" si="33"/>
        <v>70</v>
      </c>
      <c r="FQ56">
        <f t="shared" si="33"/>
        <v>70</v>
      </c>
      <c r="FR56">
        <f t="shared" si="33"/>
        <v>70</v>
      </c>
      <c r="FS56">
        <f t="shared" si="33"/>
        <v>70</v>
      </c>
      <c r="FT56">
        <f t="shared" si="33"/>
        <v>70</v>
      </c>
    </row>
    <row r="57" spans="2:176" x14ac:dyDescent="0.25">
      <c r="B57">
        <v>2000</v>
      </c>
      <c r="C57" t="s">
        <v>83</v>
      </c>
      <c r="D57">
        <f t="shared" si="34"/>
        <v>200</v>
      </c>
      <c r="E57">
        <f t="shared" ref="E57:BP59" si="35">$A21*$B41</f>
        <v>200</v>
      </c>
      <c r="F57">
        <f t="shared" si="35"/>
        <v>200</v>
      </c>
      <c r="G57">
        <f t="shared" si="35"/>
        <v>200</v>
      </c>
      <c r="H57">
        <f t="shared" si="35"/>
        <v>200</v>
      </c>
      <c r="I57">
        <f t="shared" si="35"/>
        <v>200</v>
      </c>
      <c r="J57">
        <f t="shared" si="35"/>
        <v>200</v>
      </c>
      <c r="K57">
        <f t="shared" si="35"/>
        <v>200</v>
      </c>
      <c r="L57">
        <f t="shared" si="35"/>
        <v>200</v>
      </c>
      <c r="M57">
        <f t="shared" si="35"/>
        <v>200</v>
      </c>
      <c r="N57">
        <f t="shared" si="35"/>
        <v>200</v>
      </c>
      <c r="O57">
        <f t="shared" si="35"/>
        <v>200</v>
      </c>
      <c r="P57">
        <f t="shared" si="35"/>
        <v>200</v>
      </c>
      <c r="Q57">
        <f t="shared" si="35"/>
        <v>200</v>
      </c>
      <c r="R57">
        <f t="shared" si="35"/>
        <v>200</v>
      </c>
      <c r="S57">
        <f t="shared" si="35"/>
        <v>200</v>
      </c>
      <c r="T57">
        <f t="shared" si="35"/>
        <v>200</v>
      </c>
      <c r="U57">
        <f t="shared" si="35"/>
        <v>200</v>
      </c>
      <c r="V57">
        <f t="shared" si="35"/>
        <v>200</v>
      </c>
      <c r="W57">
        <f t="shared" si="35"/>
        <v>200</v>
      </c>
      <c r="X57">
        <f t="shared" si="35"/>
        <v>200</v>
      </c>
      <c r="Y57">
        <f t="shared" si="35"/>
        <v>200</v>
      </c>
      <c r="Z57">
        <f t="shared" si="35"/>
        <v>200</v>
      </c>
      <c r="AA57">
        <f t="shared" si="35"/>
        <v>200</v>
      </c>
      <c r="AB57">
        <f t="shared" si="35"/>
        <v>200</v>
      </c>
      <c r="AC57">
        <f t="shared" si="35"/>
        <v>200</v>
      </c>
      <c r="AD57">
        <f t="shared" si="35"/>
        <v>200</v>
      </c>
      <c r="AE57">
        <f t="shared" si="35"/>
        <v>200</v>
      </c>
      <c r="AF57">
        <f t="shared" si="35"/>
        <v>200</v>
      </c>
      <c r="AG57">
        <f t="shared" si="35"/>
        <v>200</v>
      </c>
      <c r="AH57">
        <f t="shared" si="35"/>
        <v>200</v>
      </c>
      <c r="AI57">
        <f t="shared" si="35"/>
        <v>200</v>
      </c>
      <c r="AJ57">
        <f t="shared" si="35"/>
        <v>200</v>
      </c>
      <c r="AK57">
        <f t="shared" si="35"/>
        <v>200</v>
      </c>
      <c r="AL57">
        <f t="shared" si="35"/>
        <v>200</v>
      </c>
      <c r="AM57">
        <f t="shared" si="35"/>
        <v>200</v>
      </c>
      <c r="AN57">
        <f t="shared" si="35"/>
        <v>200</v>
      </c>
      <c r="AO57">
        <f t="shared" si="35"/>
        <v>200</v>
      </c>
      <c r="AP57">
        <f t="shared" si="35"/>
        <v>200</v>
      </c>
      <c r="AQ57">
        <f t="shared" si="35"/>
        <v>200</v>
      </c>
      <c r="AR57">
        <f t="shared" si="35"/>
        <v>200</v>
      </c>
      <c r="AS57">
        <f t="shared" si="35"/>
        <v>200</v>
      </c>
      <c r="AT57">
        <f t="shared" si="35"/>
        <v>200</v>
      </c>
      <c r="AU57">
        <f t="shared" si="35"/>
        <v>200</v>
      </c>
      <c r="AV57">
        <f t="shared" si="35"/>
        <v>200</v>
      </c>
      <c r="AW57">
        <f t="shared" si="35"/>
        <v>200</v>
      </c>
      <c r="AX57">
        <f t="shared" si="35"/>
        <v>200</v>
      </c>
      <c r="AY57">
        <f t="shared" si="35"/>
        <v>200</v>
      </c>
      <c r="AZ57">
        <f t="shared" si="35"/>
        <v>200</v>
      </c>
      <c r="BA57">
        <f t="shared" si="35"/>
        <v>200</v>
      </c>
      <c r="BB57">
        <f t="shared" si="35"/>
        <v>200</v>
      </c>
      <c r="BC57">
        <f t="shared" si="35"/>
        <v>200</v>
      </c>
      <c r="BD57">
        <f t="shared" si="35"/>
        <v>200</v>
      </c>
      <c r="BE57">
        <f t="shared" si="35"/>
        <v>200</v>
      </c>
      <c r="BF57">
        <f t="shared" si="35"/>
        <v>200</v>
      </c>
      <c r="BG57">
        <f t="shared" si="35"/>
        <v>200</v>
      </c>
      <c r="BH57">
        <f t="shared" si="35"/>
        <v>200</v>
      </c>
      <c r="BI57">
        <f t="shared" si="35"/>
        <v>200</v>
      </c>
      <c r="BJ57">
        <f t="shared" si="35"/>
        <v>200</v>
      </c>
      <c r="BK57">
        <f t="shared" si="35"/>
        <v>200</v>
      </c>
      <c r="BL57">
        <f t="shared" si="35"/>
        <v>200</v>
      </c>
      <c r="BM57">
        <f t="shared" si="35"/>
        <v>200</v>
      </c>
      <c r="BN57">
        <f t="shared" si="35"/>
        <v>200</v>
      </c>
      <c r="BO57">
        <f t="shared" si="35"/>
        <v>200</v>
      </c>
      <c r="BP57">
        <f t="shared" si="35"/>
        <v>200</v>
      </c>
      <c r="BQ57">
        <f t="shared" si="32"/>
        <v>200</v>
      </c>
      <c r="BR57">
        <f t="shared" si="32"/>
        <v>200</v>
      </c>
      <c r="BS57">
        <f t="shared" si="32"/>
        <v>200</v>
      </c>
      <c r="BT57">
        <f t="shared" si="32"/>
        <v>200</v>
      </c>
      <c r="BU57">
        <f t="shared" si="32"/>
        <v>200</v>
      </c>
      <c r="BV57">
        <f t="shared" si="32"/>
        <v>200</v>
      </c>
      <c r="BW57">
        <f t="shared" si="32"/>
        <v>200</v>
      </c>
      <c r="BX57">
        <f t="shared" si="32"/>
        <v>200</v>
      </c>
      <c r="BY57">
        <f t="shared" si="32"/>
        <v>200</v>
      </c>
      <c r="BZ57">
        <f t="shared" si="32"/>
        <v>200</v>
      </c>
      <c r="CA57">
        <f t="shared" si="32"/>
        <v>200</v>
      </c>
      <c r="CB57">
        <f t="shared" si="32"/>
        <v>200</v>
      </c>
      <c r="CC57">
        <f t="shared" si="32"/>
        <v>200</v>
      </c>
      <c r="CD57">
        <f t="shared" si="32"/>
        <v>200</v>
      </c>
      <c r="CE57">
        <f t="shared" si="32"/>
        <v>200</v>
      </c>
      <c r="CF57">
        <f t="shared" si="32"/>
        <v>200</v>
      </c>
      <c r="CG57">
        <f t="shared" si="32"/>
        <v>200</v>
      </c>
      <c r="CH57">
        <f t="shared" si="32"/>
        <v>200</v>
      </c>
      <c r="CI57">
        <f t="shared" si="32"/>
        <v>200</v>
      </c>
      <c r="CJ57">
        <f t="shared" si="32"/>
        <v>200</v>
      </c>
      <c r="CK57">
        <f t="shared" si="32"/>
        <v>200</v>
      </c>
      <c r="CL57">
        <f t="shared" si="32"/>
        <v>200</v>
      </c>
      <c r="CM57">
        <f t="shared" si="32"/>
        <v>200</v>
      </c>
      <c r="CN57">
        <f t="shared" si="32"/>
        <v>200</v>
      </c>
      <c r="CO57">
        <f t="shared" si="32"/>
        <v>200</v>
      </c>
      <c r="CP57">
        <f t="shared" si="32"/>
        <v>200</v>
      </c>
      <c r="CQ57">
        <f t="shared" si="32"/>
        <v>200</v>
      </c>
      <c r="CR57">
        <f t="shared" si="32"/>
        <v>200</v>
      </c>
      <c r="CS57">
        <f t="shared" si="32"/>
        <v>200</v>
      </c>
      <c r="CT57">
        <f t="shared" si="32"/>
        <v>200</v>
      </c>
      <c r="CU57">
        <f t="shared" si="32"/>
        <v>200</v>
      </c>
      <c r="CV57">
        <f t="shared" si="32"/>
        <v>200</v>
      </c>
      <c r="CW57">
        <f t="shared" si="32"/>
        <v>200</v>
      </c>
      <c r="CX57">
        <f t="shared" si="32"/>
        <v>200</v>
      </c>
      <c r="CY57">
        <f t="shared" si="32"/>
        <v>200</v>
      </c>
      <c r="CZ57">
        <f t="shared" si="32"/>
        <v>200</v>
      </c>
      <c r="DA57">
        <f t="shared" si="32"/>
        <v>200</v>
      </c>
      <c r="DB57">
        <f t="shared" si="32"/>
        <v>200</v>
      </c>
      <c r="DC57">
        <f t="shared" si="32"/>
        <v>200</v>
      </c>
      <c r="DD57">
        <f t="shared" si="32"/>
        <v>200</v>
      </c>
      <c r="DE57">
        <f t="shared" si="32"/>
        <v>200</v>
      </c>
      <c r="DF57">
        <f t="shared" si="32"/>
        <v>200</v>
      </c>
      <c r="DG57">
        <f t="shared" si="32"/>
        <v>200</v>
      </c>
      <c r="DH57">
        <f t="shared" si="32"/>
        <v>200</v>
      </c>
      <c r="DI57">
        <f t="shared" si="32"/>
        <v>200</v>
      </c>
      <c r="DJ57">
        <f t="shared" si="32"/>
        <v>200</v>
      </c>
      <c r="DK57">
        <f t="shared" si="32"/>
        <v>200</v>
      </c>
      <c r="DL57">
        <f t="shared" si="32"/>
        <v>200</v>
      </c>
      <c r="DM57">
        <f t="shared" si="32"/>
        <v>200</v>
      </c>
      <c r="DN57">
        <f t="shared" si="32"/>
        <v>200</v>
      </c>
      <c r="DO57">
        <f t="shared" si="32"/>
        <v>200</v>
      </c>
      <c r="DP57">
        <f t="shared" si="32"/>
        <v>200</v>
      </c>
      <c r="DQ57">
        <f t="shared" si="32"/>
        <v>200</v>
      </c>
      <c r="DR57">
        <f t="shared" si="32"/>
        <v>200</v>
      </c>
      <c r="DS57">
        <f t="shared" si="32"/>
        <v>200</v>
      </c>
      <c r="DT57">
        <f t="shared" si="32"/>
        <v>200</v>
      </c>
      <c r="DU57">
        <f t="shared" si="32"/>
        <v>200</v>
      </c>
      <c r="DV57">
        <f t="shared" si="32"/>
        <v>200</v>
      </c>
      <c r="DW57">
        <f t="shared" si="32"/>
        <v>200</v>
      </c>
      <c r="DX57">
        <f t="shared" si="32"/>
        <v>200</v>
      </c>
      <c r="DY57">
        <f t="shared" si="32"/>
        <v>200</v>
      </c>
      <c r="DZ57">
        <f t="shared" si="32"/>
        <v>200</v>
      </c>
      <c r="EA57">
        <f t="shared" si="32"/>
        <v>200</v>
      </c>
      <c r="EB57">
        <f t="shared" si="32"/>
        <v>200</v>
      </c>
      <c r="EC57">
        <f t="shared" si="33"/>
        <v>200</v>
      </c>
      <c r="ED57">
        <f t="shared" si="33"/>
        <v>200</v>
      </c>
      <c r="EE57">
        <f t="shared" si="33"/>
        <v>200</v>
      </c>
      <c r="EF57">
        <f t="shared" si="33"/>
        <v>200</v>
      </c>
      <c r="EG57">
        <f t="shared" si="33"/>
        <v>200</v>
      </c>
      <c r="EH57">
        <f t="shared" si="33"/>
        <v>200</v>
      </c>
      <c r="EI57">
        <f t="shared" si="33"/>
        <v>200</v>
      </c>
      <c r="EJ57">
        <f t="shared" si="33"/>
        <v>200</v>
      </c>
      <c r="EK57">
        <f t="shared" si="33"/>
        <v>200</v>
      </c>
      <c r="EL57">
        <f t="shared" si="33"/>
        <v>200</v>
      </c>
      <c r="EM57">
        <f t="shared" si="33"/>
        <v>200</v>
      </c>
      <c r="EN57">
        <f t="shared" si="33"/>
        <v>200</v>
      </c>
      <c r="EO57">
        <f t="shared" si="33"/>
        <v>200</v>
      </c>
      <c r="EP57">
        <f t="shared" si="33"/>
        <v>200</v>
      </c>
      <c r="EQ57">
        <f t="shared" si="33"/>
        <v>200</v>
      </c>
      <c r="ER57">
        <f t="shared" si="33"/>
        <v>200</v>
      </c>
      <c r="ES57">
        <f t="shared" si="33"/>
        <v>200</v>
      </c>
      <c r="ET57">
        <f t="shared" si="33"/>
        <v>200</v>
      </c>
      <c r="EU57">
        <f t="shared" si="33"/>
        <v>200</v>
      </c>
      <c r="EV57">
        <f t="shared" si="33"/>
        <v>200</v>
      </c>
      <c r="EW57">
        <f t="shared" si="33"/>
        <v>200</v>
      </c>
      <c r="EX57">
        <f t="shared" si="33"/>
        <v>200</v>
      </c>
      <c r="EY57">
        <f t="shared" si="33"/>
        <v>200</v>
      </c>
      <c r="EZ57">
        <f t="shared" si="33"/>
        <v>200</v>
      </c>
      <c r="FA57">
        <f t="shared" si="33"/>
        <v>200</v>
      </c>
      <c r="FB57">
        <f t="shared" si="33"/>
        <v>200</v>
      </c>
      <c r="FC57">
        <f t="shared" si="33"/>
        <v>200</v>
      </c>
      <c r="FD57">
        <f t="shared" si="33"/>
        <v>200</v>
      </c>
      <c r="FE57">
        <f t="shared" si="33"/>
        <v>200</v>
      </c>
      <c r="FF57">
        <f t="shared" si="33"/>
        <v>200</v>
      </c>
      <c r="FG57">
        <f t="shared" si="33"/>
        <v>200</v>
      </c>
      <c r="FH57">
        <f t="shared" si="33"/>
        <v>200</v>
      </c>
      <c r="FI57">
        <f t="shared" si="33"/>
        <v>200</v>
      </c>
      <c r="FJ57">
        <f t="shared" si="33"/>
        <v>200</v>
      </c>
      <c r="FK57">
        <f t="shared" si="33"/>
        <v>200</v>
      </c>
      <c r="FL57">
        <f t="shared" si="33"/>
        <v>200</v>
      </c>
      <c r="FM57">
        <f t="shared" si="33"/>
        <v>200</v>
      </c>
      <c r="FN57">
        <f t="shared" si="33"/>
        <v>200</v>
      </c>
      <c r="FO57">
        <f t="shared" si="33"/>
        <v>200</v>
      </c>
      <c r="FP57">
        <f t="shared" si="33"/>
        <v>200</v>
      </c>
      <c r="FQ57">
        <f t="shared" si="33"/>
        <v>200</v>
      </c>
      <c r="FR57">
        <f t="shared" si="33"/>
        <v>200</v>
      </c>
      <c r="FS57">
        <f t="shared" si="33"/>
        <v>200</v>
      </c>
      <c r="FT57">
        <f t="shared" si="33"/>
        <v>200</v>
      </c>
    </row>
    <row r="58" spans="2:176" x14ac:dyDescent="0.25">
      <c r="B58">
        <v>215</v>
      </c>
      <c r="C58" t="s">
        <v>13</v>
      </c>
      <c r="D58">
        <f t="shared" si="34"/>
        <v>25.8</v>
      </c>
      <c r="E58">
        <f t="shared" si="35"/>
        <v>25.8</v>
      </c>
      <c r="F58">
        <f t="shared" si="35"/>
        <v>25.8</v>
      </c>
      <c r="G58">
        <f t="shared" si="35"/>
        <v>25.8</v>
      </c>
      <c r="H58">
        <f t="shared" si="35"/>
        <v>25.8</v>
      </c>
      <c r="I58">
        <f t="shared" si="35"/>
        <v>25.8</v>
      </c>
      <c r="J58">
        <f t="shared" si="35"/>
        <v>25.8</v>
      </c>
      <c r="K58">
        <f t="shared" si="35"/>
        <v>25.8</v>
      </c>
      <c r="L58">
        <f t="shared" si="35"/>
        <v>25.8</v>
      </c>
      <c r="M58">
        <f t="shared" si="35"/>
        <v>25.8</v>
      </c>
      <c r="N58">
        <f t="shared" si="35"/>
        <v>25.8</v>
      </c>
      <c r="O58">
        <f t="shared" si="35"/>
        <v>25.8</v>
      </c>
      <c r="P58">
        <f t="shared" si="35"/>
        <v>25.8</v>
      </c>
      <c r="Q58">
        <f t="shared" si="35"/>
        <v>25.8</v>
      </c>
      <c r="R58">
        <f t="shared" si="35"/>
        <v>25.8</v>
      </c>
      <c r="S58">
        <f t="shared" si="35"/>
        <v>25.8</v>
      </c>
      <c r="T58">
        <f t="shared" si="35"/>
        <v>25.8</v>
      </c>
      <c r="U58">
        <f t="shared" si="35"/>
        <v>25.8</v>
      </c>
      <c r="V58">
        <f t="shared" si="35"/>
        <v>25.8</v>
      </c>
      <c r="W58">
        <f t="shared" si="35"/>
        <v>25.8</v>
      </c>
      <c r="X58">
        <f t="shared" si="35"/>
        <v>25.8</v>
      </c>
      <c r="Y58">
        <f t="shared" si="35"/>
        <v>25.8</v>
      </c>
      <c r="Z58">
        <f t="shared" si="35"/>
        <v>25.8</v>
      </c>
      <c r="AA58">
        <f t="shared" si="35"/>
        <v>25.8</v>
      </c>
      <c r="AB58">
        <f t="shared" si="35"/>
        <v>25.8</v>
      </c>
      <c r="AC58">
        <f t="shared" si="35"/>
        <v>25.8</v>
      </c>
      <c r="AD58">
        <f t="shared" si="35"/>
        <v>25.8</v>
      </c>
      <c r="AE58">
        <f t="shared" si="35"/>
        <v>25.8</v>
      </c>
      <c r="AF58">
        <f t="shared" si="35"/>
        <v>25.8</v>
      </c>
      <c r="AG58">
        <f t="shared" si="35"/>
        <v>25.8</v>
      </c>
      <c r="AH58">
        <f t="shared" si="35"/>
        <v>25.8</v>
      </c>
      <c r="AI58">
        <f t="shared" si="35"/>
        <v>25.8</v>
      </c>
      <c r="AJ58">
        <f t="shared" si="35"/>
        <v>25.8</v>
      </c>
      <c r="AK58">
        <f t="shared" si="35"/>
        <v>25.8</v>
      </c>
      <c r="AL58">
        <f t="shared" si="35"/>
        <v>25.8</v>
      </c>
      <c r="AM58">
        <f t="shared" si="35"/>
        <v>25.8</v>
      </c>
      <c r="AN58">
        <f t="shared" si="35"/>
        <v>25.8</v>
      </c>
      <c r="AO58">
        <f t="shared" si="35"/>
        <v>25.8</v>
      </c>
      <c r="AP58">
        <f t="shared" si="35"/>
        <v>25.8</v>
      </c>
      <c r="AQ58">
        <f t="shared" si="35"/>
        <v>25.8</v>
      </c>
      <c r="AR58">
        <f t="shared" si="35"/>
        <v>25.8</v>
      </c>
      <c r="AS58">
        <f t="shared" si="35"/>
        <v>25.8</v>
      </c>
      <c r="AT58">
        <f t="shared" si="35"/>
        <v>25.8</v>
      </c>
      <c r="AU58">
        <f t="shared" si="35"/>
        <v>25.8</v>
      </c>
      <c r="AV58">
        <f t="shared" si="35"/>
        <v>25.8</v>
      </c>
      <c r="AW58">
        <f t="shared" si="35"/>
        <v>25.8</v>
      </c>
      <c r="AX58">
        <f t="shared" si="35"/>
        <v>25.8</v>
      </c>
      <c r="AY58">
        <f t="shared" si="35"/>
        <v>25.8</v>
      </c>
      <c r="AZ58">
        <f t="shared" si="35"/>
        <v>25.8</v>
      </c>
      <c r="BA58">
        <f t="shared" si="35"/>
        <v>25.8</v>
      </c>
      <c r="BB58">
        <f t="shared" si="35"/>
        <v>25.8</v>
      </c>
      <c r="BC58">
        <f t="shared" si="35"/>
        <v>25.8</v>
      </c>
      <c r="BD58">
        <f t="shared" si="35"/>
        <v>25.8</v>
      </c>
      <c r="BE58">
        <f t="shared" si="35"/>
        <v>25.8</v>
      </c>
      <c r="BF58">
        <f t="shared" si="35"/>
        <v>25.8</v>
      </c>
      <c r="BG58">
        <f t="shared" si="35"/>
        <v>25.8</v>
      </c>
      <c r="BH58">
        <f t="shared" si="35"/>
        <v>25.8</v>
      </c>
      <c r="BI58">
        <f t="shared" si="35"/>
        <v>25.8</v>
      </c>
      <c r="BJ58">
        <f t="shared" si="35"/>
        <v>25.8</v>
      </c>
      <c r="BK58">
        <f t="shared" si="35"/>
        <v>25.8</v>
      </c>
      <c r="BL58">
        <f t="shared" si="35"/>
        <v>25.8</v>
      </c>
      <c r="BM58">
        <f t="shared" si="35"/>
        <v>25.8</v>
      </c>
      <c r="BN58">
        <f t="shared" si="35"/>
        <v>25.8</v>
      </c>
      <c r="BO58">
        <f t="shared" si="35"/>
        <v>25.8</v>
      </c>
      <c r="BP58">
        <f t="shared" si="35"/>
        <v>25.8</v>
      </c>
      <c r="BQ58">
        <f t="shared" si="32"/>
        <v>25.8</v>
      </c>
      <c r="BR58">
        <f t="shared" si="32"/>
        <v>25.8</v>
      </c>
      <c r="BS58">
        <f t="shared" si="32"/>
        <v>25.8</v>
      </c>
      <c r="BT58">
        <f t="shared" si="32"/>
        <v>25.8</v>
      </c>
      <c r="BU58">
        <f t="shared" si="32"/>
        <v>25.8</v>
      </c>
      <c r="BV58">
        <f t="shared" si="32"/>
        <v>25.8</v>
      </c>
      <c r="BW58">
        <f t="shared" si="32"/>
        <v>25.8</v>
      </c>
      <c r="BX58">
        <f t="shared" si="32"/>
        <v>25.8</v>
      </c>
      <c r="BY58">
        <f t="shared" si="32"/>
        <v>25.8</v>
      </c>
      <c r="BZ58">
        <f t="shared" si="32"/>
        <v>25.8</v>
      </c>
      <c r="CA58">
        <f t="shared" si="32"/>
        <v>25.8</v>
      </c>
      <c r="CB58">
        <f t="shared" si="32"/>
        <v>25.8</v>
      </c>
      <c r="CC58">
        <f t="shared" si="32"/>
        <v>25.8</v>
      </c>
      <c r="CD58">
        <f t="shared" si="32"/>
        <v>25.8</v>
      </c>
      <c r="CE58">
        <f t="shared" si="32"/>
        <v>25.8</v>
      </c>
      <c r="CF58">
        <f t="shared" si="32"/>
        <v>25.8</v>
      </c>
      <c r="CG58">
        <f t="shared" si="32"/>
        <v>25.8</v>
      </c>
      <c r="CH58">
        <f t="shared" si="32"/>
        <v>25.8</v>
      </c>
      <c r="CI58">
        <f t="shared" si="32"/>
        <v>25.8</v>
      </c>
      <c r="CJ58">
        <f t="shared" si="32"/>
        <v>25.8</v>
      </c>
      <c r="CK58">
        <f t="shared" si="32"/>
        <v>25.8</v>
      </c>
      <c r="CL58">
        <f t="shared" si="32"/>
        <v>25.8</v>
      </c>
      <c r="CM58">
        <f t="shared" si="32"/>
        <v>25.8</v>
      </c>
      <c r="CN58">
        <f t="shared" si="32"/>
        <v>25.8</v>
      </c>
      <c r="CO58">
        <f t="shared" si="32"/>
        <v>25.8</v>
      </c>
      <c r="CP58">
        <f t="shared" si="32"/>
        <v>25.8</v>
      </c>
      <c r="CQ58">
        <f t="shared" si="32"/>
        <v>25.8</v>
      </c>
      <c r="CR58">
        <f t="shared" si="32"/>
        <v>25.8</v>
      </c>
      <c r="CS58">
        <f t="shared" si="32"/>
        <v>25.8</v>
      </c>
      <c r="CT58">
        <f t="shared" si="32"/>
        <v>25.8</v>
      </c>
      <c r="CU58">
        <f t="shared" si="32"/>
        <v>25.8</v>
      </c>
      <c r="CV58">
        <f t="shared" si="32"/>
        <v>25.8</v>
      </c>
      <c r="CW58">
        <f t="shared" si="32"/>
        <v>25.8</v>
      </c>
      <c r="CX58">
        <f t="shared" si="32"/>
        <v>25.8</v>
      </c>
      <c r="CY58">
        <f t="shared" si="32"/>
        <v>25.8</v>
      </c>
      <c r="CZ58">
        <f t="shared" si="32"/>
        <v>25.8</v>
      </c>
      <c r="DA58">
        <f t="shared" si="32"/>
        <v>25.8</v>
      </c>
      <c r="DB58">
        <f t="shared" si="32"/>
        <v>25.8</v>
      </c>
      <c r="DC58">
        <f t="shared" si="32"/>
        <v>25.8</v>
      </c>
      <c r="DD58">
        <f t="shared" si="32"/>
        <v>25.8</v>
      </c>
      <c r="DE58">
        <f t="shared" si="32"/>
        <v>25.8</v>
      </c>
      <c r="DF58">
        <f t="shared" si="32"/>
        <v>25.8</v>
      </c>
      <c r="DG58">
        <f t="shared" si="32"/>
        <v>25.8</v>
      </c>
      <c r="DH58">
        <f t="shared" si="32"/>
        <v>25.8</v>
      </c>
      <c r="DI58">
        <f t="shared" si="32"/>
        <v>25.8</v>
      </c>
      <c r="DJ58">
        <f t="shared" si="32"/>
        <v>25.8</v>
      </c>
      <c r="DK58">
        <f t="shared" si="32"/>
        <v>25.8</v>
      </c>
      <c r="DL58">
        <f t="shared" si="32"/>
        <v>25.8</v>
      </c>
      <c r="DM58">
        <f t="shared" si="32"/>
        <v>25.8</v>
      </c>
      <c r="DN58">
        <f t="shared" si="32"/>
        <v>25.8</v>
      </c>
      <c r="DO58">
        <f t="shared" si="32"/>
        <v>25.8</v>
      </c>
      <c r="DP58">
        <f t="shared" si="32"/>
        <v>25.8</v>
      </c>
      <c r="DQ58">
        <f t="shared" si="32"/>
        <v>25.8</v>
      </c>
      <c r="DR58">
        <f t="shared" si="32"/>
        <v>25.8</v>
      </c>
      <c r="DS58">
        <f t="shared" si="32"/>
        <v>25.8</v>
      </c>
      <c r="DT58">
        <f t="shared" si="32"/>
        <v>25.8</v>
      </c>
      <c r="DU58">
        <f t="shared" si="32"/>
        <v>25.8</v>
      </c>
      <c r="DV58">
        <f t="shared" si="32"/>
        <v>25.8</v>
      </c>
      <c r="DW58">
        <f t="shared" si="32"/>
        <v>25.8</v>
      </c>
      <c r="DX58">
        <f t="shared" si="32"/>
        <v>25.8</v>
      </c>
      <c r="DY58">
        <f t="shared" si="32"/>
        <v>25.8</v>
      </c>
      <c r="DZ58">
        <f t="shared" si="32"/>
        <v>25.8</v>
      </c>
      <c r="EA58">
        <f t="shared" si="32"/>
        <v>25.8</v>
      </c>
      <c r="EB58">
        <f t="shared" ref="EB58:FT59" si="36">$A22*$B42</f>
        <v>25.8</v>
      </c>
      <c r="EC58">
        <f t="shared" si="36"/>
        <v>25.8</v>
      </c>
      <c r="ED58">
        <f t="shared" si="36"/>
        <v>25.8</v>
      </c>
      <c r="EE58">
        <f t="shared" si="36"/>
        <v>25.8</v>
      </c>
      <c r="EF58">
        <f t="shared" si="36"/>
        <v>25.8</v>
      </c>
      <c r="EG58">
        <f t="shared" si="36"/>
        <v>25.8</v>
      </c>
      <c r="EH58">
        <f t="shared" si="36"/>
        <v>25.8</v>
      </c>
      <c r="EI58">
        <f t="shared" si="36"/>
        <v>25.8</v>
      </c>
      <c r="EJ58">
        <f t="shared" si="36"/>
        <v>25.8</v>
      </c>
      <c r="EK58">
        <f t="shared" si="36"/>
        <v>25.8</v>
      </c>
      <c r="EL58">
        <f t="shared" si="36"/>
        <v>25.8</v>
      </c>
      <c r="EM58">
        <f t="shared" si="36"/>
        <v>25.8</v>
      </c>
      <c r="EN58">
        <f t="shared" si="36"/>
        <v>25.8</v>
      </c>
      <c r="EO58">
        <f t="shared" si="36"/>
        <v>25.8</v>
      </c>
      <c r="EP58">
        <f t="shared" si="36"/>
        <v>25.8</v>
      </c>
      <c r="EQ58">
        <f t="shared" si="36"/>
        <v>25.8</v>
      </c>
      <c r="ER58">
        <f t="shared" si="36"/>
        <v>25.8</v>
      </c>
      <c r="ES58">
        <f t="shared" si="36"/>
        <v>25.8</v>
      </c>
      <c r="ET58">
        <f t="shared" si="36"/>
        <v>25.8</v>
      </c>
      <c r="EU58">
        <f t="shared" si="36"/>
        <v>25.8</v>
      </c>
      <c r="EV58">
        <f t="shared" si="36"/>
        <v>25.8</v>
      </c>
      <c r="EW58">
        <f t="shared" si="36"/>
        <v>25.8</v>
      </c>
      <c r="EX58">
        <f t="shared" si="36"/>
        <v>25.8</v>
      </c>
      <c r="EY58">
        <f t="shared" si="36"/>
        <v>25.8</v>
      </c>
      <c r="EZ58">
        <f t="shared" si="36"/>
        <v>25.8</v>
      </c>
      <c r="FA58">
        <f t="shared" si="36"/>
        <v>25.8</v>
      </c>
      <c r="FB58">
        <f t="shared" si="36"/>
        <v>25.8</v>
      </c>
      <c r="FC58">
        <f t="shared" si="36"/>
        <v>25.8</v>
      </c>
      <c r="FD58">
        <f t="shared" si="36"/>
        <v>25.8</v>
      </c>
      <c r="FE58">
        <f t="shared" si="36"/>
        <v>25.8</v>
      </c>
      <c r="FF58">
        <f t="shared" si="36"/>
        <v>25.8</v>
      </c>
      <c r="FG58">
        <f t="shared" si="36"/>
        <v>25.8</v>
      </c>
      <c r="FH58">
        <f t="shared" si="36"/>
        <v>25.8</v>
      </c>
      <c r="FI58">
        <f t="shared" si="36"/>
        <v>25.8</v>
      </c>
      <c r="FJ58">
        <f t="shared" si="36"/>
        <v>25.8</v>
      </c>
      <c r="FK58">
        <f t="shared" si="36"/>
        <v>25.8</v>
      </c>
      <c r="FL58">
        <f t="shared" si="36"/>
        <v>25.8</v>
      </c>
      <c r="FM58">
        <f t="shared" si="36"/>
        <v>25.8</v>
      </c>
      <c r="FN58">
        <f t="shared" si="36"/>
        <v>25.8</v>
      </c>
      <c r="FO58">
        <f t="shared" si="36"/>
        <v>25.8</v>
      </c>
      <c r="FP58">
        <f t="shared" si="36"/>
        <v>25.8</v>
      </c>
      <c r="FQ58">
        <f t="shared" si="36"/>
        <v>25.8</v>
      </c>
      <c r="FR58">
        <f t="shared" si="36"/>
        <v>25.8</v>
      </c>
      <c r="FS58">
        <f t="shared" si="36"/>
        <v>25.8</v>
      </c>
      <c r="FT58">
        <f t="shared" si="36"/>
        <v>25.8</v>
      </c>
    </row>
    <row r="59" spans="2:176" x14ac:dyDescent="0.25">
      <c r="B59">
        <v>150</v>
      </c>
      <c r="C59" t="s">
        <v>193</v>
      </c>
      <c r="D59">
        <f t="shared" si="34"/>
        <v>85.499999999999986</v>
      </c>
      <c r="E59">
        <f t="shared" si="35"/>
        <v>85.499999999999986</v>
      </c>
      <c r="F59">
        <f t="shared" si="35"/>
        <v>85.499999999999986</v>
      </c>
      <c r="G59">
        <f t="shared" si="35"/>
        <v>85.499999999999986</v>
      </c>
      <c r="H59">
        <f t="shared" si="35"/>
        <v>85.499999999999986</v>
      </c>
      <c r="I59">
        <f t="shared" si="35"/>
        <v>85.499999999999986</v>
      </c>
      <c r="J59">
        <f t="shared" si="35"/>
        <v>85.499999999999986</v>
      </c>
      <c r="K59">
        <f t="shared" si="35"/>
        <v>85.499999999999986</v>
      </c>
      <c r="L59">
        <f t="shared" si="35"/>
        <v>85.499999999999986</v>
      </c>
      <c r="M59">
        <f t="shared" si="35"/>
        <v>85.499999999999986</v>
      </c>
      <c r="N59">
        <f t="shared" si="35"/>
        <v>85.499999999999986</v>
      </c>
      <c r="O59">
        <f t="shared" si="35"/>
        <v>85.499999999999986</v>
      </c>
      <c r="P59">
        <f t="shared" si="35"/>
        <v>85.499999999999986</v>
      </c>
      <c r="Q59">
        <f t="shared" si="35"/>
        <v>85.499999999999986</v>
      </c>
      <c r="R59">
        <f t="shared" si="35"/>
        <v>85.499999999999986</v>
      </c>
      <c r="S59">
        <f t="shared" si="35"/>
        <v>85.499999999999986</v>
      </c>
      <c r="T59">
        <f t="shared" si="35"/>
        <v>85.499999999999986</v>
      </c>
      <c r="U59">
        <f t="shared" si="35"/>
        <v>85.499999999999986</v>
      </c>
      <c r="V59">
        <f t="shared" si="35"/>
        <v>85.499999999999986</v>
      </c>
      <c r="W59">
        <f t="shared" si="35"/>
        <v>85.499999999999986</v>
      </c>
      <c r="X59">
        <f t="shared" si="35"/>
        <v>85.499999999999986</v>
      </c>
      <c r="Y59">
        <f t="shared" si="35"/>
        <v>85.499999999999986</v>
      </c>
      <c r="Z59">
        <f t="shared" si="35"/>
        <v>85.499999999999986</v>
      </c>
      <c r="AA59">
        <f t="shared" si="35"/>
        <v>85.499999999999986</v>
      </c>
      <c r="AB59">
        <f t="shared" si="35"/>
        <v>85.499999999999986</v>
      </c>
      <c r="AC59">
        <f t="shared" si="35"/>
        <v>85.499999999999986</v>
      </c>
      <c r="AD59">
        <f t="shared" si="35"/>
        <v>85.499999999999986</v>
      </c>
      <c r="AE59">
        <f t="shared" si="35"/>
        <v>85.499999999999986</v>
      </c>
      <c r="AF59">
        <f t="shared" si="35"/>
        <v>85.499999999999986</v>
      </c>
      <c r="AG59">
        <f t="shared" si="35"/>
        <v>85.499999999999986</v>
      </c>
      <c r="AH59">
        <f t="shared" si="35"/>
        <v>85.499999999999986</v>
      </c>
      <c r="AI59">
        <f t="shared" si="35"/>
        <v>85.499999999999986</v>
      </c>
      <c r="AJ59">
        <f t="shared" si="35"/>
        <v>85.499999999999986</v>
      </c>
      <c r="AK59">
        <f t="shared" si="35"/>
        <v>85.499999999999986</v>
      </c>
      <c r="AL59">
        <f t="shared" si="35"/>
        <v>85.499999999999986</v>
      </c>
      <c r="AM59">
        <f t="shared" si="35"/>
        <v>85.499999999999986</v>
      </c>
      <c r="AN59">
        <f t="shared" si="35"/>
        <v>85.499999999999986</v>
      </c>
      <c r="AO59">
        <f t="shared" si="35"/>
        <v>85.499999999999986</v>
      </c>
      <c r="AP59">
        <f t="shared" si="35"/>
        <v>85.499999999999986</v>
      </c>
      <c r="AQ59">
        <f t="shared" si="35"/>
        <v>85.499999999999986</v>
      </c>
      <c r="AR59">
        <f t="shared" si="35"/>
        <v>85.499999999999986</v>
      </c>
      <c r="AS59">
        <f t="shared" si="35"/>
        <v>85.499999999999986</v>
      </c>
      <c r="AT59">
        <f t="shared" si="35"/>
        <v>85.499999999999986</v>
      </c>
      <c r="AU59">
        <f t="shared" si="35"/>
        <v>85.499999999999986</v>
      </c>
      <c r="AV59">
        <f t="shared" si="35"/>
        <v>85.499999999999986</v>
      </c>
      <c r="AW59">
        <f t="shared" si="35"/>
        <v>85.499999999999986</v>
      </c>
      <c r="AX59">
        <f t="shared" si="35"/>
        <v>85.499999999999986</v>
      </c>
      <c r="AY59">
        <f t="shared" si="35"/>
        <v>85.499999999999986</v>
      </c>
      <c r="AZ59">
        <f t="shared" si="35"/>
        <v>85.499999999999986</v>
      </c>
      <c r="BA59">
        <f t="shared" si="35"/>
        <v>85.499999999999986</v>
      </c>
      <c r="BB59">
        <f t="shared" si="35"/>
        <v>85.499999999999986</v>
      </c>
      <c r="BC59">
        <f t="shared" si="35"/>
        <v>85.499999999999986</v>
      </c>
      <c r="BD59">
        <f t="shared" si="35"/>
        <v>85.499999999999986</v>
      </c>
      <c r="BE59">
        <f t="shared" si="35"/>
        <v>85.499999999999986</v>
      </c>
      <c r="BF59">
        <f t="shared" si="35"/>
        <v>85.499999999999986</v>
      </c>
      <c r="BG59">
        <f t="shared" si="35"/>
        <v>85.499999999999986</v>
      </c>
      <c r="BH59">
        <f t="shared" si="35"/>
        <v>85.499999999999986</v>
      </c>
      <c r="BI59">
        <f t="shared" si="35"/>
        <v>85.499999999999986</v>
      </c>
      <c r="BJ59">
        <f t="shared" si="35"/>
        <v>85.499999999999986</v>
      </c>
      <c r="BK59">
        <f t="shared" si="35"/>
        <v>85.499999999999986</v>
      </c>
      <c r="BL59">
        <f t="shared" si="35"/>
        <v>85.499999999999986</v>
      </c>
      <c r="BM59">
        <f t="shared" si="35"/>
        <v>85.499999999999986</v>
      </c>
      <c r="BN59">
        <f t="shared" si="35"/>
        <v>85.499999999999986</v>
      </c>
      <c r="BO59">
        <f t="shared" si="35"/>
        <v>85.499999999999986</v>
      </c>
      <c r="BP59">
        <f t="shared" si="35"/>
        <v>85.499999999999986</v>
      </c>
      <c r="BQ59">
        <f t="shared" ref="BQ59:EB59" si="37">$A23*$B43</f>
        <v>85.499999999999986</v>
      </c>
      <c r="BR59">
        <f t="shared" si="37"/>
        <v>85.499999999999986</v>
      </c>
      <c r="BS59">
        <f t="shared" si="37"/>
        <v>85.499999999999986</v>
      </c>
      <c r="BT59">
        <f t="shared" si="37"/>
        <v>85.499999999999986</v>
      </c>
      <c r="BU59">
        <f t="shared" si="37"/>
        <v>85.499999999999986</v>
      </c>
      <c r="BV59">
        <f t="shared" si="37"/>
        <v>85.499999999999986</v>
      </c>
      <c r="BW59">
        <f t="shared" si="37"/>
        <v>85.499999999999986</v>
      </c>
      <c r="BX59">
        <f t="shared" si="37"/>
        <v>85.499999999999986</v>
      </c>
      <c r="BY59">
        <f t="shared" si="37"/>
        <v>85.499999999999986</v>
      </c>
      <c r="BZ59">
        <f t="shared" si="37"/>
        <v>85.499999999999986</v>
      </c>
      <c r="CA59">
        <f t="shared" si="37"/>
        <v>85.499999999999986</v>
      </c>
      <c r="CB59">
        <f t="shared" si="37"/>
        <v>85.499999999999986</v>
      </c>
      <c r="CC59">
        <f t="shared" si="37"/>
        <v>85.499999999999986</v>
      </c>
      <c r="CD59">
        <f t="shared" si="37"/>
        <v>85.499999999999986</v>
      </c>
      <c r="CE59">
        <f t="shared" si="37"/>
        <v>85.499999999999986</v>
      </c>
      <c r="CF59">
        <f t="shared" si="37"/>
        <v>85.499999999999986</v>
      </c>
      <c r="CG59">
        <f t="shared" si="37"/>
        <v>85.499999999999986</v>
      </c>
      <c r="CH59">
        <f t="shared" si="37"/>
        <v>85.499999999999986</v>
      </c>
      <c r="CI59">
        <f t="shared" si="37"/>
        <v>85.499999999999986</v>
      </c>
      <c r="CJ59">
        <f t="shared" si="37"/>
        <v>85.499999999999986</v>
      </c>
      <c r="CK59">
        <f t="shared" si="37"/>
        <v>85.499999999999986</v>
      </c>
      <c r="CL59">
        <f t="shared" si="37"/>
        <v>85.499999999999986</v>
      </c>
      <c r="CM59">
        <f t="shared" si="37"/>
        <v>85.499999999999986</v>
      </c>
      <c r="CN59">
        <f t="shared" si="37"/>
        <v>85.499999999999986</v>
      </c>
      <c r="CO59">
        <f t="shared" si="37"/>
        <v>85.499999999999986</v>
      </c>
      <c r="CP59">
        <f t="shared" si="37"/>
        <v>85.499999999999986</v>
      </c>
      <c r="CQ59">
        <f t="shared" si="37"/>
        <v>85.499999999999986</v>
      </c>
      <c r="CR59">
        <f t="shared" si="37"/>
        <v>85.499999999999986</v>
      </c>
      <c r="CS59">
        <f t="shared" si="37"/>
        <v>85.499999999999986</v>
      </c>
      <c r="CT59">
        <f t="shared" si="37"/>
        <v>85.499999999999986</v>
      </c>
      <c r="CU59">
        <f t="shared" si="37"/>
        <v>85.499999999999986</v>
      </c>
      <c r="CV59">
        <f t="shared" si="37"/>
        <v>85.499999999999986</v>
      </c>
      <c r="CW59">
        <f t="shared" si="37"/>
        <v>85.499999999999986</v>
      </c>
      <c r="CX59">
        <f t="shared" si="37"/>
        <v>85.499999999999986</v>
      </c>
      <c r="CY59">
        <f t="shared" si="37"/>
        <v>85.499999999999986</v>
      </c>
      <c r="CZ59">
        <f t="shared" si="37"/>
        <v>85.499999999999986</v>
      </c>
      <c r="DA59">
        <f t="shared" si="37"/>
        <v>85.499999999999986</v>
      </c>
      <c r="DB59">
        <f t="shared" si="37"/>
        <v>85.499999999999986</v>
      </c>
      <c r="DC59">
        <f t="shared" si="37"/>
        <v>85.499999999999986</v>
      </c>
      <c r="DD59">
        <f t="shared" si="37"/>
        <v>85.499999999999986</v>
      </c>
      <c r="DE59">
        <f t="shared" si="37"/>
        <v>85.499999999999986</v>
      </c>
      <c r="DF59">
        <f t="shared" si="37"/>
        <v>85.499999999999986</v>
      </c>
      <c r="DG59">
        <f t="shared" si="37"/>
        <v>85.499999999999986</v>
      </c>
      <c r="DH59">
        <f t="shared" si="37"/>
        <v>85.499999999999986</v>
      </c>
      <c r="DI59">
        <f t="shared" si="37"/>
        <v>85.499999999999986</v>
      </c>
      <c r="DJ59">
        <f t="shared" si="37"/>
        <v>85.499999999999986</v>
      </c>
      <c r="DK59">
        <f t="shared" si="37"/>
        <v>85.499999999999986</v>
      </c>
      <c r="DL59">
        <f t="shared" si="37"/>
        <v>85.499999999999986</v>
      </c>
      <c r="DM59">
        <f t="shared" si="37"/>
        <v>85.499999999999986</v>
      </c>
      <c r="DN59">
        <f t="shared" si="37"/>
        <v>85.499999999999986</v>
      </c>
      <c r="DO59">
        <f t="shared" si="37"/>
        <v>85.499999999999986</v>
      </c>
      <c r="DP59">
        <f t="shared" si="37"/>
        <v>85.499999999999986</v>
      </c>
      <c r="DQ59">
        <f t="shared" si="37"/>
        <v>85.499999999999986</v>
      </c>
      <c r="DR59">
        <f t="shared" si="37"/>
        <v>85.499999999999986</v>
      </c>
      <c r="DS59">
        <f t="shared" si="37"/>
        <v>85.499999999999986</v>
      </c>
      <c r="DT59">
        <f t="shared" si="37"/>
        <v>85.499999999999986</v>
      </c>
      <c r="DU59">
        <f t="shared" si="37"/>
        <v>85.499999999999986</v>
      </c>
      <c r="DV59">
        <f t="shared" si="37"/>
        <v>85.499999999999986</v>
      </c>
      <c r="DW59">
        <f t="shared" si="37"/>
        <v>85.499999999999986</v>
      </c>
      <c r="DX59">
        <f t="shared" si="37"/>
        <v>85.499999999999986</v>
      </c>
      <c r="DY59">
        <f t="shared" si="37"/>
        <v>85.499999999999986</v>
      </c>
      <c r="DZ59">
        <f t="shared" si="37"/>
        <v>85.499999999999986</v>
      </c>
      <c r="EA59">
        <f t="shared" si="37"/>
        <v>85.499999999999986</v>
      </c>
      <c r="EB59">
        <f t="shared" si="37"/>
        <v>85.499999999999986</v>
      </c>
      <c r="EC59">
        <f t="shared" si="36"/>
        <v>85.499999999999986</v>
      </c>
      <c r="ED59">
        <f t="shared" si="36"/>
        <v>85.499999999999986</v>
      </c>
      <c r="EE59">
        <f t="shared" si="36"/>
        <v>85.499999999999986</v>
      </c>
      <c r="EF59">
        <f t="shared" si="36"/>
        <v>85.499999999999986</v>
      </c>
      <c r="EG59">
        <f t="shared" si="36"/>
        <v>85.499999999999986</v>
      </c>
      <c r="EH59">
        <f t="shared" si="36"/>
        <v>85.499999999999986</v>
      </c>
      <c r="EI59">
        <f t="shared" si="36"/>
        <v>85.499999999999986</v>
      </c>
      <c r="EJ59">
        <f t="shared" si="36"/>
        <v>85.499999999999986</v>
      </c>
      <c r="EK59">
        <f t="shared" si="36"/>
        <v>85.499999999999986</v>
      </c>
      <c r="EL59">
        <f t="shared" si="36"/>
        <v>85.499999999999986</v>
      </c>
      <c r="EM59">
        <f t="shared" si="36"/>
        <v>85.499999999999986</v>
      </c>
      <c r="EN59">
        <f t="shared" si="36"/>
        <v>85.499999999999986</v>
      </c>
      <c r="EO59">
        <f t="shared" si="36"/>
        <v>85.499999999999986</v>
      </c>
      <c r="EP59">
        <f t="shared" si="36"/>
        <v>85.499999999999986</v>
      </c>
      <c r="EQ59">
        <f t="shared" si="36"/>
        <v>85.499999999999986</v>
      </c>
      <c r="ER59">
        <f t="shared" si="36"/>
        <v>85.499999999999986</v>
      </c>
      <c r="ES59">
        <f t="shared" si="36"/>
        <v>85.499999999999986</v>
      </c>
      <c r="ET59">
        <f t="shared" si="36"/>
        <v>85.499999999999986</v>
      </c>
      <c r="EU59">
        <f t="shared" si="36"/>
        <v>85.499999999999986</v>
      </c>
      <c r="EV59">
        <f t="shared" si="36"/>
        <v>85.499999999999986</v>
      </c>
      <c r="EW59">
        <f t="shared" si="36"/>
        <v>85.499999999999986</v>
      </c>
      <c r="EX59">
        <f t="shared" si="36"/>
        <v>85.499999999999986</v>
      </c>
      <c r="EY59">
        <f t="shared" si="36"/>
        <v>85.499999999999986</v>
      </c>
      <c r="EZ59">
        <f t="shared" si="36"/>
        <v>85.499999999999986</v>
      </c>
      <c r="FA59">
        <f t="shared" si="36"/>
        <v>85.499999999999986</v>
      </c>
      <c r="FB59">
        <f t="shared" si="36"/>
        <v>85.499999999999986</v>
      </c>
      <c r="FC59">
        <f t="shared" si="36"/>
        <v>85.499999999999986</v>
      </c>
      <c r="FD59">
        <f t="shared" si="36"/>
        <v>85.499999999999986</v>
      </c>
      <c r="FE59">
        <f t="shared" si="36"/>
        <v>85.499999999999986</v>
      </c>
      <c r="FF59">
        <f t="shared" si="36"/>
        <v>85.499999999999986</v>
      </c>
      <c r="FG59">
        <f t="shared" si="36"/>
        <v>85.499999999999986</v>
      </c>
      <c r="FH59">
        <f t="shared" si="36"/>
        <v>85.499999999999986</v>
      </c>
      <c r="FI59">
        <f t="shared" si="36"/>
        <v>85.499999999999986</v>
      </c>
      <c r="FJ59">
        <f t="shared" si="36"/>
        <v>85.499999999999986</v>
      </c>
      <c r="FK59">
        <f t="shared" si="36"/>
        <v>85.499999999999986</v>
      </c>
      <c r="FL59">
        <f t="shared" si="36"/>
        <v>85.499999999999986</v>
      </c>
      <c r="FM59">
        <f t="shared" si="36"/>
        <v>85.499999999999986</v>
      </c>
      <c r="FN59">
        <f t="shared" si="36"/>
        <v>85.499999999999986</v>
      </c>
      <c r="FO59">
        <f t="shared" si="36"/>
        <v>85.499999999999986</v>
      </c>
      <c r="FP59">
        <f t="shared" si="36"/>
        <v>85.499999999999986</v>
      </c>
      <c r="FQ59">
        <f t="shared" si="36"/>
        <v>85.499999999999986</v>
      </c>
      <c r="FR59">
        <f t="shared" si="36"/>
        <v>85.499999999999986</v>
      </c>
      <c r="FS59">
        <f t="shared" si="36"/>
        <v>85.499999999999986</v>
      </c>
      <c r="FT59">
        <f t="shared" si="36"/>
        <v>85.499999999999986</v>
      </c>
    </row>
    <row r="61" spans="2:176" x14ac:dyDescent="0.25">
      <c r="C61" t="s">
        <v>190</v>
      </c>
      <c r="D61">
        <f>D39-D55</f>
        <v>-72</v>
      </c>
      <c r="E61">
        <f t="shared" ref="E61:BP62" si="38">E39-E55</f>
        <v>-72</v>
      </c>
      <c r="F61">
        <f t="shared" si="38"/>
        <v>-72</v>
      </c>
      <c r="G61">
        <f t="shared" si="38"/>
        <v>-56.000000000000007</v>
      </c>
      <c r="H61">
        <f t="shared" si="38"/>
        <v>-56.000000000000007</v>
      </c>
      <c r="I61">
        <f t="shared" si="38"/>
        <v>-56.000000000000007</v>
      </c>
      <c r="J61">
        <f t="shared" si="38"/>
        <v>-72</v>
      </c>
      <c r="K61">
        <f t="shared" si="38"/>
        <v>-56.000000000000007</v>
      </c>
      <c r="L61">
        <f t="shared" si="38"/>
        <v>-56.000000000000007</v>
      </c>
      <c r="M61">
        <f t="shared" si="38"/>
        <v>-56.000000000000007</v>
      </c>
      <c r="N61">
        <f t="shared" si="38"/>
        <v>-56.000000000000007</v>
      </c>
      <c r="O61">
        <f t="shared" si="38"/>
        <v>-56.000000000000007</v>
      </c>
      <c r="P61">
        <f t="shared" si="38"/>
        <v>-56.000000000000007</v>
      </c>
      <c r="Q61">
        <f t="shared" si="38"/>
        <v>-72</v>
      </c>
      <c r="R61">
        <f t="shared" si="38"/>
        <v>-56.000000000000007</v>
      </c>
      <c r="S61">
        <f t="shared" si="38"/>
        <v>-56.000000000000007</v>
      </c>
      <c r="T61">
        <f t="shared" si="38"/>
        <v>-56.000000000000007</v>
      </c>
      <c r="U61">
        <f t="shared" si="38"/>
        <v>-56.000000000000007</v>
      </c>
      <c r="V61">
        <f t="shared" si="38"/>
        <v>-40</v>
      </c>
      <c r="W61">
        <f t="shared" si="38"/>
        <v>-23.999999999999986</v>
      </c>
      <c r="X61">
        <f t="shared" si="38"/>
        <v>-40</v>
      </c>
      <c r="Y61">
        <f t="shared" si="38"/>
        <v>-23.999999999999986</v>
      </c>
    </row>
    <row r="62" spans="2:176" x14ac:dyDescent="0.25">
      <c r="C62" t="s">
        <v>49</v>
      </c>
      <c r="D62">
        <f t="shared" ref="D62:S65" si="39">D40-D56</f>
        <v>-30</v>
      </c>
      <c r="E62">
        <f t="shared" si="39"/>
        <v>-30</v>
      </c>
      <c r="F62">
        <f t="shared" si="39"/>
        <v>-30</v>
      </c>
      <c r="G62">
        <f t="shared" si="39"/>
        <v>-30</v>
      </c>
      <c r="H62">
        <f t="shared" si="39"/>
        <v>-30</v>
      </c>
      <c r="I62">
        <f t="shared" si="39"/>
        <v>-30</v>
      </c>
      <c r="J62">
        <f t="shared" si="39"/>
        <v>-30</v>
      </c>
      <c r="K62">
        <f t="shared" si="39"/>
        <v>-30</v>
      </c>
      <c r="L62">
        <f t="shared" si="39"/>
        <v>-30</v>
      </c>
      <c r="M62">
        <f t="shared" si="39"/>
        <v>-30</v>
      </c>
      <c r="N62">
        <f t="shared" si="39"/>
        <v>-30</v>
      </c>
      <c r="O62">
        <f t="shared" si="39"/>
        <v>-38</v>
      </c>
      <c r="P62">
        <f t="shared" si="39"/>
        <v>-38</v>
      </c>
      <c r="Q62">
        <f t="shared" si="39"/>
        <v>-30</v>
      </c>
      <c r="R62">
        <f t="shared" si="39"/>
        <v>-30</v>
      </c>
      <c r="S62">
        <f t="shared" si="39"/>
        <v>-30</v>
      </c>
      <c r="T62">
        <f t="shared" si="38"/>
        <v>-30</v>
      </c>
      <c r="U62">
        <f t="shared" si="38"/>
        <v>-30</v>
      </c>
      <c r="V62">
        <f t="shared" si="38"/>
        <v>-21.999999999999993</v>
      </c>
      <c r="W62">
        <f t="shared" si="38"/>
        <v>-14</v>
      </c>
      <c r="X62">
        <f t="shared" si="38"/>
        <v>-21.999999999999993</v>
      </c>
      <c r="Y62">
        <f t="shared" si="38"/>
        <v>-14</v>
      </c>
    </row>
    <row r="63" spans="2:176" x14ac:dyDescent="0.25">
      <c r="C63" t="s">
        <v>83</v>
      </c>
      <c r="D63">
        <f t="shared" si="39"/>
        <v>-120</v>
      </c>
      <c r="E63">
        <f t="shared" ref="E63:BP65" si="40">E41-E57</f>
        <v>-120</v>
      </c>
      <c r="F63">
        <f t="shared" si="40"/>
        <v>-120</v>
      </c>
      <c r="G63">
        <f t="shared" si="40"/>
        <v>-120</v>
      </c>
      <c r="H63">
        <f t="shared" si="40"/>
        <v>-120</v>
      </c>
      <c r="I63">
        <f t="shared" si="40"/>
        <v>-120</v>
      </c>
      <c r="J63">
        <f t="shared" si="40"/>
        <v>-120</v>
      </c>
      <c r="K63">
        <f t="shared" si="40"/>
        <v>-120</v>
      </c>
      <c r="L63">
        <f t="shared" si="40"/>
        <v>-120</v>
      </c>
      <c r="M63">
        <f t="shared" si="40"/>
        <v>-120</v>
      </c>
      <c r="N63">
        <f t="shared" si="40"/>
        <v>-120</v>
      </c>
      <c r="O63">
        <f t="shared" si="40"/>
        <v>-120</v>
      </c>
      <c r="P63">
        <f t="shared" si="40"/>
        <v>-120</v>
      </c>
      <c r="Q63">
        <f t="shared" si="40"/>
        <v>-120</v>
      </c>
      <c r="R63">
        <f t="shared" si="40"/>
        <v>-120</v>
      </c>
      <c r="S63">
        <f t="shared" si="40"/>
        <v>-120</v>
      </c>
      <c r="T63">
        <f t="shared" si="40"/>
        <v>-120</v>
      </c>
      <c r="U63">
        <f t="shared" si="40"/>
        <v>-120</v>
      </c>
      <c r="V63">
        <f t="shared" si="40"/>
        <v>-56</v>
      </c>
      <c r="W63">
        <f t="shared" si="40"/>
        <v>-23.999999999999972</v>
      </c>
      <c r="X63">
        <f t="shared" si="40"/>
        <v>-72</v>
      </c>
      <c r="Y63">
        <f t="shared" si="40"/>
        <v>-56</v>
      </c>
    </row>
    <row r="64" spans="2:176" x14ac:dyDescent="0.25">
      <c r="C64" t="s">
        <v>13</v>
      </c>
      <c r="D64">
        <f t="shared" si="39"/>
        <v>-15.48</v>
      </c>
      <c r="E64">
        <f t="shared" si="40"/>
        <v>-15.48</v>
      </c>
      <c r="F64">
        <f t="shared" si="40"/>
        <v>-15.48</v>
      </c>
      <c r="G64">
        <f t="shared" si="40"/>
        <v>-15.48</v>
      </c>
      <c r="H64">
        <f t="shared" si="40"/>
        <v>-15.48</v>
      </c>
      <c r="I64">
        <f t="shared" si="40"/>
        <v>-15.48</v>
      </c>
      <c r="J64">
        <f t="shared" si="40"/>
        <v>-15.48</v>
      </c>
      <c r="K64">
        <f t="shared" si="40"/>
        <v>-15.48</v>
      </c>
      <c r="L64">
        <f t="shared" si="40"/>
        <v>-15.48</v>
      </c>
      <c r="M64">
        <f t="shared" si="40"/>
        <v>-15.48</v>
      </c>
      <c r="N64">
        <f t="shared" si="40"/>
        <v>-15.48</v>
      </c>
      <c r="O64">
        <f t="shared" si="40"/>
        <v>-15.48</v>
      </c>
      <c r="P64">
        <f t="shared" si="40"/>
        <v>-15.48</v>
      </c>
      <c r="Q64">
        <f t="shared" si="40"/>
        <v>-15.48</v>
      </c>
      <c r="R64">
        <f t="shared" si="40"/>
        <v>-15.48</v>
      </c>
      <c r="S64">
        <f t="shared" si="40"/>
        <v>-15.48</v>
      </c>
      <c r="T64">
        <f t="shared" si="40"/>
        <v>-15.48</v>
      </c>
      <c r="U64">
        <f t="shared" si="40"/>
        <v>-15.48</v>
      </c>
      <c r="V64">
        <f t="shared" si="40"/>
        <v>-3.4400000000000013</v>
      </c>
      <c r="W64">
        <f t="shared" si="40"/>
        <v>1.7199999999999989</v>
      </c>
      <c r="X64">
        <f t="shared" si="40"/>
        <v>-1.7199999999999989</v>
      </c>
      <c r="Y64">
        <f t="shared" si="40"/>
        <v>0</v>
      </c>
    </row>
    <row r="65" spans="3:25" x14ac:dyDescent="0.25">
      <c r="C65" t="s">
        <v>193</v>
      </c>
      <c r="D65">
        <f t="shared" si="39"/>
        <v>-50.699999999999982</v>
      </c>
      <c r="E65">
        <f t="shared" si="40"/>
        <v>-50.699999999999982</v>
      </c>
      <c r="F65">
        <f t="shared" si="40"/>
        <v>-50.699999999999982</v>
      </c>
      <c r="G65">
        <f t="shared" si="40"/>
        <v>-55.499999999999986</v>
      </c>
      <c r="H65">
        <f t="shared" si="40"/>
        <v>-55.499999999999986</v>
      </c>
      <c r="I65">
        <f t="shared" si="40"/>
        <v>-51.899999999999977</v>
      </c>
      <c r="J65">
        <f t="shared" si="40"/>
        <v>-55.499999999999986</v>
      </c>
      <c r="K65">
        <f t="shared" si="40"/>
        <v>-55.499999999999986</v>
      </c>
      <c r="L65">
        <f t="shared" si="40"/>
        <v>-55.499999999999986</v>
      </c>
      <c r="M65">
        <f t="shared" si="40"/>
        <v>-55.499999999999986</v>
      </c>
      <c r="N65">
        <f t="shared" si="40"/>
        <v>-55.499999999999986</v>
      </c>
      <c r="O65">
        <f t="shared" si="40"/>
        <v>-55.499999999999986</v>
      </c>
      <c r="P65">
        <f t="shared" si="40"/>
        <v>-54.299999999999983</v>
      </c>
      <c r="Q65">
        <f t="shared" si="40"/>
        <v>-54.299999999999983</v>
      </c>
      <c r="R65">
        <f t="shared" si="40"/>
        <v>-51.899999999999977</v>
      </c>
      <c r="S65">
        <f t="shared" si="40"/>
        <v>-55.499999999999986</v>
      </c>
      <c r="T65">
        <f t="shared" si="40"/>
        <v>-54.299999999999983</v>
      </c>
      <c r="U65">
        <f t="shared" si="40"/>
        <v>-55.499999999999986</v>
      </c>
      <c r="V65">
        <f t="shared" si="40"/>
        <v>-50.699999999999982</v>
      </c>
      <c r="W65">
        <f t="shared" si="40"/>
        <v>-50.699999999999982</v>
      </c>
      <c r="X65">
        <f t="shared" si="40"/>
        <v>-54.299999999999983</v>
      </c>
      <c r="Y65">
        <f t="shared" si="40"/>
        <v>-54.299999999999983</v>
      </c>
    </row>
    <row r="69" spans="3:25" x14ac:dyDescent="0.25">
      <c r="C69" t="s">
        <v>190</v>
      </c>
      <c r="D69">
        <f>D61/D55</f>
        <v>-0.6</v>
      </c>
      <c r="E69">
        <f t="shared" ref="E69:BP70" si="41">E61/E55</f>
        <v>-0.6</v>
      </c>
      <c r="F69">
        <f t="shared" si="41"/>
        <v>-0.6</v>
      </c>
      <c r="G69">
        <f t="shared" si="41"/>
        <v>-0.46666666666666673</v>
      </c>
      <c r="H69">
        <f t="shared" si="41"/>
        <v>-0.46666666666666673</v>
      </c>
      <c r="I69">
        <f t="shared" si="41"/>
        <v>-0.46666666666666673</v>
      </c>
      <c r="J69">
        <f t="shared" si="41"/>
        <v>-0.6</v>
      </c>
      <c r="K69">
        <f t="shared" si="41"/>
        <v>-0.46666666666666673</v>
      </c>
      <c r="L69">
        <f t="shared" si="41"/>
        <v>-0.46666666666666673</v>
      </c>
      <c r="M69">
        <f t="shared" si="41"/>
        <v>-0.46666666666666673</v>
      </c>
      <c r="N69">
        <f t="shared" si="41"/>
        <v>-0.46666666666666673</v>
      </c>
      <c r="O69">
        <f t="shared" si="41"/>
        <v>-0.46666666666666673</v>
      </c>
      <c r="P69">
        <f t="shared" si="41"/>
        <v>-0.46666666666666673</v>
      </c>
      <c r="Q69">
        <f t="shared" si="41"/>
        <v>-0.6</v>
      </c>
      <c r="R69">
        <f t="shared" si="41"/>
        <v>-0.46666666666666673</v>
      </c>
      <c r="S69">
        <f t="shared" si="41"/>
        <v>-0.46666666666666673</v>
      </c>
      <c r="T69">
        <f t="shared" si="41"/>
        <v>-0.46666666666666673</v>
      </c>
      <c r="U69">
        <f t="shared" si="41"/>
        <v>-0.46666666666666673</v>
      </c>
      <c r="V69">
        <f t="shared" si="41"/>
        <v>-0.33333333333333331</v>
      </c>
      <c r="W69">
        <f t="shared" si="41"/>
        <v>-0.19999999999999987</v>
      </c>
      <c r="X69">
        <f t="shared" si="41"/>
        <v>-0.33333333333333331</v>
      </c>
      <c r="Y69">
        <f t="shared" si="41"/>
        <v>-0.19999999999999987</v>
      </c>
    </row>
    <row r="70" spans="3:25" x14ac:dyDescent="0.25">
      <c r="C70" t="s">
        <v>49</v>
      </c>
      <c r="D70">
        <f t="shared" ref="D70:S73" si="42">D62/D56</f>
        <v>-0.42857142857142855</v>
      </c>
      <c r="E70">
        <f t="shared" si="42"/>
        <v>-0.42857142857142855</v>
      </c>
      <c r="F70">
        <f t="shared" si="42"/>
        <v>-0.42857142857142855</v>
      </c>
      <c r="G70">
        <f t="shared" si="42"/>
        <v>-0.42857142857142855</v>
      </c>
      <c r="H70">
        <f t="shared" si="42"/>
        <v>-0.42857142857142855</v>
      </c>
      <c r="I70">
        <f t="shared" si="42"/>
        <v>-0.42857142857142855</v>
      </c>
      <c r="J70">
        <f t="shared" si="42"/>
        <v>-0.42857142857142855</v>
      </c>
      <c r="K70">
        <f t="shared" si="42"/>
        <v>-0.42857142857142855</v>
      </c>
      <c r="L70">
        <f t="shared" si="42"/>
        <v>-0.42857142857142855</v>
      </c>
      <c r="M70">
        <f t="shared" si="42"/>
        <v>-0.42857142857142855</v>
      </c>
      <c r="N70">
        <f t="shared" si="42"/>
        <v>-0.42857142857142855</v>
      </c>
      <c r="O70">
        <f t="shared" si="42"/>
        <v>-0.54285714285714282</v>
      </c>
      <c r="P70">
        <f t="shared" si="42"/>
        <v>-0.54285714285714282</v>
      </c>
      <c r="Q70">
        <f t="shared" si="42"/>
        <v>-0.42857142857142855</v>
      </c>
      <c r="R70">
        <f t="shared" si="42"/>
        <v>-0.42857142857142855</v>
      </c>
      <c r="S70">
        <f t="shared" si="42"/>
        <v>-0.42857142857142855</v>
      </c>
      <c r="T70">
        <f t="shared" si="41"/>
        <v>-0.42857142857142855</v>
      </c>
      <c r="U70">
        <f t="shared" si="41"/>
        <v>-0.42857142857142855</v>
      </c>
      <c r="V70">
        <f t="shared" si="41"/>
        <v>-0.31428571428571417</v>
      </c>
      <c r="W70">
        <f t="shared" si="41"/>
        <v>-0.2</v>
      </c>
      <c r="X70">
        <f t="shared" si="41"/>
        <v>-0.31428571428571417</v>
      </c>
      <c r="Y70">
        <f t="shared" si="41"/>
        <v>-0.2</v>
      </c>
    </row>
    <row r="71" spans="3:25" x14ac:dyDescent="0.25">
      <c r="C71" t="s">
        <v>83</v>
      </c>
      <c r="D71">
        <f t="shared" si="42"/>
        <v>-0.6</v>
      </c>
      <c r="E71">
        <f t="shared" ref="E71:BP73" si="43">E63/E57</f>
        <v>-0.6</v>
      </c>
      <c r="F71">
        <f t="shared" si="43"/>
        <v>-0.6</v>
      </c>
      <c r="G71">
        <f t="shared" si="43"/>
        <v>-0.6</v>
      </c>
      <c r="H71">
        <f t="shared" si="43"/>
        <v>-0.6</v>
      </c>
      <c r="I71">
        <f t="shared" si="43"/>
        <v>-0.6</v>
      </c>
      <c r="J71">
        <f t="shared" si="43"/>
        <v>-0.6</v>
      </c>
      <c r="K71">
        <f t="shared" si="43"/>
        <v>-0.6</v>
      </c>
      <c r="L71">
        <f t="shared" si="43"/>
        <v>-0.6</v>
      </c>
      <c r="M71">
        <f t="shared" si="43"/>
        <v>-0.6</v>
      </c>
      <c r="N71">
        <f t="shared" si="43"/>
        <v>-0.6</v>
      </c>
      <c r="O71">
        <f t="shared" si="43"/>
        <v>-0.6</v>
      </c>
      <c r="P71">
        <f t="shared" si="43"/>
        <v>-0.6</v>
      </c>
      <c r="Q71">
        <f t="shared" si="43"/>
        <v>-0.6</v>
      </c>
      <c r="R71">
        <f t="shared" si="43"/>
        <v>-0.6</v>
      </c>
      <c r="S71">
        <f t="shared" si="43"/>
        <v>-0.6</v>
      </c>
      <c r="T71">
        <f t="shared" si="43"/>
        <v>-0.6</v>
      </c>
      <c r="U71">
        <f t="shared" si="43"/>
        <v>-0.6</v>
      </c>
      <c r="V71">
        <f t="shared" si="43"/>
        <v>-0.28000000000000003</v>
      </c>
      <c r="W71">
        <f t="shared" si="43"/>
        <v>-0.11999999999999986</v>
      </c>
      <c r="X71">
        <f t="shared" si="43"/>
        <v>-0.36</v>
      </c>
      <c r="Y71">
        <f t="shared" si="43"/>
        <v>-0.28000000000000003</v>
      </c>
    </row>
    <row r="72" spans="3:25" x14ac:dyDescent="0.25">
      <c r="C72" t="s">
        <v>13</v>
      </c>
      <c r="D72">
        <f t="shared" si="42"/>
        <v>-0.6</v>
      </c>
      <c r="E72">
        <f t="shared" si="43"/>
        <v>-0.6</v>
      </c>
      <c r="F72">
        <f t="shared" si="43"/>
        <v>-0.6</v>
      </c>
      <c r="G72">
        <f t="shared" si="43"/>
        <v>-0.6</v>
      </c>
      <c r="H72">
        <f t="shared" si="43"/>
        <v>-0.6</v>
      </c>
      <c r="I72">
        <f t="shared" si="43"/>
        <v>-0.6</v>
      </c>
      <c r="J72">
        <f t="shared" si="43"/>
        <v>-0.6</v>
      </c>
      <c r="K72">
        <f t="shared" si="43"/>
        <v>-0.6</v>
      </c>
      <c r="L72">
        <f t="shared" si="43"/>
        <v>-0.6</v>
      </c>
      <c r="M72">
        <f t="shared" si="43"/>
        <v>-0.6</v>
      </c>
      <c r="N72">
        <f t="shared" si="43"/>
        <v>-0.6</v>
      </c>
      <c r="O72">
        <f t="shared" si="43"/>
        <v>-0.6</v>
      </c>
      <c r="P72">
        <f t="shared" si="43"/>
        <v>-0.6</v>
      </c>
      <c r="Q72">
        <f t="shared" si="43"/>
        <v>-0.6</v>
      </c>
      <c r="R72">
        <f t="shared" si="43"/>
        <v>-0.6</v>
      </c>
      <c r="S72">
        <f t="shared" si="43"/>
        <v>-0.6</v>
      </c>
      <c r="T72">
        <f t="shared" si="43"/>
        <v>-0.6</v>
      </c>
      <c r="U72">
        <f t="shared" si="43"/>
        <v>-0.6</v>
      </c>
      <c r="V72">
        <f t="shared" si="43"/>
        <v>-0.13333333333333339</v>
      </c>
      <c r="W72">
        <f t="shared" si="43"/>
        <v>6.6666666666666624E-2</v>
      </c>
      <c r="X72">
        <f t="shared" si="43"/>
        <v>-6.6666666666666624E-2</v>
      </c>
      <c r="Y72">
        <f t="shared" si="43"/>
        <v>0</v>
      </c>
    </row>
    <row r="73" spans="3:25" x14ac:dyDescent="0.25">
      <c r="C73" t="s">
        <v>193</v>
      </c>
      <c r="D73">
        <f t="shared" si="42"/>
        <v>-0.59298245614035072</v>
      </c>
      <c r="E73">
        <f t="shared" si="43"/>
        <v>-0.59298245614035072</v>
      </c>
      <c r="F73">
        <f t="shared" si="43"/>
        <v>-0.59298245614035072</v>
      </c>
      <c r="G73">
        <f t="shared" si="43"/>
        <v>-0.64912280701754377</v>
      </c>
      <c r="H73">
        <f t="shared" si="43"/>
        <v>-0.64912280701754377</v>
      </c>
      <c r="I73">
        <f t="shared" si="43"/>
        <v>-0.60701754385964901</v>
      </c>
      <c r="J73">
        <f t="shared" si="43"/>
        <v>-0.64912280701754377</v>
      </c>
      <c r="K73">
        <f t="shared" si="43"/>
        <v>-0.64912280701754377</v>
      </c>
      <c r="L73">
        <f t="shared" si="43"/>
        <v>-0.64912280701754377</v>
      </c>
      <c r="M73">
        <f t="shared" si="43"/>
        <v>-0.64912280701754377</v>
      </c>
      <c r="N73">
        <f t="shared" si="43"/>
        <v>-0.64912280701754377</v>
      </c>
      <c r="O73">
        <f t="shared" si="43"/>
        <v>-0.64912280701754377</v>
      </c>
      <c r="P73">
        <f t="shared" si="43"/>
        <v>-0.63508771929824548</v>
      </c>
      <c r="Q73">
        <f t="shared" si="43"/>
        <v>-0.63508771929824548</v>
      </c>
      <c r="R73">
        <f t="shared" si="43"/>
        <v>-0.60701754385964901</v>
      </c>
      <c r="S73">
        <f t="shared" si="43"/>
        <v>-0.64912280701754377</v>
      </c>
      <c r="T73">
        <f t="shared" si="43"/>
        <v>-0.63508771929824548</v>
      </c>
      <c r="U73">
        <f t="shared" si="43"/>
        <v>-0.64912280701754377</v>
      </c>
      <c r="V73">
        <f t="shared" si="43"/>
        <v>-0.59298245614035072</v>
      </c>
      <c r="W73">
        <f t="shared" si="43"/>
        <v>-0.59298245614035072</v>
      </c>
      <c r="X73">
        <f t="shared" si="43"/>
        <v>-0.63508771929824548</v>
      </c>
      <c r="Y73">
        <f t="shared" si="43"/>
        <v>-0.63508771929824548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339A-8B2A-41B8-9C36-2F781BA23008}">
  <dimension ref="A1"/>
  <sheetViews>
    <sheetView workbookViewId="0">
      <selection activeCell="F35" sqref="F35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EA57-311B-4591-B8C6-B5743F8813C8}">
  <dimension ref="A1:FU121"/>
  <sheetViews>
    <sheetView showZeros="0" zoomScale="90" zoomScaleNormal="90" workbookViewId="0">
      <pane xSplit="4" ySplit="1" topLeftCell="P2" activePane="bottomRight" state="frozen"/>
      <selection pane="topRight" activeCell="E1" sqref="E1"/>
      <selection pane="bottomLeft" activeCell="A2" sqref="A2"/>
      <selection pane="bottomRight" activeCell="Z2" sqref="Z2"/>
    </sheetView>
  </sheetViews>
  <sheetFormatPr defaultRowHeight="15" x14ac:dyDescent="0.25"/>
  <cols>
    <col min="1" max="1" width="13.140625" customWidth="1"/>
    <col min="2" max="2" width="25" customWidth="1"/>
    <col min="3" max="3" width="18.140625" customWidth="1"/>
    <col min="4" max="4" width="21.5703125" customWidth="1"/>
    <col min="5" max="177" width="11.42578125" customWidth="1"/>
  </cols>
  <sheetData>
    <row r="1" spans="1:177" s="1" customFormat="1" x14ac:dyDescent="0.25">
      <c r="A1" s="1" t="s">
        <v>0</v>
      </c>
      <c r="B1" s="1" t="s">
        <v>1</v>
      </c>
      <c r="C1" s="1" t="s">
        <v>2</v>
      </c>
      <c r="D1" s="1" t="s">
        <v>8</v>
      </c>
      <c r="E1" s="2">
        <v>44331</v>
      </c>
      <c r="F1" s="2">
        <v>44332</v>
      </c>
      <c r="G1" s="2">
        <v>44334</v>
      </c>
      <c r="H1" s="2">
        <v>44336</v>
      </c>
      <c r="I1" s="2">
        <v>44337</v>
      </c>
      <c r="J1" s="2">
        <v>44338</v>
      </c>
      <c r="K1" s="2">
        <v>44339</v>
      </c>
      <c r="L1" s="2">
        <v>44340</v>
      </c>
      <c r="M1" s="2">
        <v>44341</v>
      </c>
      <c r="N1" s="2">
        <v>44342</v>
      </c>
      <c r="O1" s="2">
        <v>44343</v>
      </c>
      <c r="P1" s="2">
        <v>44344</v>
      </c>
      <c r="Q1" s="2">
        <v>44345</v>
      </c>
      <c r="R1" s="2">
        <v>44346</v>
      </c>
      <c r="S1" s="2">
        <v>44347</v>
      </c>
      <c r="T1" s="2">
        <v>44348</v>
      </c>
      <c r="U1" s="2">
        <v>44349</v>
      </c>
      <c r="V1" s="2">
        <v>44350</v>
      </c>
      <c r="W1" s="2">
        <v>44351</v>
      </c>
      <c r="X1" s="2">
        <v>44352</v>
      </c>
      <c r="Y1" s="2">
        <v>44353</v>
      </c>
      <c r="Z1" s="2">
        <v>44354</v>
      </c>
      <c r="AA1" s="2">
        <v>44355</v>
      </c>
      <c r="AB1" s="2">
        <v>44356</v>
      </c>
      <c r="AC1" s="2">
        <v>44357</v>
      </c>
      <c r="AD1" s="2">
        <v>44358</v>
      </c>
      <c r="AE1" s="2">
        <v>44359</v>
      </c>
      <c r="AF1" s="2">
        <v>44360</v>
      </c>
      <c r="AG1" s="2">
        <v>44361</v>
      </c>
      <c r="AH1" s="2">
        <v>44362</v>
      </c>
      <c r="AI1" s="2">
        <v>44363</v>
      </c>
      <c r="AJ1" s="2">
        <v>44364</v>
      </c>
      <c r="AK1" s="2">
        <v>44365</v>
      </c>
      <c r="AL1" s="2">
        <v>44366</v>
      </c>
      <c r="AM1" s="2">
        <v>44367</v>
      </c>
      <c r="AN1" s="2">
        <v>44368</v>
      </c>
      <c r="AO1" s="2">
        <v>44369</v>
      </c>
      <c r="AP1" s="2">
        <v>44370</v>
      </c>
      <c r="AQ1" s="2">
        <v>44371</v>
      </c>
      <c r="AR1" s="2">
        <v>44372</v>
      </c>
      <c r="AS1" s="2">
        <v>44373</v>
      </c>
      <c r="AT1" s="2">
        <v>44374</v>
      </c>
      <c r="AU1" s="2">
        <v>44375</v>
      </c>
      <c r="AV1" s="2">
        <v>44376</v>
      </c>
      <c r="AW1" s="2">
        <v>44377</v>
      </c>
      <c r="AX1" s="2">
        <v>44378</v>
      </c>
      <c r="AY1" s="2">
        <v>44379</v>
      </c>
      <c r="AZ1" s="2">
        <v>44380</v>
      </c>
      <c r="BA1" s="2">
        <v>44381</v>
      </c>
      <c r="BB1" s="2">
        <v>44382</v>
      </c>
      <c r="BC1" s="2">
        <v>44383</v>
      </c>
      <c r="BD1" s="2">
        <v>44384</v>
      </c>
      <c r="BE1" s="2">
        <v>44385</v>
      </c>
      <c r="BF1" s="2">
        <v>44386</v>
      </c>
      <c r="BG1" s="2">
        <v>44387</v>
      </c>
      <c r="BH1" s="2">
        <v>44388</v>
      </c>
      <c r="BI1" s="2">
        <v>44389</v>
      </c>
      <c r="BJ1" s="2">
        <v>44390</v>
      </c>
      <c r="BK1" s="2">
        <v>44391</v>
      </c>
      <c r="BL1" s="2">
        <v>44392</v>
      </c>
      <c r="BM1" s="2">
        <v>44393</v>
      </c>
      <c r="BN1" s="2">
        <v>44394</v>
      </c>
      <c r="BO1" s="2">
        <v>44395</v>
      </c>
      <c r="BP1" s="2">
        <v>44396</v>
      </c>
      <c r="BQ1" s="2">
        <v>44397</v>
      </c>
      <c r="BR1" s="2">
        <v>44398</v>
      </c>
      <c r="BS1" s="2">
        <v>44399</v>
      </c>
      <c r="BT1" s="2">
        <v>44400</v>
      </c>
      <c r="BU1" s="2">
        <v>44401</v>
      </c>
      <c r="BV1" s="2">
        <v>44402</v>
      </c>
      <c r="BW1" s="2">
        <v>44403</v>
      </c>
      <c r="BX1" s="2">
        <v>44404</v>
      </c>
      <c r="BY1" s="2">
        <v>44405</v>
      </c>
      <c r="BZ1" s="2">
        <v>44406</v>
      </c>
      <c r="CA1" s="2">
        <v>44407</v>
      </c>
      <c r="CB1" s="2">
        <v>44408</v>
      </c>
      <c r="CC1" s="2">
        <v>44409</v>
      </c>
      <c r="CD1" s="2">
        <v>44410</v>
      </c>
      <c r="CE1" s="2">
        <v>44411</v>
      </c>
      <c r="CF1" s="2">
        <v>44412</v>
      </c>
      <c r="CG1" s="2">
        <v>44413</v>
      </c>
      <c r="CH1" s="2">
        <v>44414</v>
      </c>
      <c r="CI1" s="2">
        <v>44415</v>
      </c>
      <c r="CJ1" s="2">
        <v>44416</v>
      </c>
      <c r="CK1" s="2">
        <v>44417</v>
      </c>
      <c r="CL1" s="2">
        <v>44418</v>
      </c>
      <c r="CM1" s="2">
        <v>44419</v>
      </c>
      <c r="CN1" s="2">
        <v>44420</v>
      </c>
      <c r="CO1" s="2">
        <v>44421</v>
      </c>
      <c r="CP1" s="2">
        <v>44422</v>
      </c>
      <c r="CQ1" s="2">
        <v>44423</v>
      </c>
      <c r="CR1" s="2">
        <v>44424</v>
      </c>
      <c r="CS1" s="2">
        <v>44425</v>
      </c>
      <c r="CT1" s="2">
        <v>44426</v>
      </c>
      <c r="CU1" s="2">
        <v>44427</v>
      </c>
      <c r="CV1" s="2">
        <v>44428</v>
      </c>
      <c r="CW1" s="2">
        <v>44429</v>
      </c>
      <c r="CX1" s="2">
        <v>44430</v>
      </c>
      <c r="CY1" s="2">
        <v>44431</v>
      </c>
      <c r="CZ1" s="2">
        <v>44432</v>
      </c>
      <c r="DA1" s="2">
        <v>44433</v>
      </c>
      <c r="DB1" s="2">
        <v>44434</v>
      </c>
      <c r="DC1" s="2">
        <v>44435</v>
      </c>
      <c r="DD1" s="2">
        <v>44436</v>
      </c>
      <c r="DE1" s="2">
        <v>44437</v>
      </c>
      <c r="DF1" s="2">
        <v>44438</v>
      </c>
      <c r="DG1" s="2">
        <v>44439</v>
      </c>
      <c r="DH1" s="2">
        <v>44440</v>
      </c>
      <c r="DI1" s="2">
        <v>44441</v>
      </c>
      <c r="DJ1" s="2">
        <v>44442</v>
      </c>
      <c r="DK1" s="2">
        <v>44443</v>
      </c>
      <c r="DL1" s="2">
        <v>44444</v>
      </c>
      <c r="DM1" s="2">
        <v>44445</v>
      </c>
      <c r="DN1" s="2">
        <v>44446</v>
      </c>
      <c r="DO1" s="2">
        <v>44447</v>
      </c>
      <c r="DP1" s="2">
        <v>44448</v>
      </c>
      <c r="DQ1" s="2">
        <v>44449</v>
      </c>
      <c r="DR1" s="2">
        <v>44450</v>
      </c>
      <c r="DS1" s="2">
        <v>44451</v>
      </c>
      <c r="DT1" s="2">
        <v>44452</v>
      </c>
      <c r="DU1" s="2">
        <v>44453</v>
      </c>
      <c r="DV1" s="2">
        <v>44454</v>
      </c>
      <c r="DW1" s="2">
        <v>44455</v>
      </c>
      <c r="DX1" s="2">
        <v>44456</v>
      </c>
      <c r="DY1" s="2">
        <v>44457</v>
      </c>
      <c r="DZ1" s="2">
        <v>44458</v>
      </c>
      <c r="EA1" s="2">
        <v>44459</v>
      </c>
      <c r="EB1" s="2">
        <v>44460</v>
      </c>
      <c r="EC1" s="2">
        <v>44461</v>
      </c>
      <c r="ED1" s="2">
        <v>44462</v>
      </c>
      <c r="EE1" s="2">
        <v>44463</v>
      </c>
      <c r="EF1" s="2">
        <v>44464</v>
      </c>
      <c r="EG1" s="2">
        <v>44465</v>
      </c>
      <c r="EH1" s="2">
        <v>44466</v>
      </c>
      <c r="EI1" s="2">
        <v>44467</v>
      </c>
      <c r="EJ1" s="2">
        <v>44468</v>
      </c>
      <c r="EK1" s="2">
        <v>44469</v>
      </c>
      <c r="EL1" s="2">
        <v>44470</v>
      </c>
      <c r="EM1" s="2">
        <v>44471</v>
      </c>
      <c r="EN1" s="2">
        <v>44472</v>
      </c>
      <c r="EO1" s="2">
        <v>44473</v>
      </c>
      <c r="EP1" s="2">
        <v>44474</v>
      </c>
      <c r="EQ1" s="2">
        <v>44475</v>
      </c>
      <c r="ER1" s="2">
        <v>44476</v>
      </c>
      <c r="ES1" s="2">
        <v>44477</v>
      </c>
      <c r="ET1" s="2">
        <v>44478</v>
      </c>
      <c r="EU1" s="2">
        <v>44479</v>
      </c>
      <c r="EV1" s="2">
        <v>44480</v>
      </c>
      <c r="EW1" s="2">
        <v>44481</v>
      </c>
      <c r="EX1" s="2">
        <v>44482</v>
      </c>
      <c r="EY1" s="2">
        <v>44483</v>
      </c>
      <c r="EZ1" s="2">
        <v>44484</v>
      </c>
      <c r="FA1" s="2">
        <v>44485</v>
      </c>
      <c r="FB1" s="2">
        <v>44486</v>
      </c>
      <c r="FC1" s="2">
        <v>44487</v>
      </c>
      <c r="FD1" s="2">
        <v>44488</v>
      </c>
      <c r="FE1" s="2">
        <v>44489</v>
      </c>
      <c r="FF1" s="2">
        <v>44490</v>
      </c>
      <c r="FG1" s="2">
        <v>44491</v>
      </c>
      <c r="FH1" s="2">
        <v>44492</v>
      </c>
      <c r="FI1" s="2">
        <v>44493</v>
      </c>
      <c r="FJ1" s="2">
        <v>44494</v>
      </c>
      <c r="FK1" s="2">
        <v>44495</v>
      </c>
      <c r="FL1" s="2">
        <v>44496</v>
      </c>
      <c r="FM1" s="2">
        <v>44497</v>
      </c>
      <c r="FN1" s="2">
        <v>44498</v>
      </c>
      <c r="FO1" s="2">
        <v>44499</v>
      </c>
      <c r="FP1" s="2">
        <v>44500</v>
      </c>
      <c r="FQ1" s="2">
        <v>44501</v>
      </c>
      <c r="FR1" s="2">
        <v>44502</v>
      </c>
      <c r="FS1" s="2">
        <v>44503</v>
      </c>
      <c r="FT1" s="2">
        <v>44504</v>
      </c>
      <c r="FU1" s="2">
        <v>44505</v>
      </c>
    </row>
    <row r="2" spans="1:177" x14ac:dyDescent="0.25">
      <c r="A2" t="s">
        <v>3</v>
      </c>
      <c r="B2" t="s">
        <v>4</v>
      </c>
      <c r="C2" t="s">
        <v>3</v>
      </c>
      <c r="D2" t="s">
        <v>9</v>
      </c>
      <c r="E2">
        <v>33.21</v>
      </c>
      <c r="F2">
        <v>31.65</v>
      </c>
      <c r="G2">
        <v>29.18</v>
      </c>
      <c r="H2">
        <v>31.74</v>
      </c>
      <c r="I2">
        <v>29.35</v>
      </c>
      <c r="J2">
        <v>30.3</v>
      </c>
      <c r="K2">
        <v>30.75</v>
      </c>
      <c r="L2">
        <v>28.8</v>
      </c>
      <c r="M2">
        <v>30.22</v>
      </c>
      <c r="N2">
        <v>28.81</v>
      </c>
      <c r="O2">
        <v>28.69</v>
      </c>
      <c r="P2">
        <v>27.92</v>
      </c>
      <c r="Q2">
        <v>28.87</v>
      </c>
      <c r="R2">
        <v>29.99</v>
      </c>
      <c r="S2">
        <v>28.9</v>
      </c>
      <c r="T2">
        <v>29.12</v>
      </c>
      <c r="U2">
        <v>29.62</v>
      </c>
      <c r="V2">
        <v>28.55</v>
      </c>
      <c r="W2">
        <v>29.16</v>
      </c>
      <c r="X2">
        <v>29.07</v>
      </c>
      <c r="Y2">
        <v>29.04</v>
      </c>
    </row>
    <row r="3" spans="1:177" x14ac:dyDescent="0.25">
      <c r="A3" t="s">
        <v>5</v>
      </c>
      <c r="B3" t="s">
        <v>11</v>
      </c>
      <c r="C3" t="s">
        <v>6</v>
      </c>
      <c r="D3" t="s">
        <v>10</v>
      </c>
      <c r="E3">
        <v>0.89</v>
      </c>
      <c r="F3">
        <v>0.88</v>
      </c>
      <c r="G3">
        <v>0.96</v>
      </c>
      <c r="H3">
        <v>0.92</v>
      </c>
      <c r="I3">
        <v>0.87</v>
      </c>
      <c r="J3">
        <v>0.92</v>
      </c>
      <c r="K3">
        <v>0.86</v>
      </c>
      <c r="L3">
        <v>0.87</v>
      </c>
      <c r="M3">
        <v>0.88</v>
      </c>
      <c r="N3">
        <v>0.94</v>
      </c>
      <c r="O3">
        <v>0.93</v>
      </c>
      <c r="P3">
        <v>0.84</v>
      </c>
      <c r="Q3">
        <v>0.87</v>
      </c>
      <c r="R3">
        <v>0.86</v>
      </c>
      <c r="S3">
        <v>0.93</v>
      </c>
      <c r="T3">
        <v>0.82</v>
      </c>
      <c r="U3">
        <v>0.88</v>
      </c>
      <c r="V3">
        <v>0.77</v>
      </c>
      <c r="W3">
        <v>0.89</v>
      </c>
      <c r="X3">
        <v>0.92</v>
      </c>
      <c r="Y3">
        <v>0.85</v>
      </c>
    </row>
    <row r="4" spans="1:177" x14ac:dyDescent="0.25">
      <c r="A4" t="s">
        <v>7</v>
      </c>
      <c r="B4" t="s">
        <v>12</v>
      </c>
      <c r="C4" t="s">
        <v>6</v>
      </c>
      <c r="D4" t="s">
        <v>13</v>
      </c>
      <c r="E4">
        <v>0.3</v>
      </c>
      <c r="F4">
        <v>0.3</v>
      </c>
      <c r="G4">
        <v>0.34</v>
      </c>
      <c r="H4">
        <v>0.34</v>
      </c>
      <c r="I4">
        <v>0.32</v>
      </c>
      <c r="J4">
        <v>0.36</v>
      </c>
      <c r="K4">
        <v>0.34</v>
      </c>
      <c r="L4">
        <v>0.3</v>
      </c>
      <c r="M4">
        <v>0.34</v>
      </c>
      <c r="N4">
        <v>0.32</v>
      </c>
      <c r="O4">
        <v>0.34</v>
      </c>
      <c r="P4">
        <v>0.3</v>
      </c>
      <c r="Q4">
        <v>0.31</v>
      </c>
      <c r="R4">
        <v>0.32</v>
      </c>
      <c r="S4">
        <v>0.3</v>
      </c>
      <c r="T4">
        <v>0.32</v>
      </c>
      <c r="U4">
        <v>0.32</v>
      </c>
      <c r="V4">
        <v>0.28999999999999998</v>
      </c>
      <c r="W4">
        <v>0.28999999999999998</v>
      </c>
      <c r="X4">
        <v>0.28999999999999998</v>
      </c>
      <c r="Y4">
        <v>0.28000000000000003</v>
      </c>
    </row>
    <row r="5" spans="1:177" x14ac:dyDescent="0.25">
      <c r="A5" t="s">
        <v>14</v>
      </c>
      <c r="B5" t="s">
        <v>15</v>
      </c>
      <c r="C5" t="s">
        <v>16</v>
      </c>
      <c r="D5" t="s">
        <v>13</v>
      </c>
      <c r="E5">
        <v>0.8</v>
      </c>
      <c r="F5">
        <v>0.83</v>
      </c>
      <c r="G5">
        <v>0.82</v>
      </c>
      <c r="H5">
        <v>0.76</v>
      </c>
      <c r="I5">
        <v>0.82</v>
      </c>
      <c r="J5">
        <v>0.83</v>
      </c>
      <c r="K5">
        <v>0.84</v>
      </c>
      <c r="L5">
        <v>0.84</v>
      </c>
      <c r="M5">
        <v>0.84</v>
      </c>
      <c r="N5">
        <v>0.83</v>
      </c>
      <c r="O5">
        <v>0.85</v>
      </c>
      <c r="P5">
        <v>0.85</v>
      </c>
      <c r="Q5">
        <v>0.87</v>
      </c>
      <c r="R5">
        <v>0.85</v>
      </c>
      <c r="S5">
        <v>0.83</v>
      </c>
      <c r="T5">
        <v>0.84</v>
      </c>
      <c r="U5">
        <v>0.83</v>
      </c>
      <c r="V5">
        <v>0.75</v>
      </c>
      <c r="W5">
        <v>0.81</v>
      </c>
      <c r="X5">
        <v>0.82</v>
      </c>
      <c r="Y5">
        <v>0.82</v>
      </c>
    </row>
    <row r="6" spans="1:177" x14ac:dyDescent="0.25">
      <c r="A6" t="s">
        <v>17</v>
      </c>
      <c r="B6" t="s">
        <v>20</v>
      </c>
      <c r="C6" t="s">
        <v>16</v>
      </c>
      <c r="D6" t="s">
        <v>18</v>
      </c>
      <c r="E6">
        <v>1.1000000000000001</v>
      </c>
      <c r="F6">
        <v>1.04</v>
      </c>
      <c r="G6">
        <v>0.98</v>
      </c>
      <c r="H6">
        <v>0.93</v>
      </c>
      <c r="I6">
        <v>0.88</v>
      </c>
      <c r="J6">
        <v>0.98</v>
      </c>
      <c r="K6">
        <v>0.94</v>
      </c>
      <c r="L6">
        <v>0.93</v>
      </c>
      <c r="M6">
        <v>0.96</v>
      </c>
      <c r="N6">
        <v>0.93</v>
      </c>
      <c r="O6">
        <v>0.98</v>
      </c>
      <c r="P6">
        <v>0.98</v>
      </c>
      <c r="Q6">
        <v>0.88</v>
      </c>
      <c r="R6">
        <v>0.87</v>
      </c>
      <c r="S6">
        <v>0.85</v>
      </c>
      <c r="T6">
        <v>0.84</v>
      </c>
      <c r="U6">
        <v>0.92</v>
      </c>
      <c r="V6">
        <v>0.86</v>
      </c>
      <c r="W6">
        <v>0.89</v>
      </c>
      <c r="X6">
        <v>0.85</v>
      </c>
      <c r="Y6">
        <v>0.86</v>
      </c>
    </row>
    <row r="7" spans="1:177" x14ac:dyDescent="0.25">
      <c r="A7" t="s">
        <v>19</v>
      </c>
      <c r="B7" t="s">
        <v>21</v>
      </c>
      <c r="C7" t="s">
        <v>16</v>
      </c>
      <c r="D7" t="s">
        <v>13</v>
      </c>
      <c r="E7">
        <v>6.38</v>
      </c>
      <c r="F7">
        <v>5.63</v>
      </c>
      <c r="G7">
        <v>5.7</v>
      </c>
      <c r="H7">
        <v>5.94</v>
      </c>
      <c r="I7">
        <v>5.87</v>
      </c>
      <c r="J7">
        <v>6.21</v>
      </c>
      <c r="K7">
        <v>5.92</v>
      </c>
      <c r="L7">
        <v>6.18</v>
      </c>
      <c r="M7">
        <v>5.84</v>
      </c>
      <c r="N7">
        <v>5.87</v>
      </c>
      <c r="O7">
        <v>6.07</v>
      </c>
      <c r="P7">
        <v>5.77</v>
      </c>
      <c r="Q7">
        <v>5.94</v>
      </c>
      <c r="R7">
        <v>5.78</v>
      </c>
      <c r="S7">
        <v>6.27</v>
      </c>
      <c r="T7">
        <v>6.04</v>
      </c>
      <c r="U7">
        <v>6.14</v>
      </c>
      <c r="V7">
        <v>5.75</v>
      </c>
      <c r="W7">
        <v>5.92</v>
      </c>
      <c r="X7">
        <v>5.93</v>
      </c>
      <c r="Y7">
        <v>5.93</v>
      </c>
    </row>
    <row r="8" spans="1:177" x14ac:dyDescent="0.25">
      <c r="A8" t="s">
        <v>22</v>
      </c>
      <c r="B8" t="s">
        <v>23</v>
      </c>
      <c r="C8" t="s">
        <v>16</v>
      </c>
      <c r="D8" t="s">
        <v>24</v>
      </c>
      <c r="E8">
        <v>1.46</v>
      </c>
      <c r="F8">
        <v>1.44</v>
      </c>
      <c r="G8">
        <v>1.49</v>
      </c>
      <c r="H8">
        <v>1.46</v>
      </c>
      <c r="I8">
        <v>1.53</v>
      </c>
      <c r="J8">
        <v>1.53</v>
      </c>
      <c r="K8">
        <v>1.45</v>
      </c>
      <c r="L8">
        <v>1.53</v>
      </c>
      <c r="M8">
        <v>1.46</v>
      </c>
      <c r="N8">
        <v>1.49</v>
      </c>
      <c r="O8">
        <v>1.52</v>
      </c>
      <c r="P8">
        <v>1.51</v>
      </c>
      <c r="Q8">
        <v>1.56</v>
      </c>
      <c r="R8">
        <v>1.54</v>
      </c>
      <c r="S8">
        <v>1.41</v>
      </c>
      <c r="T8">
        <v>1.51</v>
      </c>
      <c r="U8">
        <v>1.45</v>
      </c>
      <c r="V8">
        <v>1.51</v>
      </c>
      <c r="W8">
        <v>1.41</v>
      </c>
      <c r="X8">
        <v>1.46</v>
      </c>
      <c r="Y8">
        <v>1.38</v>
      </c>
    </row>
    <row r="9" spans="1:177" x14ac:dyDescent="0.25">
      <c r="A9" t="s">
        <v>25</v>
      </c>
      <c r="B9" t="s">
        <v>26</v>
      </c>
      <c r="C9" t="s">
        <v>16</v>
      </c>
      <c r="D9" t="s">
        <v>27</v>
      </c>
      <c r="E9">
        <v>1.5</v>
      </c>
      <c r="F9">
        <v>1.45</v>
      </c>
      <c r="G9">
        <v>1.4</v>
      </c>
      <c r="H9">
        <v>1.39</v>
      </c>
      <c r="I9">
        <v>1.51</v>
      </c>
      <c r="J9">
        <v>1.54</v>
      </c>
      <c r="K9">
        <v>1.46</v>
      </c>
      <c r="L9">
        <v>1.55</v>
      </c>
      <c r="M9">
        <v>1.55</v>
      </c>
      <c r="N9">
        <v>1.51</v>
      </c>
      <c r="O9">
        <v>1.49</v>
      </c>
      <c r="P9">
        <v>1.5</v>
      </c>
      <c r="Q9">
        <v>1.51</v>
      </c>
      <c r="R9">
        <v>1.54</v>
      </c>
      <c r="S9">
        <v>1.54</v>
      </c>
      <c r="T9">
        <v>1.55</v>
      </c>
      <c r="U9">
        <v>1.56</v>
      </c>
      <c r="V9">
        <v>1.52</v>
      </c>
      <c r="W9">
        <v>1.46</v>
      </c>
      <c r="X9">
        <v>1.51</v>
      </c>
      <c r="Y9">
        <v>1.52</v>
      </c>
    </row>
    <row r="10" spans="1:177" x14ac:dyDescent="0.25">
      <c r="A10" t="s">
        <v>28</v>
      </c>
      <c r="B10" t="s">
        <v>29</v>
      </c>
      <c r="C10" t="s">
        <v>30</v>
      </c>
      <c r="D10" t="s">
        <v>24</v>
      </c>
      <c r="K10">
        <v>0.34</v>
      </c>
      <c r="L10">
        <v>0.3</v>
      </c>
      <c r="M10">
        <v>0.32</v>
      </c>
      <c r="N10">
        <v>0.32</v>
      </c>
      <c r="O10">
        <v>0.32</v>
      </c>
      <c r="P10">
        <v>0.31</v>
      </c>
      <c r="Q10">
        <v>0.3</v>
      </c>
      <c r="R10">
        <v>0.32</v>
      </c>
      <c r="S10">
        <v>0.31</v>
      </c>
      <c r="T10">
        <v>0.31</v>
      </c>
      <c r="U10">
        <v>0.31</v>
      </c>
      <c r="V10">
        <v>0.31</v>
      </c>
      <c r="W10">
        <v>0.28999999999999998</v>
      </c>
      <c r="X10">
        <v>0.3</v>
      </c>
      <c r="Y10">
        <v>0.32</v>
      </c>
    </row>
    <row r="11" spans="1:177" x14ac:dyDescent="0.25">
      <c r="A11" t="s">
        <v>31</v>
      </c>
      <c r="B11" t="s">
        <v>32</v>
      </c>
      <c r="C11" t="s">
        <v>30</v>
      </c>
      <c r="D11" t="s">
        <v>33</v>
      </c>
      <c r="K11">
        <v>0.32</v>
      </c>
      <c r="L11">
        <v>0.34</v>
      </c>
      <c r="M11">
        <v>0.32</v>
      </c>
      <c r="N11">
        <v>0.32</v>
      </c>
      <c r="O11">
        <v>0.32</v>
      </c>
      <c r="P11">
        <v>0.32</v>
      </c>
      <c r="Q11">
        <v>0.3</v>
      </c>
      <c r="R11">
        <v>0.31</v>
      </c>
      <c r="S11">
        <v>0.28999999999999998</v>
      </c>
      <c r="T11">
        <v>0.28999999999999998</v>
      </c>
      <c r="U11">
        <v>0.28000000000000003</v>
      </c>
      <c r="V11">
        <v>0.3</v>
      </c>
      <c r="W11">
        <v>0.28999999999999998</v>
      </c>
      <c r="X11">
        <v>0.28000000000000003</v>
      </c>
      <c r="Y11">
        <v>0.28999999999999998</v>
      </c>
    </row>
    <row r="12" spans="1:177" x14ac:dyDescent="0.25">
      <c r="A12" t="s">
        <v>34</v>
      </c>
      <c r="B12" t="s">
        <v>35</v>
      </c>
      <c r="C12" t="s">
        <v>30</v>
      </c>
      <c r="D12" t="s">
        <v>36</v>
      </c>
      <c r="K12">
        <v>0.5</v>
      </c>
      <c r="L12">
        <v>0.49</v>
      </c>
      <c r="M12">
        <v>0.5</v>
      </c>
      <c r="N12">
        <v>0.46</v>
      </c>
      <c r="O12">
        <v>0.47</v>
      </c>
      <c r="P12">
        <v>0.47</v>
      </c>
      <c r="Q12">
        <v>0.5</v>
      </c>
      <c r="R12">
        <v>0.51</v>
      </c>
      <c r="S12">
        <v>0.47</v>
      </c>
      <c r="T12">
        <v>0.46</v>
      </c>
      <c r="U12">
        <v>0.49</v>
      </c>
      <c r="V12">
        <v>0.5</v>
      </c>
      <c r="W12">
        <v>0.49</v>
      </c>
      <c r="X12">
        <v>0.47</v>
      </c>
      <c r="Y12">
        <v>0.49</v>
      </c>
    </row>
    <row r="13" spans="1:177" x14ac:dyDescent="0.25">
      <c r="A13" t="s">
        <v>37</v>
      </c>
      <c r="B13" t="s">
        <v>38</v>
      </c>
      <c r="C13" t="s">
        <v>37</v>
      </c>
      <c r="D13" t="s">
        <v>39</v>
      </c>
      <c r="E13">
        <v>2.92</v>
      </c>
      <c r="F13">
        <v>3.01</v>
      </c>
      <c r="G13">
        <v>2.89</v>
      </c>
      <c r="H13">
        <v>2.81</v>
      </c>
      <c r="I13">
        <v>2.82</v>
      </c>
      <c r="J13">
        <v>2.91</v>
      </c>
      <c r="K13">
        <v>2.84</v>
      </c>
      <c r="L13">
        <v>2.78</v>
      </c>
      <c r="M13">
        <v>2.71</v>
      </c>
      <c r="N13">
        <v>2.68</v>
      </c>
      <c r="O13">
        <v>2.81</v>
      </c>
      <c r="P13">
        <v>2.54</v>
      </c>
      <c r="Q13">
        <v>2.64</v>
      </c>
      <c r="R13">
        <v>2.77</v>
      </c>
      <c r="S13">
        <v>2.5</v>
      </c>
      <c r="T13">
        <v>2.5299999999999998</v>
      </c>
      <c r="U13">
        <v>2.4500000000000002</v>
      </c>
      <c r="V13">
        <v>2.5</v>
      </c>
      <c r="W13">
        <v>2.4500000000000002</v>
      </c>
      <c r="X13">
        <v>2.4700000000000002</v>
      </c>
      <c r="Y13">
        <v>2.5299999999999998</v>
      </c>
    </row>
    <row r="14" spans="1:177" x14ac:dyDescent="0.25">
      <c r="A14" t="s">
        <v>40</v>
      </c>
      <c r="B14" t="s">
        <v>41</v>
      </c>
      <c r="C14" t="s">
        <v>30</v>
      </c>
      <c r="D14" t="s">
        <v>42</v>
      </c>
      <c r="K14">
        <v>3.82</v>
      </c>
      <c r="L14">
        <v>3.83</v>
      </c>
      <c r="M14">
        <v>3.77</v>
      </c>
      <c r="N14">
        <v>3.72</v>
      </c>
      <c r="O14">
        <v>3.69</v>
      </c>
      <c r="P14">
        <v>3.68</v>
      </c>
      <c r="Q14">
        <v>3.68</v>
      </c>
      <c r="R14">
        <v>3.74</v>
      </c>
      <c r="S14">
        <v>3.73</v>
      </c>
      <c r="T14">
        <v>3.64</v>
      </c>
      <c r="U14">
        <v>3.61</v>
      </c>
      <c r="V14">
        <v>3.63</v>
      </c>
      <c r="W14">
        <v>3.53</v>
      </c>
      <c r="X14">
        <v>3.58</v>
      </c>
      <c r="Y14">
        <v>3.51</v>
      </c>
    </row>
    <row r="15" spans="1:177" x14ac:dyDescent="0.25">
      <c r="A15" t="s">
        <v>43</v>
      </c>
      <c r="B15" t="s">
        <v>44</v>
      </c>
      <c r="C15" t="s">
        <v>30</v>
      </c>
      <c r="D15" t="s">
        <v>45</v>
      </c>
      <c r="K15">
        <v>1.26</v>
      </c>
      <c r="L15">
        <v>1.27</v>
      </c>
      <c r="M15">
        <v>1.26</v>
      </c>
      <c r="N15">
        <v>1.24</v>
      </c>
      <c r="O15">
        <v>1.26</v>
      </c>
      <c r="P15">
        <v>1.26</v>
      </c>
      <c r="Q15">
        <v>1.26</v>
      </c>
      <c r="R15">
        <v>1.3</v>
      </c>
      <c r="S15">
        <v>1.33</v>
      </c>
      <c r="T15">
        <v>1.43</v>
      </c>
      <c r="U15">
        <v>1.43</v>
      </c>
      <c r="V15">
        <v>1.39</v>
      </c>
      <c r="W15">
        <v>1.43</v>
      </c>
      <c r="X15">
        <v>1.46</v>
      </c>
      <c r="Y15">
        <v>1.47</v>
      </c>
    </row>
    <row r="16" spans="1:177" x14ac:dyDescent="0.25">
      <c r="A16" t="s">
        <v>46</v>
      </c>
      <c r="B16" t="s">
        <v>47</v>
      </c>
      <c r="C16" t="s">
        <v>48</v>
      </c>
      <c r="D16" t="s">
        <v>49</v>
      </c>
      <c r="E16">
        <v>0.92</v>
      </c>
      <c r="F16">
        <v>0.85</v>
      </c>
      <c r="G16">
        <v>0.87</v>
      </c>
      <c r="H16">
        <v>0.93</v>
      </c>
      <c r="I16">
        <v>0.92</v>
      </c>
      <c r="J16">
        <v>0.93</v>
      </c>
      <c r="K16">
        <v>0.86</v>
      </c>
      <c r="L16">
        <v>0.97</v>
      </c>
      <c r="M16">
        <v>0.85</v>
      </c>
      <c r="N16">
        <v>0.94</v>
      </c>
      <c r="O16">
        <v>0.93</v>
      </c>
      <c r="P16">
        <v>0.84</v>
      </c>
      <c r="Q16">
        <v>0.86</v>
      </c>
      <c r="R16">
        <v>0.86</v>
      </c>
      <c r="S16">
        <v>0.88</v>
      </c>
      <c r="T16">
        <v>0.88</v>
      </c>
      <c r="U16">
        <v>0.87</v>
      </c>
      <c r="V16">
        <v>0.88</v>
      </c>
      <c r="W16">
        <v>0.85</v>
      </c>
      <c r="X16">
        <v>0.86</v>
      </c>
      <c r="Y16">
        <v>0.86</v>
      </c>
    </row>
    <row r="17" spans="1:25" x14ac:dyDescent="0.25">
      <c r="A17" t="s">
        <v>50</v>
      </c>
      <c r="B17" t="s">
        <v>51</v>
      </c>
      <c r="C17" t="s">
        <v>48</v>
      </c>
      <c r="D17" t="s">
        <v>52</v>
      </c>
      <c r="E17">
        <v>4.6399999999999997</v>
      </c>
      <c r="F17">
        <v>4.57</v>
      </c>
      <c r="G17">
        <v>4.4400000000000004</v>
      </c>
      <c r="H17">
        <v>4.05</v>
      </c>
      <c r="I17">
        <v>4.3</v>
      </c>
      <c r="J17">
        <v>4.1900000000000004</v>
      </c>
      <c r="K17">
        <v>4.6500000000000004</v>
      </c>
      <c r="L17">
        <v>4.22</v>
      </c>
      <c r="M17">
        <v>4.38</v>
      </c>
      <c r="N17">
        <v>4.42</v>
      </c>
      <c r="O17">
        <v>4.26</v>
      </c>
      <c r="P17">
        <v>4.3099999999999996</v>
      </c>
      <c r="Q17">
        <v>4.22</v>
      </c>
      <c r="R17">
        <v>4.29</v>
      </c>
      <c r="S17">
        <v>4.33</v>
      </c>
      <c r="T17">
        <v>4.34</v>
      </c>
      <c r="U17">
        <v>4.29</v>
      </c>
      <c r="V17">
        <v>4.34</v>
      </c>
      <c r="W17">
        <v>4.0999999999999996</v>
      </c>
      <c r="X17">
        <v>4.22</v>
      </c>
      <c r="Y17">
        <v>4.17</v>
      </c>
    </row>
    <row r="18" spans="1:25" x14ac:dyDescent="0.25">
      <c r="A18" t="s">
        <v>53</v>
      </c>
      <c r="B18" t="s">
        <v>54</v>
      </c>
      <c r="C18" t="s">
        <v>48</v>
      </c>
      <c r="D18" t="s">
        <v>55</v>
      </c>
      <c r="E18">
        <v>0.73</v>
      </c>
      <c r="F18">
        <v>0.73</v>
      </c>
      <c r="G18">
        <v>0.74</v>
      </c>
      <c r="H18">
        <v>0.82</v>
      </c>
      <c r="I18">
        <v>0.82</v>
      </c>
      <c r="J18">
        <v>0.82</v>
      </c>
      <c r="K18">
        <v>0.81</v>
      </c>
      <c r="L18">
        <v>0.8</v>
      </c>
      <c r="M18">
        <v>0.82</v>
      </c>
      <c r="N18">
        <v>0.81</v>
      </c>
      <c r="O18">
        <v>0.82</v>
      </c>
      <c r="P18">
        <v>0.82</v>
      </c>
      <c r="Q18">
        <v>0.82</v>
      </c>
      <c r="R18">
        <v>0.81</v>
      </c>
      <c r="S18">
        <v>0.84</v>
      </c>
      <c r="T18">
        <v>0.78</v>
      </c>
      <c r="U18">
        <v>0.85</v>
      </c>
      <c r="V18">
        <v>0.81</v>
      </c>
      <c r="W18">
        <v>0.84</v>
      </c>
      <c r="X18">
        <v>0.84</v>
      </c>
      <c r="Y18">
        <v>0.86</v>
      </c>
    </row>
    <row r="19" spans="1:25" x14ac:dyDescent="0.25">
      <c r="A19" t="s">
        <v>56</v>
      </c>
      <c r="B19" t="s">
        <v>57</v>
      </c>
      <c r="C19" t="s">
        <v>48</v>
      </c>
      <c r="D19" t="s">
        <v>58</v>
      </c>
      <c r="E19">
        <v>11.4</v>
      </c>
      <c r="F19">
        <v>11.35</v>
      </c>
      <c r="G19">
        <v>11.04</v>
      </c>
      <c r="H19">
        <v>12.32</v>
      </c>
      <c r="I19">
        <v>12.32</v>
      </c>
      <c r="J19">
        <v>12.34</v>
      </c>
      <c r="K19">
        <v>14.23</v>
      </c>
      <c r="L19">
        <v>18.350000000000001</v>
      </c>
      <c r="M19">
        <v>19.45</v>
      </c>
      <c r="N19">
        <v>25.73</v>
      </c>
      <c r="O19">
        <v>30.27</v>
      </c>
      <c r="P19">
        <v>24.72</v>
      </c>
      <c r="Q19">
        <v>29.14</v>
      </c>
      <c r="R19">
        <v>26.94</v>
      </c>
      <c r="S19">
        <v>26.19</v>
      </c>
      <c r="T19">
        <v>26.24</v>
      </c>
      <c r="U19">
        <v>26.29</v>
      </c>
      <c r="V19">
        <v>36.42</v>
      </c>
      <c r="W19">
        <v>38.909999999999997</v>
      </c>
      <c r="X19">
        <v>42.79</v>
      </c>
      <c r="Y19">
        <v>40.04</v>
      </c>
    </row>
    <row r="20" spans="1:25" x14ac:dyDescent="0.25">
      <c r="A20" t="s">
        <v>59</v>
      </c>
      <c r="B20" t="s">
        <v>60</v>
      </c>
      <c r="C20" t="s">
        <v>48</v>
      </c>
      <c r="D20" t="s">
        <v>61</v>
      </c>
      <c r="E20">
        <v>9.14</v>
      </c>
      <c r="F20">
        <v>9.0399999999999991</v>
      </c>
      <c r="G20">
        <v>8.65</v>
      </c>
      <c r="H20">
        <v>9.56</v>
      </c>
      <c r="I20">
        <v>9.01</v>
      </c>
      <c r="J20">
        <v>10.08</v>
      </c>
      <c r="K20">
        <v>9.1</v>
      </c>
      <c r="L20">
        <v>9.6</v>
      </c>
      <c r="M20">
        <v>9.58</v>
      </c>
      <c r="N20">
        <v>9.48</v>
      </c>
      <c r="O20">
        <v>11.35</v>
      </c>
      <c r="P20">
        <v>12.34</v>
      </c>
      <c r="Q20">
        <v>12.21</v>
      </c>
      <c r="R20">
        <v>11.98</v>
      </c>
      <c r="S20">
        <v>12.07</v>
      </c>
      <c r="T20">
        <v>11.78</v>
      </c>
      <c r="U20">
        <v>12.2</v>
      </c>
      <c r="V20">
        <v>12.1</v>
      </c>
      <c r="W20">
        <v>13.7</v>
      </c>
      <c r="X20">
        <v>13.34</v>
      </c>
      <c r="Y20">
        <v>13.35</v>
      </c>
    </row>
    <row r="21" spans="1:25" x14ac:dyDescent="0.25">
      <c r="A21" t="s">
        <v>62</v>
      </c>
      <c r="B21" t="s">
        <v>63</v>
      </c>
      <c r="C21" t="s">
        <v>64</v>
      </c>
      <c r="D21" t="s">
        <v>27</v>
      </c>
      <c r="E21">
        <v>196.27</v>
      </c>
      <c r="F21">
        <v>201.82</v>
      </c>
      <c r="G21">
        <v>197</v>
      </c>
      <c r="H21">
        <v>196.88</v>
      </c>
      <c r="I21">
        <v>207.18</v>
      </c>
      <c r="J21">
        <v>209.46</v>
      </c>
      <c r="K21">
        <v>201.89</v>
      </c>
      <c r="L21">
        <v>202.48</v>
      </c>
      <c r="M21">
        <v>196.23</v>
      </c>
      <c r="N21">
        <v>204.01</v>
      </c>
      <c r="O21">
        <v>206.61</v>
      </c>
      <c r="P21">
        <v>209.15</v>
      </c>
      <c r="Q21">
        <v>207.58</v>
      </c>
      <c r="R21">
        <v>207.32</v>
      </c>
      <c r="S21">
        <v>202.17</v>
      </c>
      <c r="T21">
        <v>201.3</v>
      </c>
      <c r="U21">
        <v>201.79</v>
      </c>
      <c r="V21">
        <v>203.29</v>
      </c>
      <c r="W21">
        <v>201.2</v>
      </c>
      <c r="X21">
        <v>207</v>
      </c>
      <c r="Y21">
        <v>207.01</v>
      </c>
    </row>
    <row r="22" spans="1:25" x14ac:dyDescent="0.25">
      <c r="A22" t="s">
        <v>65</v>
      </c>
      <c r="B22" t="s">
        <v>66</v>
      </c>
      <c r="C22" t="s">
        <v>48</v>
      </c>
      <c r="D22" t="s">
        <v>58</v>
      </c>
      <c r="E22">
        <v>0.41</v>
      </c>
      <c r="F22">
        <v>0.43</v>
      </c>
      <c r="G22">
        <v>0.41</v>
      </c>
      <c r="H22">
        <v>0.41</v>
      </c>
      <c r="I22">
        <v>0.46</v>
      </c>
      <c r="J22">
        <v>0.49</v>
      </c>
      <c r="K22">
        <v>0.53</v>
      </c>
      <c r="L22">
        <v>0.54</v>
      </c>
      <c r="M22">
        <v>0.6</v>
      </c>
      <c r="N22">
        <v>0.6</v>
      </c>
      <c r="O22">
        <v>0.81</v>
      </c>
      <c r="P22">
        <v>0.78</v>
      </c>
      <c r="Q22">
        <v>0.71</v>
      </c>
      <c r="R22">
        <v>0.65</v>
      </c>
      <c r="S22">
        <v>0.61</v>
      </c>
      <c r="T22">
        <v>0.56999999999999995</v>
      </c>
      <c r="U22">
        <v>0.55000000000000004</v>
      </c>
      <c r="V22">
        <v>0.62</v>
      </c>
      <c r="W22">
        <v>0.64</v>
      </c>
      <c r="X22">
        <v>0.73</v>
      </c>
      <c r="Y22">
        <v>0.87</v>
      </c>
    </row>
    <row r="23" spans="1:25" x14ac:dyDescent="0.25">
      <c r="A23" t="s">
        <v>43</v>
      </c>
      <c r="B23" t="s">
        <v>67</v>
      </c>
      <c r="C23" t="s">
        <v>30</v>
      </c>
      <c r="D23" t="s">
        <v>68</v>
      </c>
      <c r="K23">
        <v>1.0900000000000001</v>
      </c>
      <c r="L23">
        <v>1.35</v>
      </c>
      <c r="M23">
        <v>1.28</v>
      </c>
      <c r="N23">
        <v>1.58</v>
      </c>
      <c r="O23">
        <v>1.67</v>
      </c>
      <c r="P23">
        <v>1.58</v>
      </c>
      <c r="Q23">
        <v>1.53</v>
      </c>
      <c r="R23">
        <v>1.47</v>
      </c>
      <c r="S23">
        <v>1.38</v>
      </c>
      <c r="T23">
        <v>1.4</v>
      </c>
      <c r="U23">
        <v>1.26</v>
      </c>
      <c r="V23">
        <v>1.49</v>
      </c>
      <c r="W23">
        <v>1.52</v>
      </c>
      <c r="X23">
        <v>1.56</v>
      </c>
      <c r="Y23">
        <v>1.69</v>
      </c>
    </row>
    <row r="24" spans="1:25" x14ac:dyDescent="0.25">
      <c r="A24" t="s">
        <v>69</v>
      </c>
      <c r="B24" t="s">
        <v>70</v>
      </c>
      <c r="C24" t="s">
        <v>16</v>
      </c>
      <c r="D24" t="s">
        <v>71</v>
      </c>
      <c r="E24">
        <v>0.52</v>
      </c>
      <c r="F24">
        <v>0.48</v>
      </c>
      <c r="G24">
        <v>0.54</v>
      </c>
      <c r="H24">
        <v>0.55000000000000004</v>
      </c>
      <c r="I24">
        <v>0.53</v>
      </c>
      <c r="J24">
        <v>0.61</v>
      </c>
      <c r="K24">
        <v>0.76</v>
      </c>
      <c r="L24">
        <v>0.78</v>
      </c>
      <c r="M24">
        <v>0.83</v>
      </c>
      <c r="N24">
        <v>1.06</v>
      </c>
      <c r="O24">
        <v>1.29</v>
      </c>
      <c r="P24">
        <v>1.21</v>
      </c>
      <c r="Q24">
        <v>1.0900000000000001</v>
      </c>
      <c r="R24">
        <v>1.04</v>
      </c>
      <c r="S24">
        <v>0.98</v>
      </c>
      <c r="T24">
        <v>0.93</v>
      </c>
      <c r="U24">
        <v>1.01</v>
      </c>
      <c r="V24">
        <v>1.08</v>
      </c>
      <c r="W24">
        <v>1.23</v>
      </c>
      <c r="X24">
        <v>1.41</v>
      </c>
      <c r="Y24">
        <v>1.31</v>
      </c>
    </row>
    <row r="25" spans="1:25" x14ac:dyDescent="0.25">
      <c r="A25" t="s">
        <v>40</v>
      </c>
      <c r="B25" t="s">
        <v>72</v>
      </c>
      <c r="C25" t="s">
        <v>30</v>
      </c>
      <c r="D25" t="s">
        <v>68</v>
      </c>
      <c r="K25">
        <v>1.1000000000000001</v>
      </c>
      <c r="L25">
        <v>1.1000000000000001</v>
      </c>
      <c r="M25">
        <v>1.1000000000000001</v>
      </c>
      <c r="N25">
        <v>1.52</v>
      </c>
      <c r="O25">
        <v>1.61</v>
      </c>
      <c r="P25">
        <v>1.41</v>
      </c>
      <c r="Q25">
        <v>1.45</v>
      </c>
      <c r="R25">
        <v>1.42</v>
      </c>
      <c r="S25">
        <v>1.46</v>
      </c>
      <c r="T25">
        <v>1.46</v>
      </c>
      <c r="U25">
        <v>1.44</v>
      </c>
      <c r="V25">
        <v>1.41</v>
      </c>
      <c r="W25">
        <v>1.42</v>
      </c>
      <c r="X25">
        <v>1.44</v>
      </c>
      <c r="Y25">
        <v>1.56</v>
      </c>
    </row>
    <row r="26" spans="1:25" x14ac:dyDescent="0.25">
      <c r="A26" t="s">
        <v>25</v>
      </c>
      <c r="B26" t="s">
        <v>73</v>
      </c>
      <c r="C26" t="s">
        <v>16</v>
      </c>
      <c r="D26" t="s">
        <v>42</v>
      </c>
      <c r="E26">
        <v>22.48</v>
      </c>
      <c r="F26">
        <v>23.47</v>
      </c>
      <c r="G26">
        <v>20.71</v>
      </c>
      <c r="H26">
        <v>19.8</v>
      </c>
      <c r="I26">
        <v>21.98</v>
      </c>
      <c r="J26">
        <v>23.47</v>
      </c>
      <c r="K26">
        <v>23.57</v>
      </c>
      <c r="L26">
        <v>22.65</v>
      </c>
      <c r="M26">
        <v>23.03</v>
      </c>
      <c r="N26">
        <v>23.07</v>
      </c>
      <c r="O26">
        <v>22.67</v>
      </c>
      <c r="P26">
        <v>22.71</v>
      </c>
      <c r="Q26">
        <v>21.96</v>
      </c>
      <c r="R26">
        <v>21.29</v>
      </c>
      <c r="S26">
        <v>22.8</v>
      </c>
      <c r="T26">
        <v>22.7</v>
      </c>
      <c r="U26">
        <v>22.81</v>
      </c>
      <c r="V26">
        <v>22.88</v>
      </c>
      <c r="W26">
        <v>21.67</v>
      </c>
      <c r="X26">
        <v>22.85</v>
      </c>
      <c r="Y26">
        <v>21.98</v>
      </c>
    </row>
    <row r="27" spans="1:25" x14ac:dyDescent="0.25">
      <c r="A27" t="s">
        <v>74</v>
      </c>
      <c r="B27" t="s">
        <v>75</v>
      </c>
      <c r="C27" t="s">
        <v>74</v>
      </c>
      <c r="D27" t="s">
        <v>76</v>
      </c>
      <c r="E27">
        <v>4.3099999999999996</v>
      </c>
      <c r="F27">
        <v>4.54</v>
      </c>
      <c r="G27">
        <v>4.37</v>
      </c>
      <c r="H27">
        <v>4.41</v>
      </c>
      <c r="I27">
        <v>4.16</v>
      </c>
      <c r="J27">
        <v>4.4000000000000004</v>
      </c>
      <c r="K27">
        <v>4.7300000000000004</v>
      </c>
      <c r="L27">
        <v>4.6900000000000004</v>
      </c>
      <c r="M27">
        <v>4.54</v>
      </c>
      <c r="N27">
        <v>4.53</v>
      </c>
      <c r="O27">
        <v>4.55</v>
      </c>
      <c r="P27">
        <v>4.22</v>
      </c>
      <c r="Q27">
        <v>4.3899999999999997</v>
      </c>
      <c r="R27">
        <v>4.2300000000000004</v>
      </c>
      <c r="S27">
        <v>4.0599999999999996</v>
      </c>
      <c r="T27">
        <v>4.2300000000000004</v>
      </c>
      <c r="U27">
        <v>4.62</v>
      </c>
      <c r="V27">
        <v>4.07</v>
      </c>
      <c r="W27">
        <v>4.3</v>
      </c>
      <c r="X27">
        <v>4.2300000000000004</v>
      </c>
      <c r="Y27">
        <v>4.21</v>
      </c>
    </row>
    <row r="28" spans="1:25" x14ac:dyDescent="0.25">
      <c r="A28" t="s">
        <v>53</v>
      </c>
      <c r="B28" t="s">
        <v>77</v>
      </c>
      <c r="C28" t="s">
        <v>48</v>
      </c>
      <c r="D28" t="s">
        <v>13</v>
      </c>
      <c r="E28">
        <v>2.2599999999999998</v>
      </c>
      <c r="F28">
        <v>2.1</v>
      </c>
      <c r="G28">
        <v>2.2000000000000002</v>
      </c>
      <c r="H28">
        <v>2.25</v>
      </c>
      <c r="I28">
        <v>2.11</v>
      </c>
      <c r="J28">
        <v>2.21</v>
      </c>
      <c r="K28">
        <v>2.16</v>
      </c>
      <c r="L28">
        <v>2.2200000000000002</v>
      </c>
      <c r="M28">
        <v>2.27</v>
      </c>
      <c r="N28">
        <v>2.31</v>
      </c>
      <c r="O28">
        <v>2.2200000000000002</v>
      </c>
      <c r="P28">
        <v>2.2400000000000002</v>
      </c>
      <c r="Q28">
        <v>2.14</v>
      </c>
      <c r="R28">
        <v>2.1</v>
      </c>
      <c r="S28">
        <v>1.97</v>
      </c>
      <c r="T28">
        <v>2.09</v>
      </c>
      <c r="U28">
        <v>2.09</v>
      </c>
      <c r="V28">
        <v>2.23</v>
      </c>
      <c r="W28">
        <v>2.19</v>
      </c>
      <c r="X28">
        <v>2.14</v>
      </c>
      <c r="Y28">
        <v>2.2200000000000002</v>
      </c>
    </row>
    <row r="29" spans="1:25" x14ac:dyDescent="0.25">
      <c r="A29" t="s">
        <v>74</v>
      </c>
      <c r="B29" t="s">
        <v>78</v>
      </c>
      <c r="C29" t="s">
        <v>74</v>
      </c>
      <c r="D29" t="s">
        <v>49</v>
      </c>
      <c r="E29">
        <v>47</v>
      </c>
      <c r="F29">
        <v>45.93</v>
      </c>
      <c r="G29">
        <v>44.54</v>
      </c>
      <c r="H29">
        <v>45.51</v>
      </c>
      <c r="I29">
        <v>46.05</v>
      </c>
      <c r="J29">
        <v>46.08</v>
      </c>
      <c r="K29">
        <v>46.57</v>
      </c>
      <c r="L29">
        <v>47.69</v>
      </c>
      <c r="M29">
        <v>44.11</v>
      </c>
      <c r="N29">
        <v>44.01</v>
      </c>
      <c r="O29">
        <v>45.22</v>
      </c>
      <c r="P29">
        <v>46.55</v>
      </c>
      <c r="Q29">
        <v>46.98</v>
      </c>
      <c r="R29">
        <v>43.94</v>
      </c>
      <c r="S29">
        <v>46.39</v>
      </c>
      <c r="T29">
        <v>46.37</v>
      </c>
      <c r="U29">
        <v>47.84</v>
      </c>
      <c r="V29">
        <v>44.88</v>
      </c>
      <c r="W29">
        <v>48.07</v>
      </c>
      <c r="X29">
        <v>48.33</v>
      </c>
      <c r="Y29">
        <v>47.69</v>
      </c>
    </row>
    <row r="30" spans="1:25" x14ac:dyDescent="0.25">
      <c r="A30" t="s">
        <v>37</v>
      </c>
      <c r="B30" t="s">
        <v>79</v>
      </c>
      <c r="C30" t="s">
        <v>37</v>
      </c>
      <c r="D30" t="s">
        <v>80</v>
      </c>
      <c r="E30">
        <v>36.200000000000003</v>
      </c>
      <c r="F30">
        <v>34.799999999999997</v>
      </c>
      <c r="G30">
        <v>33.229999999999997</v>
      </c>
      <c r="H30">
        <v>33.31</v>
      </c>
      <c r="I30">
        <v>34.51</v>
      </c>
      <c r="J30">
        <v>33.049999999999997</v>
      </c>
      <c r="K30">
        <v>31.31</v>
      </c>
      <c r="L30">
        <v>33.380000000000003</v>
      </c>
      <c r="M30">
        <v>33.380000000000003</v>
      </c>
      <c r="N30">
        <v>33.01</v>
      </c>
      <c r="O30">
        <v>30.97</v>
      </c>
      <c r="P30">
        <v>34.409999999999997</v>
      </c>
      <c r="Q30">
        <v>34.11</v>
      </c>
      <c r="R30">
        <v>41.12</v>
      </c>
      <c r="S30">
        <v>36.270000000000003</v>
      </c>
      <c r="T30">
        <v>35.090000000000003</v>
      </c>
      <c r="U30">
        <v>35.93</v>
      </c>
      <c r="V30">
        <v>33.97</v>
      </c>
      <c r="W30">
        <v>35.33</v>
      </c>
      <c r="X30">
        <v>32.56</v>
      </c>
      <c r="Y30">
        <v>31.05</v>
      </c>
    </row>
    <row r="31" spans="1:25" x14ac:dyDescent="0.25">
      <c r="A31" t="s">
        <v>50</v>
      </c>
      <c r="B31" t="s">
        <v>81</v>
      </c>
      <c r="C31" t="s">
        <v>48</v>
      </c>
      <c r="D31" t="s">
        <v>36</v>
      </c>
      <c r="E31">
        <v>1.86</v>
      </c>
      <c r="F31">
        <v>1.84</v>
      </c>
      <c r="G31">
        <v>1.65</v>
      </c>
      <c r="H31">
        <v>1.79</v>
      </c>
      <c r="I31">
        <v>1.79</v>
      </c>
      <c r="J31">
        <v>1.8</v>
      </c>
      <c r="K31">
        <v>1.72</v>
      </c>
      <c r="L31">
        <v>1.75</v>
      </c>
      <c r="M31">
        <v>1.64</v>
      </c>
      <c r="N31">
        <v>1.75</v>
      </c>
      <c r="O31">
        <v>1.67</v>
      </c>
      <c r="P31">
        <v>1.65</v>
      </c>
      <c r="Q31">
        <v>1.64</v>
      </c>
      <c r="R31">
        <v>1.55</v>
      </c>
      <c r="S31">
        <v>1.63</v>
      </c>
      <c r="T31">
        <v>1.64</v>
      </c>
      <c r="U31">
        <v>1.54</v>
      </c>
      <c r="V31">
        <v>1.62</v>
      </c>
      <c r="W31">
        <v>1.63</v>
      </c>
      <c r="X31">
        <v>1.47</v>
      </c>
      <c r="Y31">
        <v>1.61</v>
      </c>
    </row>
    <row r="32" spans="1:25" x14ac:dyDescent="0.25">
      <c r="A32" t="s">
        <v>59</v>
      </c>
      <c r="B32" t="s">
        <v>82</v>
      </c>
      <c r="C32" t="s">
        <v>48</v>
      </c>
      <c r="D32" t="s">
        <v>83</v>
      </c>
      <c r="E32">
        <v>42.81</v>
      </c>
      <c r="F32">
        <v>40.6</v>
      </c>
      <c r="G32">
        <v>40.6</v>
      </c>
      <c r="H32">
        <v>43.52</v>
      </c>
      <c r="I32">
        <v>41.78</v>
      </c>
      <c r="J32">
        <v>40.51</v>
      </c>
      <c r="K32">
        <v>42.18</v>
      </c>
      <c r="L32">
        <v>43.36</v>
      </c>
      <c r="M32">
        <v>43.28</v>
      </c>
      <c r="N32">
        <v>42.82</v>
      </c>
      <c r="O32">
        <v>40.64</v>
      </c>
      <c r="P32">
        <v>41.72</v>
      </c>
      <c r="Q32">
        <v>39.479999999999997</v>
      </c>
      <c r="R32">
        <v>40.479999999999997</v>
      </c>
      <c r="S32">
        <v>40.97</v>
      </c>
      <c r="T32">
        <v>39.799999999999997</v>
      </c>
      <c r="U32">
        <v>43.95</v>
      </c>
      <c r="V32">
        <v>44.02</v>
      </c>
      <c r="W32">
        <v>40.28</v>
      </c>
      <c r="X32">
        <v>42</v>
      </c>
      <c r="Y32">
        <v>43.82</v>
      </c>
    </row>
    <row r="33" spans="1:25" x14ac:dyDescent="0.25">
      <c r="A33" t="s">
        <v>84</v>
      </c>
      <c r="B33" t="s">
        <v>85</v>
      </c>
      <c r="C33" t="s">
        <v>6</v>
      </c>
      <c r="D33" t="s">
        <v>86</v>
      </c>
      <c r="E33">
        <v>3.61</v>
      </c>
      <c r="F33">
        <v>3.49</v>
      </c>
      <c r="G33">
        <v>3.47</v>
      </c>
      <c r="H33">
        <v>3.92</v>
      </c>
      <c r="I33">
        <v>3.58</v>
      </c>
      <c r="J33">
        <v>3.49</v>
      </c>
      <c r="K33">
        <v>3.49</v>
      </c>
      <c r="L33">
        <v>3.49</v>
      </c>
      <c r="M33">
        <v>3.05</v>
      </c>
      <c r="N33">
        <v>3.46</v>
      </c>
      <c r="O33">
        <v>3.46</v>
      </c>
      <c r="P33">
        <v>4.21</v>
      </c>
      <c r="Q33">
        <v>3.94</v>
      </c>
      <c r="R33">
        <v>3.62</v>
      </c>
      <c r="S33">
        <v>3.86</v>
      </c>
      <c r="T33">
        <v>3.8</v>
      </c>
      <c r="U33">
        <v>3.8</v>
      </c>
      <c r="V33">
        <v>3.72</v>
      </c>
      <c r="W33">
        <v>3.1</v>
      </c>
      <c r="X33">
        <v>3.06</v>
      </c>
      <c r="Y33">
        <v>3.08</v>
      </c>
    </row>
    <row r="34" spans="1:25" x14ac:dyDescent="0.25">
      <c r="A34" t="s">
        <v>14</v>
      </c>
      <c r="B34" t="s">
        <v>87</v>
      </c>
      <c r="C34" t="s">
        <v>16</v>
      </c>
      <c r="D34" t="s">
        <v>49</v>
      </c>
      <c r="E34">
        <v>7.79</v>
      </c>
      <c r="F34">
        <v>8.19</v>
      </c>
      <c r="G34">
        <v>7.47</v>
      </c>
      <c r="H34">
        <v>7.59</v>
      </c>
      <c r="I34">
        <v>7.85</v>
      </c>
      <c r="J34">
        <v>7.68</v>
      </c>
      <c r="K34">
        <v>7.31</v>
      </c>
      <c r="L34">
        <v>7.53</v>
      </c>
      <c r="M34">
        <v>7.43</v>
      </c>
      <c r="N34">
        <v>7.4</v>
      </c>
      <c r="O34">
        <v>7.98</v>
      </c>
      <c r="P34">
        <v>7.1</v>
      </c>
      <c r="Q34">
        <v>7.31</v>
      </c>
      <c r="R34">
        <v>7.64</v>
      </c>
      <c r="S34">
        <v>7.47</v>
      </c>
      <c r="T34">
        <v>7.42</v>
      </c>
      <c r="U34">
        <v>7.47</v>
      </c>
      <c r="V34">
        <v>7.62</v>
      </c>
      <c r="W34">
        <v>7.9</v>
      </c>
      <c r="X34">
        <v>7.95</v>
      </c>
      <c r="Y34">
        <v>7.67</v>
      </c>
    </row>
    <row r="35" spans="1:25" x14ac:dyDescent="0.25">
      <c r="A35" t="s">
        <v>3</v>
      </c>
      <c r="B35" t="s">
        <v>88</v>
      </c>
      <c r="C35" t="s">
        <v>3</v>
      </c>
      <c r="D35" t="s">
        <v>24</v>
      </c>
      <c r="E35">
        <v>14.52</v>
      </c>
      <c r="F35">
        <v>13.27</v>
      </c>
      <c r="G35">
        <v>13.26</v>
      </c>
      <c r="H35">
        <v>14.11</v>
      </c>
      <c r="I35">
        <v>14.06</v>
      </c>
      <c r="J35">
        <v>14.27</v>
      </c>
      <c r="K35">
        <v>13.84</v>
      </c>
      <c r="L35">
        <v>13.34</v>
      </c>
      <c r="M35">
        <v>12.49</v>
      </c>
      <c r="N35">
        <v>12.85</v>
      </c>
      <c r="O35">
        <v>12.48</v>
      </c>
      <c r="P35">
        <v>13.5</v>
      </c>
      <c r="Q35">
        <v>13.54</v>
      </c>
      <c r="R35">
        <v>13.54</v>
      </c>
      <c r="S35">
        <v>14.22</v>
      </c>
      <c r="T35">
        <v>13.54</v>
      </c>
      <c r="U35">
        <v>13.19</v>
      </c>
      <c r="V35">
        <v>13.66</v>
      </c>
      <c r="W35">
        <v>12.69</v>
      </c>
      <c r="X35">
        <v>13.66</v>
      </c>
      <c r="Y35">
        <v>13.27</v>
      </c>
    </row>
    <row r="36" spans="1:25" x14ac:dyDescent="0.25">
      <c r="A36" t="s">
        <v>59</v>
      </c>
      <c r="B36" t="s">
        <v>89</v>
      </c>
      <c r="C36" t="s">
        <v>48</v>
      </c>
      <c r="D36" t="s">
        <v>90</v>
      </c>
      <c r="E36">
        <v>87.76</v>
      </c>
      <c r="F36">
        <v>84.47</v>
      </c>
      <c r="G36">
        <v>88.51</v>
      </c>
      <c r="H36">
        <v>88.5</v>
      </c>
      <c r="I36">
        <v>88.5</v>
      </c>
      <c r="J36">
        <v>88.29</v>
      </c>
      <c r="K36">
        <v>91.5</v>
      </c>
      <c r="L36">
        <v>91.5</v>
      </c>
      <c r="M36">
        <v>90.9</v>
      </c>
      <c r="N36">
        <v>91.34</v>
      </c>
      <c r="O36">
        <v>85.86</v>
      </c>
      <c r="P36">
        <v>91.67</v>
      </c>
      <c r="Q36">
        <v>87.76</v>
      </c>
      <c r="R36">
        <v>91.7</v>
      </c>
      <c r="S36">
        <v>90.34</v>
      </c>
      <c r="T36">
        <v>94.85</v>
      </c>
      <c r="U36">
        <v>98.14</v>
      </c>
      <c r="V36">
        <v>95.29</v>
      </c>
      <c r="W36">
        <v>95.73</v>
      </c>
      <c r="X36">
        <v>117.46</v>
      </c>
      <c r="Y36">
        <v>117.46</v>
      </c>
    </row>
    <row r="37" spans="1:25" x14ac:dyDescent="0.25">
      <c r="A37" t="s">
        <v>3</v>
      </c>
      <c r="B37" t="s">
        <v>91</v>
      </c>
      <c r="C37" t="s">
        <v>3</v>
      </c>
      <c r="D37" t="s">
        <v>92</v>
      </c>
      <c r="E37">
        <v>29.07</v>
      </c>
      <c r="F37">
        <v>29.37</v>
      </c>
      <c r="G37">
        <v>26.79</v>
      </c>
      <c r="H37">
        <v>27.5</v>
      </c>
      <c r="I37">
        <v>27.26</v>
      </c>
      <c r="J37">
        <v>28.86</v>
      </c>
      <c r="K37">
        <v>27.29</v>
      </c>
      <c r="L37">
        <v>25.83</v>
      </c>
      <c r="M37">
        <v>26.17</v>
      </c>
      <c r="N37">
        <v>25.72</v>
      </c>
      <c r="O37">
        <v>27.42</v>
      </c>
      <c r="P37">
        <v>25.94</v>
      </c>
      <c r="Q37">
        <v>26.04</v>
      </c>
      <c r="R37">
        <v>25.26</v>
      </c>
      <c r="S37">
        <v>27.4</v>
      </c>
      <c r="T37">
        <v>27.17</v>
      </c>
      <c r="U37">
        <v>26.02</v>
      </c>
      <c r="V37">
        <v>26.27</v>
      </c>
      <c r="W37">
        <v>27.83</v>
      </c>
      <c r="X37">
        <v>26.99</v>
      </c>
      <c r="Y37">
        <v>25.85</v>
      </c>
    </row>
    <row r="38" spans="1:25" x14ac:dyDescent="0.25">
      <c r="A38" t="s">
        <v>74</v>
      </c>
      <c r="B38" t="s">
        <v>93</v>
      </c>
      <c r="C38" t="s">
        <v>74</v>
      </c>
      <c r="D38" t="s">
        <v>94</v>
      </c>
      <c r="E38">
        <v>52.57</v>
      </c>
      <c r="F38">
        <v>50.84</v>
      </c>
      <c r="G38">
        <v>61.12</v>
      </c>
      <c r="H38">
        <v>54.92</v>
      </c>
      <c r="I38">
        <v>54.99</v>
      </c>
      <c r="J38">
        <v>52.25</v>
      </c>
      <c r="K38">
        <v>56.03</v>
      </c>
      <c r="L38">
        <v>55.57</v>
      </c>
      <c r="M38">
        <v>54.76</v>
      </c>
      <c r="N38">
        <v>54.99</v>
      </c>
      <c r="O38">
        <v>54.7</v>
      </c>
      <c r="P38">
        <v>52.32</v>
      </c>
      <c r="Q38">
        <v>54.62</v>
      </c>
      <c r="R38">
        <v>55.38</v>
      </c>
      <c r="S38">
        <v>53.77</v>
      </c>
      <c r="T38">
        <v>56.08</v>
      </c>
      <c r="U38">
        <v>56.08</v>
      </c>
      <c r="V38">
        <v>57.36</v>
      </c>
      <c r="W38">
        <v>55.4</v>
      </c>
      <c r="X38">
        <v>55.27</v>
      </c>
      <c r="Y38">
        <v>54.17</v>
      </c>
    </row>
    <row r="39" spans="1:25" x14ac:dyDescent="0.25">
      <c r="A39" t="s">
        <v>95</v>
      </c>
      <c r="B39" t="s">
        <v>96</v>
      </c>
      <c r="C39" t="s">
        <v>95</v>
      </c>
      <c r="D39" t="s">
        <v>97</v>
      </c>
      <c r="E39">
        <v>47.51</v>
      </c>
      <c r="F39">
        <v>47.17</v>
      </c>
      <c r="G39">
        <v>49.37</v>
      </c>
      <c r="H39">
        <v>48.37</v>
      </c>
      <c r="I39">
        <v>46.08</v>
      </c>
      <c r="J39">
        <v>44.96</v>
      </c>
      <c r="K39">
        <v>46.07</v>
      </c>
      <c r="L39">
        <v>45.89</v>
      </c>
      <c r="M39">
        <v>44.94</v>
      </c>
      <c r="N39">
        <v>45.49</v>
      </c>
      <c r="O39">
        <v>46.09</v>
      </c>
      <c r="P39">
        <v>45.74</v>
      </c>
      <c r="Q39">
        <v>45.73</v>
      </c>
      <c r="R39">
        <v>44.74</v>
      </c>
      <c r="S39">
        <v>44.91</v>
      </c>
      <c r="T39">
        <v>46.13</v>
      </c>
      <c r="U39">
        <v>46.46</v>
      </c>
      <c r="V39">
        <v>45.58</v>
      </c>
      <c r="W39">
        <v>45.39</v>
      </c>
      <c r="X39">
        <v>43.55</v>
      </c>
      <c r="Y39">
        <v>46.01</v>
      </c>
    </row>
    <row r="40" spans="1:25" x14ac:dyDescent="0.25">
      <c r="A40" t="s">
        <v>98</v>
      </c>
      <c r="B40" t="s">
        <v>99</v>
      </c>
      <c r="C40" t="s">
        <v>30</v>
      </c>
      <c r="D40" t="s">
        <v>76</v>
      </c>
      <c r="K40">
        <v>18.91</v>
      </c>
      <c r="L40">
        <v>17.989999999999998</v>
      </c>
      <c r="M40">
        <v>20.02</v>
      </c>
      <c r="N40">
        <v>19.47</v>
      </c>
      <c r="O40">
        <v>19.440000000000001</v>
      </c>
      <c r="P40">
        <v>19.55</v>
      </c>
      <c r="Q40">
        <v>19.579999999999998</v>
      </c>
      <c r="R40">
        <v>19.96</v>
      </c>
      <c r="S40">
        <v>18.88</v>
      </c>
      <c r="T40">
        <v>19.25</v>
      </c>
      <c r="U40">
        <v>18.98</v>
      </c>
      <c r="V40">
        <v>18.920000000000002</v>
      </c>
      <c r="W40">
        <v>18.66</v>
      </c>
      <c r="X40">
        <v>19.93</v>
      </c>
      <c r="Y40">
        <v>19.72</v>
      </c>
    </row>
    <row r="41" spans="1:25" x14ac:dyDescent="0.25">
      <c r="A41" t="s">
        <v>59</v>
      </c>
      <c r="B41" t="s">
        <v>100</v>
      </c>
      <c r="C41" t="s">
        <v>48</v>
      </c>
      <c r="D41" t="s">
        <v>76</v>
      </c>
      <c r="E41">
        <v>3.87</v>
      </c>
      <c r="F41">
        <v>3.61</v>
      </c>
      <c r="G41">
        <v>3.62</v>
      </c>
      <c r="H41">
        <v>3.61</v>
      </c>
      <c r="I41">
        <v>3.63</v>
      </c>
      <c r="J41">
        <v>3.45</v>
      </c>
      <c r="K41">
        <v>3.74</v>
      </c>
      <c r="L41">
        <v>3.52</v>
      </c>
      <c r="M41">
        <v>3.49</v>
      </c>
      <c r="N41">
        <v>3.53</v>
      </c>
      <c r="O41">
        <v>3.64</v>
      </c>
      <c r="P41">
        <v>3.59</v>
      </c>
      <c r="Q41">
        <v>3.47</v>
      </c>
      <c r="R41">
        <v>3.56</v>
      </c>
      <c r="S41">
        <v>3.65</v>
      </c>
      <c r="T41">
        <v>3.82</v>
      </c>
      <c r="U41">
        <v>3.62</v>
      </c>
      <c r="V41">
        <v>3.6</v>
      </c>
      <c r="W41">
        <v>3.61</v>
      </c>
      <c r="X41">
        <v>3.54</v>
      </c>
      <c r="Y41">
        <v>3.73</v>
      </c>
    </row>
    <row r="42" spans="1:25" x14ac:dyDescent="0.25">
      <c r="A42" t="s">
        <v>101</v>
      </c>
      <c r="B42" t="s">
        <v>102</v>
      </c>
      <c r="C42" t="s">
        <v>64</v>
      </c>
      <c r="D42" t="s">
        <v>103</v>
      </c>
      <c r="E42">
        <v>1201.5999999999999</v>
      </c>
      <c r="F42">
        <v>1205.46</v>
      </c>
      <c r="G42">
        <v>1261.0999999999999</v>
      </c>
      <c r="H42">
        <v>1261.06</v>
      </c>
      <c r="I42">
        <v>1261.06</v>
      </c>
      <c r="J42">
        <v>1230.57</v>
      </c>
      <c r="K42">
        <v>1294.3599999999999</v>
      </c>
      <c r="L42">
        <v>1294.3599999999999</v>
      </c>
      <c r="M42">
        <v>1290.31</v>
      </c>
      <c r="N42">
        <v>1427.45</v>
      </c>
      <c r="O42">
        <v>1391</v>
      </c>
      <c r="P42">
        <v>1383.65</v>
      </c>
      <c r="Q42">
        <v>1363.98</v>
      </c>
      <c r="R42">
        <v>1354.05</v>
      </c>
      <c r="S42">
        <v>1341.3</v>
      </c>
      <c r="T42">
        <v>1341.3</v>
      </c>
      <c r="U42">
        <v>1354.94</v>
      </c>
      <c r="V42">
        <v>1364.6</v>
      </c>
      <c r="W42">
        <v>1349.99</v>
      </c>
      <c r="X42">
        <v>1413.09</v>
      </c>
      <c r="Y42">
        <v>1484.68</v>
      </c>
    </row>
    <row r="43" spans="1:25" x14ac:dyDescent="0.25">
      <c r="A43" t="s">
        <v>74</v>
      </c>
      <c r="B43" t="s">
        <v>104</v>
      </c>
      <c r="C43" t="s">
        <v>74</v>
      </c>
      <c r="D43" t="s">
        <v>92</v>
      </c>
      <c r="E43">
        <v>3.23</v>
      </c>
      <c r="F43">
        <v>3.14</v>
      </c>
      <c r="G43">
        <v>3.5</v>
      </c>
      <c r="H43">
        <v>3.27</v>
      </c>
      <c r="I43">
        <v>3.28</v>
      </c>
      <c r="J43">
        <v>3.41</v>
      </c>
      <c r="K43">
        <v>3.47</v>
      </c>
      <c r="L43">
        <v>3.16</v>
      </c>
      <c r="M43">
        <v>3.26</v>
      </c>
      <c r="N43">
        <v>3.28</v>
      </c>
      <c r="O43">
        <v>3.29</v>
      </c>
      <c r="P43">
        <v>3.38</v>
      </c>
      <c r="Q43">
        <v>3.25</v>
      </c>
      <c r="R43">
        <v>3.26</v>
      </c>
      <c r="S43">
        <v>3.19</v>
      </c>
      <c r="T43">
        <v>3.39</v>
      </c>
      <c r="U43">
        <v>3.14</v>
      </c>
      <c r="V43">
        <v>3.14</v>
      </c>
      <c r="W43">
        <v>3.13</v>
      </c>
      <c r="X43">
        <v>2.92</v>
      </c>
      <c r="Y43">
        <v>3.15</v>
      </c>
    </row>
    <row r="44" spans="1:25" x14ac:dyDescent="0.25">
      <c r="A44" t="s">
        <v>7</v>
      </c>
      <c r="B44" t="s">
        <v>105</v>
      </c>
      <c r="C44" t="s">
        <v>6</v>
      </c>
      <c r="D44" t="s">
        <v>92</v>
      </c>
      <c r="E44">
        <v>0.35</v>
      </c>
      <c r="F44">
        <v>0.34</v>
      </c>
      <c r="G44">
        <v>0.34</v>
      </c>
      <c r="H44">
        <v>0.34</v>
      </c>
      <c r="I44">
        <v>0.31</v>
      </c>
      <c r="J44">
        <v>0.3</v>
      </c>
      <c r="K44">
        <v>0.3</v>
      </c>
      <c r="L44">
        <v>0.31</v>
      </c>
      <c r="M44">
        <v>0.34</v>
      </c>
      <c r="N44">
        <v>0.34</v>
      </c>
      <c r="O44">
        <v>0.32</v>
      </c>
      <c r="P44">
        <v>0.31</v>
      </c>
      <c r="Q44">
        <v>0.31</v>
      </c>
      <c r="R44">
        <v>0.31</v>
      </c>
      <c r="S44">
        <v>0.32</v>
      </c>
      <c r="T44">
        <v>0.3</v>
      </c>
      <c r="U44">
        <v>0.31</v>
      </c>
      <c r="V44">
        <v>0.32</v>
      </c>
      <c r="W44">
        <v>0.3</v>
      </c>
      <c r="X44">
        <v>0.3</v>
      </c>
      <c r="Y44">
        <v>0.28000000000000003</v>
      </c>
    </row>
    <row r="45" spans="1:25" x14ac:dyDescent="0.25">
      <c r="A45" t="s">
        <v>53</v>
      </c>
      <c r="B45" t="s">
        <v>106</v>
      </c>
      <c r="C45" t="s">
        <v>48</v>
      </c>
      <c r="D45" t="s">
        <v>45</v>
      </c>
      <c r="E45">
        <v>28.06</v>
      </c>
      <c r="F45">
        <v>29.75</v>
      </c>
      <c r="G45">
        <v>27.86</v>
      </c>
      <c r="H45">
        <v>30.97</v>
      </c>
      <c r="I45">
        <v>30.52</v>
      </c>
      <c r="J45">
        <v>30.5</v>
      </c>
      <c r="K45">
        <v>30.94</v>
      </c>
      <c r="L45">
        <v>27.91</v>
      </c>
      <c r="M45">
        <v>30.48</v>
      </c>
      <c r="N45">
        <v>29.22</v>
      </c>
      <c r="O45">
        <v>29.8</v>
      </c>
      <c r="P45">
        <v>30.17</v>
      </c>
      <c r="Q45">
        <v>30.2</v>
      </c>
      <c r="R45">
        <v>29.95</v>
      </c>
      <c r="S45">
        <v>26.76</v>
      </c>
      <c r="T45">
        <v>30.71</v>
      </c>
      <c r="U45">
        <v>29.38</v>
      </c>
      <c r="V45">
        <v>29.53</v>
      </c>
      <c r="W45">
        <v>29.01</v>
      </c>
      <c r="X45">
        <v>28.8</v>
      </c>
      <c r="Y45">
        <v>29.36</v>
      </c>
    </row>
    <row r="46" spans="1:25" x14ac:dyDescent="0.25">
      <c r="A46" t="s">
        <v>53</v>
      </c>
      <c r="B46" t="s">
        <v>107</v>
      </c>
      <c r="C46" t="s">
        <v>48</v>
      </c>
      <c r="D46" t="s">
        <v>76</v>
      </c>
      <c r="E46">
        <v>5.71</v>
      </c>
      <c r="F46">
        <v>5.43</v>
      </c>
      <c r="G46">
        <v>5.45</v>
      </c>
      <c r="H46">
        <v>5.13</v>
      </c>
      <c r="I46">
        <v>5.22</v>
      </c>
      <c r="J46">
        <v>5.48</v>
      </c>
      <c r="K46">
        <v>5.37</v>
      </c>
      <c r="L46">
        <v>5.14</v>
      </c>
      <c r="M46">
        <v>5.09</v>
      </c>
      <c r="N46">
        <v>5.0199999999999996</v>
      </c>
      <c r="O46">
        <v>5.34</v>
      </c>
      <c r="P46">
        <v>5.22</v>
      </c>
      <c r="Q46">
        <v>5.2</v>
      </c>
      <c r="R46">
        <v>5.12</v>
      </c>
      <c r="S46">
        <v>5.36</v>
      </c>
      <c r="T46">
        <v>5.36</v>
      </c>
      <c r="U46">
        <v>5.25</v>
      </c>
      <c r="V46">
        <v>5.24</v>
      </c>
      <c r="W46">
        <v>5.17</v>
      </c>
      <c r="X46">
        <v>5.0199999999999996</v>
      </c>
      <c r="Y46">
        <v>5.34</v>
      </c>
    </row>
    <row r="47" spans="1:25" x14ac:dyDescent="0.25">
      <c r="A47" t="s">
        <v>37</v>
      </c>
      <c r="B47" t="s">
        <v>106</v>
      </c>
      <c r="C47" t="s">
        <v>37</v>
      </c>
      <c r="D47" t="s">
        <v>42</v>
      </c>
      <c r="E47">
        <v>21.98</v>
      </c>
      <c r="F47">
        <v>21.05</v>
      </c>
      <c r="G47">
        <v>20.67</v>
      </c>
      <c r="H47">
        <v>19.8</v>
      </c>
      <c r="I47">
        <v>21.22</v>
      </c>
      <c r="J47">
        <v>21.31</v>
      </c>
      <c r="K47">
        <v>21.25</v>
      </c>
      <c r="L47">
        <v>21.06</v>
      </c>
      <c r="M47">
        <v>20.420000000000002</v>
      </c>
      <c r="N47">
        <v>20.03</v>
      </c>
      <c r="O47">
        <v>20.100000000000001</v>
      </c>
      <c r="P47">
        <v>19.739999999999998</v>
      </c>
      <c r="Q47">
        <v>20.52</v>
      </c>
      <c r="R47">
        <v>21.08</v>
      </c>
      <c r="S47">
        <v>21.17</v>
      </c>
      <c r="T47">
        <v>21.44</v>
      </c>
      <c r="U47">
        <v>19.41</v>
      </c>
      <c r="V47">
        <v>19.41</v>
      </c>
      <c r="W47">
        <v>20.84</v>
      </c>
      <c r="X47">
        <v>20.7</v>
      </c>
      <c r="Y47">
        <v>21.47</v>
      </c>
    </row>
    <row r="48" spans="1:25" x14ac:dyDescent="0.25">
      <c r="A48" t="s">
        <v>108</v>
      </c>
      <c r="B48" t="s">
        <v>109</v>
      </c>
      <c r="C48" t="s">
        <v>48</v>
      </c>
      <c r="D48" t="s">
        <v>110</v>
      </c>
      <c r="E48">
        <v>6.58</v>
      </c>
      <c r="F48">
        <v>6.29</v>
      </c>
      <c r="G48">
        <v>5.78</v>
      </c>
      <c r="H48">
        <v>6.4</v>
      </c>
      <c r="I48">
        <v>5.82</v>
      </c>
      <c r="J48">
        <v>6.3</v>
      </c>
      <c r="K48">
        <v>6.49</v>
      </c>
      <c r="L48">
        <v>6.12</v>
      </c>
      <c r="M48">
        <v>6.3</v>
      </c>
      <c r="N48">
        <v>5.63</v>
      </c>
      <c r="O48">
        <v>6.03</v>
      </c>
      <c r="P48">
        <v>5.79</v>
      </c>
      <c r="Q48">
        <v>5.86</v>
      </c>
      <c r="R48">
        <v>5.79</v>
      </c>
      <c r="S48">
        <v>5.99</v>
      </c>
      <c r="T48">
        <v>6.33</v>
      </c>
      <c r="U48">
        <v>6.14</v>
      </c>
      <c r="V48">
        <v>5.9</v>
      </c>
      <c r="W48">
        <v>6.32</v>
      </c>
      <c r="X48">
        <v>5.54</v>
      </c>
      <c r="Y48">
        <v>5.98</v>
      </c>
    </row>
    <row r="49" spans="1:25" x14ac:dyDescent="0.25">
      <c r="A49" t="s">
        <v>50</v>
      </c>
      <c r="B49" t="s">
        <v>111</v>
      </c>
      <c r="C49" t="s">
        <v>48</v>
      </c>
      <c r="D49" t="s">
        <v>10</v>
      </c>
      <c r="E49">
        <v>6.46</v>
      </c>
      <c r="F49">
        <v>6.58</v>
      </c>
      <c r="G49">
        <v>6.48</v>
      </c>
      <c r="H49">
        <v>6.32</v>
      </c>
      <c r="I49">
        <v>6.23</v>
      </c>
      <c r="J49">
        <v>6.23</v>
      </c>
      <c r="K49">
        <v>5.76</v>
      </c>
      <c r="L49">
        <v>6.23</v>
      </c>
      <c r="M49">
        <v>6.01</v>
      </c>
      <c r="N49">
        <v>5.99</v>
      </c>
      <c r="O49">
        <v>6.03</v>
      </c>
      <c r="P49">
        <v>5.56</v>
      </c>
      <c r="Q49">
        <v>5.61</v>
      </c>
      <c r="R49">
        <v>5.63</v>
      </c>
      <c r="S49">
        <v>5.84</v>
      </c>
      <c r="T49">
        <v>5.91</v>
      </c>
      <c r="U49">
        <v>5.9</v>
      </c>
      <c r="V49">
        <v>5.86</v>
      </c>
      <c r="W49">
        <v>5.78</v>
      </c>
      <c r="X49">
        <v>5.86</v>
      </c>
      <c r="Y49">
        <v>5.88</v>
      </c>
    </row>
    <row r="50" spans="1:25" x14ac:dyDescent="0.25">
      <c r="A50" t="s">
        <v>22</v>
      </c>
      <c r="B50" t="s">
        <v>112</v>
      </c>
      <c r="C50" t="s">
        <v>16</v>
      </c>
      <c r="D50" t="s">
        <v>92</v>
      </c>
      <c r="E50">
        <v>3.63</v>
      </c>
      <c r="F50">
        <v>3.61</v>
      </c>
      <c r="G50">
        <v>3.63</v>
      </c>
      <c r="H50">
        <v>3.49</v>
      </c>
      <c r="I50">
        <v>3.84</v>
      </c>
      <c r="J50">
        <v>3.54</v>
      </c>
      <c r="K50">
        <v>3.57</v>
      </c>
      <c r="L50">
        <v>3.54</v>
      </c>
      <c r="M50">
        <v>3.75</v>
      </c>
      <c r="N50">
        <v>3.79</v>
      </c>
      <c r="O50">
        <v>3.49</v>
      </c>
      <c r="P50">
        <v>3.61</v>
      </c>
      <c r="Q50">
        <v>3.39</v>
      </c>
      <c r="R50">
        <v>3.53</v>
      </c>
      <c r="S50">
        <v>3.4</v>
      </c>
      <c r="T50">
        <v>3.49</v>
      </c>
      <c r="U50">
        <v>3.41</v>
      </c>
      <c r="V50">
        <v>3.64</v>
      </c>
      <c r="W50">
        <v>3.64</v>
      </c>
      <c r="X50">
        <v>3.23</v>
      </c>
      <c r="Y50">
        <v>3.28</v>
      </c>
    </row>
    <row r="51" spans="1:25" x14ac:dyDescent="0.25">
      <c r="A51" t="s">
        <v>95</v>
      </c>
      <c r="B51" t="s">
        <v>113</v>
      </c>
      <c r="C51" t="s">
        <v>95</v>
      </c>
      <c r="D51" t="s">
        <v>114</v>
      </c>
      <c r="E51">
        <v>26.57</v>
      </c>
      <c r="F51">
        <v>27.42</v>
      </c>
      <c r="G51">
        <v>27.83</v>
      </c>
      <c r="H51">
        <v>27.26</v>
      </c>
      <c r="I51">
        <v>25.67</v>
      </c>
      <c r="J51">
        <v>25.26</v>
      </c>
      <c r="K51">
        <v>25.26</v>
      </c>
      <c r="L51">
        <v>25.88</v>
      </c>
      <c r="M51">
        <v>26.82</v>
      </c>
      <c r="N51">
        <v>25.54</v>
      </c>
      <c r="O51">
        <v>24.7</v>
      </c>
      <c r="P51">
        <v>25.46</v>
      </c>
      <c r="Q51">
        <v>25.22</v>
      </c>
      <c r="R51">
        <v>25.89</v>
      </c>
      <c r="S51">
        <v>25.22</v>
      </c>
      <c r="T51">
        <v>27.19</v>
      </c>
      <c r="U51">
        <v>26.35</v>
      </c>
      <c r="V51">
        <v>26</v>
      </c>
      <c r="W51">
        <v>25.71</v>
      </c>
      <c r="X51">
        <v>26.46</v>
      </c>
      <c r="Y51">
        <v>26.13</v>
      </c>
    </row>
    <row r="52" spans="1:25" x14ac:dyDescent="0.25">
      <c r="A52" t="s">
        <v>74</v>
      </c>
      <c r="B52" t="s">
        <v>115</v>
      </c>
      <c r="C52" t="s">
        <v>74</v>
      </c>
      <c r="D52" t="s">
        <v>97</v>
      </c>
      <c r="E52">
        <v>74.08</v>
      </c>
      <c r="F52">
        <v>71.31</v>
      </c>
      <c r="G52">
        <v>71.88</v>
      </c>
      <c r="H52">
        <v>71.23</v>
      </c>
      <c r="I52">
        <v>70.58</v>
      </c>
      <c r="J52">
        <v>65.36</v>
      </c>
      <c r="K52">
        <v>73.31</v>
      </c>
      <c r="L52">
        <v>73.31</v>
      </c>
      <c r="M52">
        <v>72.87</v>
      </c>
      <c r="N52">
        <v>84.58</v>
      </c>
      <c r="O52">
        <v>84.44</v>
      </c>
      <c r="P52">
        <v>75.84</v>
      </c>
      <c r="Q52">
        <v>76.16</v>
      </c>
      <c r="R52">
        <v>69.569999999999993</v>
      </c>
      <c r="S52">
        <v>74.78</v>
      </c>
      <c r="T52">
        <v>75.67</v>
      </c>
      <c r="U52">
        <v>83.34</v>
      </c>
      <c r="V52">
        <v>78.56</v>
      </c>
      <c r="W52">
        <v>78.23</v>
      </c>
      <c r="X52">
        <v>78.48</v>
      </c>
      <c r="Y52">
        <v>76.790000000000006</v>
      </c>
    </row>
    <row r="53" spans="1:25" x14ac:dyDescent="0.25">
      <c r="A53" t="s">
        <v>59</v>
      </c>
      <c r="B53" t="s">
        <v>116</v>
      </c>
      <c r="C53" t="s">
        <v>48</v>
      </c>
      <c r="D53" t="s">
        <v>80</v>
      </c>
      <c r="E53">
        <v>17.53</v>
      </c>
      <c r="F53">
        <v>16.38</v>
      </c>
      <c r="G53">
        <v>17.649999999999999</v>
      </c>
      <c r="H53">
        <v>17.399999999999999</v>
      </c>
      <c r="I53">
        <v>17.13</v>
      </c>
      <c r="J53">
        <v>16.739999999999998</v>
      </c>
      <c r="K53">
        <v>15.07</v>
      </c>
      <c r="L53">
        <v>14.85</v>
      </c>
      <c r="M53">
        <v>16.37</v>
      </c>
      <c r="N53">
        <v>17.66</v>
      </c>
      <c r="O53">
        <v>16.45</v>
      </c>
      <c r="P53">
        <v>17.079999999999998</v>
      </c>
      <c r="Q53">
        <v>16.27</v>
      </c>
      <c r="R53">
        <v>16.46</v>
      </c>
      <c r="S53">
        <v>16.46</v>
      </c>
      <c r="T53">
        <v>17.079999999999998</v>
      </c>
      <c r="U53">
        <v>16.57</v>
      </c>
      <c r="V53">
        <v>15.41</v>
      </c>
      <c r="W53">
        <v>14.93</v>
      </c>
      <c r="X53">
        <v>16.899999999999999</v>
      </c>
      <c r="Y53">
        <v>16.48</v>
      </c>
    </row>
    <row r="54" spans="1:25" x14ac:dyDescent="0.25">
      <c r="A54" t="s">
        <v>95</v>
      </c>
      <c r="B54" t="s">
        <v>117</v>
      </c>
      <c r="C54" t="s">
        <v>95</v>
      </c>
      <c r="D54" t="s">
        <v>18</v>
      </c>
      <c r="E54">
        <v>37.770000000000003</v>
      </c>
      <c r="F54">
        <v>40.4</v>
      </c>
      <c r="G54">
        <v>39.340000000000003</v>
      </c>
      <c r="H54">
        <v>38.5</v>
      </c>
      <c r="I54">
        <v>40.049999999999997</v>
      </c>
      <c r="J54">
        <v>39.93</v>
      </c>
      <c r="K54">
        <v>38.409999999999997</v>
      </c>
      <c r="L54">
        <v>38.11</v>
      </c>
      <c r="M54">
        <v>37.81</v>
      </c>
      <c r="N54">
        <v>37.83</v>
      </c>
      <c r="O54">
        <v>39.6</v>
      </c>
      <c r="P54">
        <v>39.72</v>
      </c>
      <c r="Q54">
        <v>39.450000000000003</v>
      </c>
      <c r="R54">
        <v>35.369999999999997</v>
      </c>
      <c r="S54">
        <v>38.56</v>
      </c>
      <c r="T54">
        <v>37.049999999999997</v>
      </c>
      <c r="U54">
        <v>38.83</v>
      </c>
      <c r="V54">
        <v>39.65</v>
      </c>
      <c r="W54">
        <v>35.33</v>
      </c>
      <c r="X54">
        <v>34.11</v>
      </c>
      <c r="Y54">
        <v>35.04</v>
      </c>
    </row>
    <row r="55" spans="1:25" x14ac:dyDescent="0.25">
      <c r="A55" t="s">
        <v>95</v>
      </c>
      <c r="B55" t="s">
        <v>112</v>
      </c>
      <c r="C55" t="s">
        <v>95</v>
      </c>
      <c r="D55" t="s">
        <v>103</v>
      </c>
      <c r="E55">
        <v>62.15</v>
      </c>
      <c r="F55">
        <v>61.77</v>
      </c>
      <c r="G55">
        <v>62.83</v>
      </c>
      <c r="H55">
        <v>62.69</v>
      </c>
      <c r="I55">
        <v>59.41</v>
      </c>
      <c r="J55">
        <v>62.97</v>
      </c>
      <c r="K55">
        <v>61.22</v>
      </c>
      <c r="L55">
        <v>59.28</v>
      </c>
      <c r="M55">
        <v>60</v>
      </c>
      <c r="N55">
        <v>61.12</v>
      </c>
      <c r="O55">
        <v>60.26</v>
      </c>
      <c r="P55">
        <v>60.03</v>
      </c>
      <c r="Q55">
        <v>60.1</v>
      </c>
      <c r="R55">
        <v>61.83</v>
      </c>
      <c r="S55">
        <v>63.61</v>
      </c>
      <c r="T55">
        <v>59.98</v>
      </c>
      <c r="U55">
        <v>60.1</v>
      </c>
      <c r="V55">
        <v>61.21</v>
      </c>
      <c r="W55">
        <v>60.3</v>
      </c>
      <c r="X55">
        <v>60</v>
      </c>
      <c r="Y55">
        <v>61.55</v>
      </c>
    </row>
    <row r="56" spans="1:25" x14ac:dyDescent="0.25">
      <c r="A56" t="s">
        <v>3</v>
      </c>
      <c r="B56" t="s">
        <v>118</v>
      </c>
      <c r="C56" t="s">
        <v>3</v>
      </c>
      <c r="D56" t="s">
        <v>45</v>
      </c>
      <c r="E56">
        <v>26.86</v>
      </c>
      <c r="F56">
        <v>25.93</v>
      </c>
      <c r="G56">
        <v>25.2</v>
      </c>
      <c r="H56">
        <v>26.25</v>
      </c>
      <c r="I56">
        <v>26.3</v>
      </c>
      <c r="J56">
        <v>26.9</v>
      </c>
      <c r="K56">
        <v>24.86</v>
      </c>
      <c r="L56">
        <v>27.3</v>
      </c>
      <c r="M56">
        <v>25.21</v>
      </c>
      <c r="N56">
        <v>26.11</v>
      </c>
      <c r="O56">
        <v>27.42</v>
      </c>
      <c r="P56">
        <v>27.34</v>
      </c>
      <c r="Q56">
        <v>27.33</v>
      </c>
      <c r="R56">
        <v>28.52</v>
      </c>
      <c r="S56">
        <v>28.58</v>
      </c>
      <c r="T56">
        <v>29.09</v>
      </c>
      <c r="U56">
        <v>29.49</v>
      </c>
      <c r="V56">
        <v>28.06</v>
      </c>
      <c r="W56">
        <v>32.92</v>
      </c>
      <c r="X56">
        <v>38.33</v>
      </c>
      <c r="Y56">
        <v>35.700000000000003</v>
      </c>
    </row>
    <row r="57" spans="1:25" x14ac:dyDescent="0.25">
      <c r="A57" t="s">
        <v>95</v>
      </c>
      <c r="B57" t="s">
        <v>119</v>
      </c>
      <c r="C57" t="s">
        <v>95</v>
      </c>
      <c r="D57" t="s">
        <v>120</v>
      </c>
      <c r="E57">
        <v>192.99</v>
      </c>
      <c r="F57">
        <v>203.36</v>
      </c>
      <c r="G57">
        <v>210.82</v>
      </c>
      <c r="H57">
        <v>201.42</v>
      </c>
      <c r="I57">
        <v>212.4</v>
      </c>
      <c r="J57">
        <v>197.46</v>
      </c>
      <c r="K57">
        <v>200.73</v>
      </c>
      <c r="L57">
        <v>207.88</v>
      </c>
      <c r="M57">
        <v>194.84</v>
      </c>
      <c r="N57">
        <v>215.86</v>
      </c>
      <c r="O57">
        <v>215.62</v>
      </c>
      <c r="P57">
        <v>213.15</v>
      </c>
      <c r="Q57">
        <v>195.27</v>
      </c>
      <c r="R57">
        <v>206.84</v>
      </c>
      <c r="S57">
        <v>206.2</v>
      </c>
      <c r="T57">
        <v>217.85</v>
      </c>
      <c r="U57">
        <v>214.41</v>
      </c>
      <c r="V57">
        <v>219.34</v>
      </c>
      <c r="W57">
        <v>226.95</v>
      </c>
      <c r="X57">
        <v>265.85000000000002</v>
      </c>
      <c r="Y57">
        <v>250.41</v>
      </c>
    </row>
    <row r="58" spans="1:25" x14ac:dyDescent="0.25">
      <c r="A58" t="s">
        <v>40</v>
      </c>
      <c r="B58" t="s">
        <v>121</v>
      </c>
      <c r="C58" t="s">
        <v>30</v>
      </c>
      <c r="D58" t="s">
        <v>114</v>
      </c>
      <c r="K58">
        <v>3.38</v>
      </c>
      <c r="L58">
        <v>3.1</v>
      </c>
      <c r="M58">
        <v>3.23</v>
      </c>
      <c r="N58">
        <v>3.13</v>
      </c>
      <c r="O58">
        <v>3.24</v>
      </c>
      <c r="P58">
        <v>2.93</v>
      </c>
      <c r="Q58">
        <v>2.76</v>
      </c>
      <c r="R58">
        <v>3.06</v>
      </c>
      <c r="S58">
        <v>2.93</v>
      </c>
      <c r="T58">
        <v>2.79</v>
      </c>
      <c r="U58">
        <v>2.82</v>
      </c>
      <c r="V58">
        <v>2.81</v>
      </c>
      <c r="W58">
        <v>2.85</v>
      </c>
      <c r="X58">
        <v>2.82</v>
      </c>
      <c r="Y58">
        <v>2.7</v>
      </c>
    </row>
    <row r="59" spans="1:25" x14ac:dyDescent="0.25">
      <c r="A59" t="s">
        <v>122</v>
      </c>
      <c r="B59" t="s">
        <v>123</v>
      </c>
      <c r="C59" t="s">
        <v>6</v>
      </c>
      <c r="D59" t="s">
        <v>83</v>
      </c>
      <c r="E59">
        <v>0.82</v>
      </c>
      <c r="F59">
        <v>0.77</v>
      </c>
      <c r="G59">
        <v>0.8</v>
      </c>
      <c r="H59">
        <v>0.78</v>
      </c>
      <c r="I59">
        <v>0.76</v>
      </c>
      <c r="J59">
        <v>0.76</v>
      </c>
      <c r="K59">
        <v>0.78</v>
      </c>
      <c r="L59">
        <v>0.73</v>
      </c>
      <c r="M59">
        <v>0.75</v>
      </c>
      <c r="N59">
        <v>0.74</v>
      </c>
      <c r="O59">
        <v>0.77</v>
      </c>
      <c r="P59">
        <v>0.78</v>
      </c>
      <c r="Q59">
        <v>0.84</v>
      </c>
      <c r="R59">
        <v>0.83</v>
      </c>
      <c r="S59">
        <v>0.92</v>
      </c>
      <c r="T59">
        <v>0.83</v>
      </c>
      <c r="U59">
        <v>0.85</v>
      </c>
      <c r="V59">
        <v>0.82</v>
      </c>
      <c r="W59">
        <v>0.8</v>
      </c>
      <c r="X59">
        <v>0.8</v>
      </c>
      <c r="Y59">
        <v>0.87</v>
      </c>
    </row>
    <row r="60" spans="1:25" x14ac:dyDescent="0.25">
      <c r="A60" t="s">
        <v>50</v>
      </c>
      <c r="B60" t="s">
        <v>124</v>
      </c>
      <c r="C60" t="s">
        <v>48</v>
      </c>
      <c r="D60" t="s">
        <v>125</v>
      </c>
      <c r="E60">
        <v>1.29</v>
      </c>
      <c r="F60">
        <v>1.19</v>
      </c>
      <c r="G60">
        <v>1.1000000000000001</v>
      </c>
      <c r="H60">
        <v>1.1100000000000001</v>
      </c>
      <c r="I60">
        <v>1.08</v>
      </c>
      <c r="J60">
        <v>1.1000000000000001</v>
      </c>
      <c r="K60">
        <v>1.08</v>
      </c>
      <c r="L60">
        <v>1.05</v>
      </c>
      <c r="M60">
        <v>1.1000000000000001</v>
      </c>
      <c r="N60">
        <v>1.1200000000000001</v>
      </c>
      <c r="O60">
        <v>1.19</v>
      </c>
      <c r="P60">
        <v>1.28</v>
      </c>
      <c r="Q60">
        <v>1.26</v>
      </c>
      <c r="R60">
        <v>1.23</v>
      </c>
      <c r="S60">
        <v>1.1599999999999999</v>
      </c>
      <c r="T60">
        <v>1.17</v>
      </c>
      <c r="U60">
        <v>1.19</v>
      </c>
      <c r="V60">
        <v>1.1100000000000001</v>
      </c>
      <c r="W60">
        <v>0.97</v>
      </c>
      <c r="X60">
        <v>1.04</v>
      </c>
      <c r="Y60">
        <v>1.04</v>
      </c>
    </row>
    <row r="61" spans="1:25" x14ac:dyDescent="0.25">
      <c r="A61" t="s">
        <v>28</v>
      </c>
      <c r="B61" t="s">
        <v>126</v>
      </c>
      <c r="C61" t="s">
        <v>30</v>
      </c>
      <c r="D61" t="s">
        <v>45</v>
      </c>
      <c r="K61">
        <v>10.85</v>
      </c>
      <c r="L61">
        <v>9.94</v>
      </c>
      <c r="M61">
        <v>10.85</v>
      </c>
      <c r="N61">
        <v>10.87</v>
      </c>
      <c r="O61">
        <v>10.86</v>
      </c>
      <c r="P61">
        <v>11.36</v>
      </c>
      <c r="Q61">
        <v>11.61</v>
      </c>
      <c r="R61">
        <v>11.59</v>
      </c>
      <c r="S61">
        <v>11.47</v>
      </c>
      <c r="T61">
        <v>11.23</v>
      </c>
      <c r="U61">
        <v>11.13</v>
      </c>
      <c r="V61">
        <v>11.42</v>
      </c>
      <c r="W61">
        <v>11.87</v>
      </c>
      <c r="X61">
        <v>14.44</v>
      </c>
      <c r="Y61">
        <v>13.98</v>
      </c>
    </row>
    <row r="62" spans="1:25" x14ac:dyDescent="0.25">
      <c r="A62" t="s">
        <v>22</v>
      </c>
      <c r="B62" t="s">
        <v>127</v>
      </c>
      <c r="C62" t="s">
        <v>16</v>
      </c>
      <c r="D62" t="s">
        <v>97</v>
      </c>
      <c r="E62">
        <v>5.33</v>
      </c>
      <c r="F62">
        <v>5.67</v>
      </c>
      <c r="G62">
        <v>5.86</v>
      </c>
      <c r="H62">
        <v>5.63</v>
      </c>
      <c r="I62">
        <v>5.79</v>
      </c>
      <c r="J62">
        <v>5.22</v>
      </c>
      <c r="K62">
        <v>5.4</v>
      </c>
      <c r="L62">
        <v>5.59</v>
      </c>
      <c r="M62">
        <v>5.26</v>
      </c>
      <c r="N62">
        <v>6.57</v>
      </c>
      <c r="O62">
        <v>5.89</v>
      </c>
      <c r="P62">
        <v>5.25</v>
      </c>
      <c r="Q62">
        <v>5.48</v>
      </c>
      <c r="R62">
        <v>5.58</v>
      </c>
      <c r="S62">
        <v>5.88</v>
      </c>
      <c r="T62">
        <v>5.53</v>
      </c>
      <c r="U62">
        <v>5.66</v>
      </c>
      <c r="V62">
        <v>5.03</v>
      </c>
      <c r="W62">
        <v>5.91</v>
      </c>
      <c r="X62">
        <v>5.42</v>
      </c>
      <c r="Y62">
        <v>5.63</v>
      </c>
    </row>
    <row r="63" spans="1:25" x14ac:dyDescent="0.25">
      <c r="A63" t="s">
        <v>46</v>
      </c>
      <c r="B63" t="s">
        <v>128</v>
      </c>
      <c r="C63" t="s">
        <v>48</v>
      </c>
      <c r="D63" t="s">
        <v>39</v>
      </c>
      <c r="E63">
        <v>2.42</v>
      </c>
      <c r="F63">
        <v>2.35</v>
      </c>
      <c r="G63">
        <v>2.31</v>
      </c>
      <c r="H63">
        <v>2.4300000000000002</v>
      </c>
      <c r="I63">
        <v>2.42</v>
      </c>
      <c r="J63">
        <v>2.33</v>
      </c>
      <c r="K63">
        <v>2.37</v>
      </c>
      <c r="L63">
        <v>2.39</v>
      </c>
      <c r="M63">
        <v>2.2599999999999998</v>
      </c>
      <c r="N63">
        <v>2.3199999999999998</v>
      </c>
      <c r="O63">
        <v>2.35</v>
      </c>
      <c r="P63">
        <v>2.38</v>
      </c>
      <c r="Q63">
        <v>2.36</v>
      </c>
      <c r="R63">
        <v>2.41</v>
      </c>
      <c r="S63">
        <v>2.37</v>
      </c>
      <c r="T63">
        <v>2.4900000000000002</v>
      </c>
      <c r="U63">
        <v>2.5</v>
      </c>
      <c r="V63">
        <v>2.39</v>
      </c>
      <c r="W63">
        <v>2.34</v>
      </c>
      <c r="X63">
        <v>2.34</v>
      </c>
      <c r="Y63">
        <v>2.38</v>
      </c>
    </row>
    <row r="64" spans="1:25" x14ac:dyDescent="0.25">
      <c r="A64" t="s">
        <v>3</v>
      </c>
      <c r="B64" t="s">
        <v>129</v>
      </c>
      <c r="C64" t="s">
        <v>3</v>
      </c>
      <c r="D64" t="s">
        <v>97</v>
      </c>
      <c r="E64">
        <v>6.9</v>
      </c>
      <c r="F64">
        <v>7.37</v>
      </c>
      <c r="G64">
        <v>6.99</v>
      </c>
      <c r="H64">
        <v>6.87</v>
      </c>
      <c r="I64">
        <v>6.82</v>
      </c>
      <c r="J64">
        <v>7.06</v>
      </c>
      <c r="K64">
        <v>6.74</v>
      </c>
      <c r="L64">
        <v>7.04</v>
      </c>
      <c r="M64">
        <v>6.99</v>
      </c>
      <c r="N64">
        <v>7.14</v>
      </c>
      <c r="O64">
        <v>6.68</v>
      </c>
      <c r="P64">
        <v>6.85</v>
      </c>
      <c r="Q64">
        <v>6.98</v>
      </c>
      <c r="R64">
        <v>7.03</v>
      </c>
      <c r="S64">
        <v>6.48</v>
      </c>
      <c r="T64">
        <v>6.63</v>
      </c>
      <c r="U64">
        <v>6.64</v>
      </c>
      <c r="V64">
        <v>7.06</v>
      </c>
      <c r="W64">
        <v>6.58</v>
      </c>
      <c r="X64">
        <v>6.51</v>
      </c>
      <c r="Y64">
        <v>6.59</v>
      </c>
    </row>
    <row r="65" spans="1:25" x14ac:dyDescent="0.25">
      <c r="A65" t="s">
        <v>53</v>
      </c>
      <c r="B65" t="s">
        <v>130</v>
      </c>
      <c r="C65" t="s">
        <v>48</v>
      </c>
      <c r="D65" t="s">
        <v>42</v>
      </c>
      <c r="E65">
        <v>4.9000000000000004</v>
      </c>
      <c r="F65">
        <v>4.72</v>
      </c>
      <c r="G65">
        <v>4.97</v>
      </c>
      <c r="H65">
        <v>4.68</v>
      </c>
      <c r="I65">
        <v>4.68</v>
      </c>
      <c r="J65">
        <v>4.83</v>
      </c>
      <c r="K65">
        <v>4.7699999999999996</v>
      </c>
      <c r="L65">
        <v>4.92</v>
      </c>
      <c r="M65">
        <v>4.55</v>
      </c>
      <c r="N65">
        <v>4.4800000000000004</v>
      </c>
      <c r="O65">
        <v>4.9000000000000004</v>
      </c>
      <c r="P65">
        <v>4.76</v>
      </c>
      <c r="Q65">
        <v>4.92</v>
      </c>
      <c r="R65">
        <v>4.67</v>
      </c>
      <c r="S65">
        <v>4.7300000000000004</v>
      </c>
      <c r="T65">
        <v>4.76</v>
      </c>
      <c r="U65">
        <v>4.6900000000000004</v>
      </c>
      <c r="V65">
        <v>4.21</v>
      </c>
      <c r="W65">
        <v>4.8</v>
      </c>
      <c r="X65">
        <v>4.51</v>
      </c>
      <c r="Y65">
        <v>4.3</v>
      </c>
    </row>
    <row r="66" spans="1:25" x14ac:dyDescent="0.25">
      <c r="A66" t="s">
        <v>122</v>
      </c>
      <c r="B66" t="s">
        <v>131</v>
      </c>
      <c r="C66" t="s">
        <v>6</v>
      </c>
      <c r="D66" t="s">
        <v>92</v>
      </c>
      <c r="E66">
        <v>0.36</v>
      </c>
      <c r="F66">
        <v>0.34</v>
      </c>
      <c r="G66">
        <v>0.35</v>
      </c>
      <c r="H66">
        <v>0.32</v>
      </c>
      <c r="I66">
        <v>0.35</v>
      </c>
      <c r="J66">
        <v>0.32</v>
      </c>
      <c r="K66">
        <v>0.32</v>
      </c>
      <c r="L66">
        <v>0.34</v>
      </c>
      <c r="M66">
        <v>0.38</v>
      </c>
      <c r="N66">
        <v>0.35</v>
      </c>
      <c r="O66">
        <v>0.35</v>
      </c>
      <c r="P66">
        <v>0.35</v>
      </c>
      <c r="Q66">
        <v>0.32</v>
      </c>
      <c r="R66">
        <v>0.35</v>
      </c>
      <c r="S66">
        <v>0.3</v>
      </c>
      <c r="T66">
        <v>0.32</v>
      </c>
      <c r="U66">
        <v>0.35</v>
      </c>
      <c r="V66">
        <v>0.35</v>
      </c>
      <c r="W66">
        <v>0.31</v>
      </c>
      <c r="X66">
        <v>0.32</v>
      </c>
      <c r="Y66">
        <v>0.31</v>
      </c>
    </row>
    <row r="67" spans="1:25" x14ac:dyDescent="0.25">
      <c r="A67" t="s">
        <v>132</v>
      </c>
      <c r="B67" t="s">
        <v>133</v>
      </c>
      <c r="C67" t="s">
        <v>48</v>
      </c>
      <c r="D67" t="s">
        <v>83</v>
      </c>
      <c r="E67">
        <v>2.57</v>
      </c>
      <c r="F67">
        <v>2.5</v>
      </c>
      <c r="G67">
        <v>2.68</v>
      </c>
      <c r="H67">
        <v>2.4300000000000002</v>
      </c>
      <c r="I67">
        <v>2.61</v>
      </c>
      <c r="J67">
        <v>2.62</v>
      </c>
      <c r="K67">
        <v>2.66</v>
      </c>
      <c r="L67">
        <v>2.67</v>
      </c>
      <c r="M67">
        <v>2.58</v>
      </c>
      <c r="N67">
        <v>2.81</v>
      </c>
      <c r="O67">
        <v>2.78</v>
      </c>
      <c r="P67">
        <v>2.82</v>
      </c>
      <c r="Q67">
        <v>2.93</v>
      </c>
      <c r="R67">
        <v>2.42</v>
      </c>
      <c r="S67">
        <v>2.65</v>
      </c>
      <c r="T67">
        <v>2.7</v>
      </c>
      <c r="U67">
        <v>2.5299999999999998</v>
      </c>
      <c r="V67">
        <v>2.44</v>
      </c>
      <c r="W67">
        <v>2.5299999999999998</v>
      </c>
      <c r="X67">
        <v>2.39</v>
      </c>
      <c r="Y67">
        <v>2.69</v>
      </c>
    </row>
    <row r="68" spans="1:25" x14ac:dyDescent="0.25">
      <c r="A68" t="s">
        <v>134</v>
      </c>
      <c r="B68" t="s">
        <v>135</v>
      </c>
      <c r="C68" t="s">
        <v>64</v>
      </c>
      <c r="D68" t="s">
        <v>10</v>
      </c>
      <c r="E68">
        <v>194.62</v>
      </c>
      <c r="F68">
        <v>191.6</v>
      </c>
      <c r="G68">
        <v>180.11</v>
      </c>
      <c r="H68">
        <v>192.42</v>
      </c>
      <c r="I68">
        <v>192.42</v>
      </c>
      <c r="J68">
        <v>191.29</v>
      </c>
      <c r="K68">
        <v>183.02</v>
      </c>
      <c r="L68">
        <v>190.84</v>
      </c>
      <c r="M68">
        <v>183.2</v>
      </c>
      <c r="N68">
        <v>188.79</v>
      </c>
      <c r="O68">
        <v>188.98</v>
      </c>
      <c r="P68">
        <v>181.09</v>
      </c>
      <c r="Q68">
        <v>190.1</v>
      </c>
      <c r="R68">
        <v>189.75</v>
      </c>
      <c r="S68">
        <v>180.74</v>
      </c>
      <c r="T68">
        <v>189.61</v>
      </c>
      <c r="U68">
        <v>186.36</v>
      </c>
      <c r="V68">
        <v>180.21</v>
      </c>
      <c r="W68">
        <v>164.58</v>
      </c>
      <c r="X68">
        <v>169.76</v>
      </c>
      <c r="Y68">
        <v>185.28</v>
      </c>
    </row>
    <row r="69" spans="1:25" x14ac:dyDescent="0.25">
      <c r="A69" t="s">
        <v>46</v>
      </c>
      <c r="B69" t="s">
        <v>136</v>
      </c>
      <c r="C69" t="s">
        <v>48</v>
      </c>
      <c r="D69" t="s">
        <v>39</v>
      </c>
      <c r="E69">
        <v>12.25</v>
      </c>
      <c r="F69">
        <v>13.38</v>
      </c>
      <c r="G69">
        <v>12.8</v>
      </c>
      <c r="H69">
        <v>13.84</v>
      </c>
      <c r="I69">
        <v>13.63</v>
      </c>
      <c r="J69">
        <v>13.45</v>
      </c>
      <c r="K69">
        <v>12.42</v>
      </c>
      <c r="L69">
        <v>13.28</v>
      </c>
      <c r="M69">
        <v>13.28</v>
      </c>
      <c r="N69">
        <v>13.01</v>
      </c>
      <c r="O69">
        <v>12.76</v>
      </c>
      <c r="P69">
        <v>11.82</v>
      </c>
      <c r="Q69">
        <v>13.23</v>
      </c>
      <c r="R69">
        <v>13.37</v>
      </c>
      <c r="S69">
        <v>12.95</v>
      </c>
      <c r="T69">
        <v>13.49</v>
      </c>
      <c r="U69">
        <v>13.24</v>
      </c>
      <c r="V69">
        <v>12.62</v>
      </c>
      <c r="W69">
        <v>13.16</v>
      </c>
      <c r="X69">
        <v>12.6</v>
      </c>
      <c r="Y69">
        <v>12.78</v>
      </c>
    </row>
    <row r="70" spans="1:25" x14ac:dyDescent="0.25">
      <c r="A70" t="s">
        <v>14</v>
      </c>
      <c r="B70" t="s">
        <v>137</v>
      </c>
      <c r="C70" t="s">
        <v>16</v>
      </c>
      <c r="D70" t="s">
        <v>33</v>
      </c>
      <c r="E70">
        <v>4.41</v>
      </c>
      <c r="F70">
        <v>4.16</v>
      </c>
      <c r="G70">
        <v>4.37</v>
      </c>
      <c r="H70">
        <v>4.34</v>
      </c>
      <c r="I70">
        <v>3.77</v>
      </c>
      <c r="J70">
        <v>4.34</v>
      </c>
      <c r="K70">
        <v>3.96</v>
      </c>
      <c r="L70">
        <v>4.2699999999999996</v>
      </c>
      <c r="M70">
        <v>4.05</v>
      </c>
      <c r="N70">
        <v>3.79</v>
      </c>
      <c r="O70">
        <v>3.93</v>
      </c>
      <c r="P70">
        <v>3.88</v>
      </c>
      <c r="Q70">
        <v>4.2300000000000004</v>
      </c>
      <c r="R70">
        <v>3.91</v>
      </c>
      <c r="S70">
        <v>4.33</v>
      </c>
      <c r="T70">
        <v>3.93</v>
      </c>
      <c r="U70">
        <v>4.08</v>
      </c>
      <c r="V70">
        <v>3.75</v>
      </c>
      <c r="W70">
        <v>4.1900000000000004</v>
      </c>
      <c r="X70">
        <v>3.74</v>
      </c>
      <c r="Y70">
        <v>3.62</v>
      </c>
    </row>
    <row r="71" spans="1:25" x14ac:dyDescent="0.25">
      <c r="A71" t="s">
        <v>56</v>
      </c>
      <c r="B71" t="s">
        <v>138</v>
      </c>
      <c r="C71" t="s">
        <v>48</v>
      </c>
      <c r="D71" t="s">
        <v>27</v>
      </c>
      <c r="E71">
        <v>1.39</v>
      </c>
      <c r="F71">
        <v>1.46</v>
      </c>
      <c r="G71">
        <v>1.35</v>
      </c>
      <c r="H71">
        <v>1.38</v>
      </c>
      <c r="I71">
        <v>1.39</v>
      </c>
      <c r="J71">
        <v>1.35</v>
      </c>
      <c r="K71">
        <v>1.43</v>
      </c>
      <c r="L71">
        <v>1.42</v>
      </c>
      <c r="M71">
        <v>1.35</v>
      </c>
      <c r="N71">
        <v>1.45</v>
      </c>
      <c r="O71">
        <v>1.43</v>
      </c>
      <c r="P71">
        <v>1.32</v>
      </c>
      <c r="Q71">
        <v>1.38</v>
      </c>
      <c r="R71">
        <v>1.44</v>
      </c>
      <c r="S71">
        <v>1.33</v>
      </c>
      <c r="T71">
        <v>1.46</v>
      </c>
      <c r="U71">
        <v>1.42</v>
      </c>
      <c r="V71">
        <v>1.44</v>
      </c>
      <c r="W71">
        <v>1.45</v>
      </c>
      <c r="X71">
        <v>1.44</v>
      </c>
      <c r="Y71">
        <v>1.46</v>
      </c>
    </row>
    <row r="72" spans="1:25" x14ac:dyDescent="0.25">
      <c r="A72" t="s">
        <v>50</v>
      </c>
      <c r="B72" t="s">
        <v>139</v>
      </c>
      <c r="C72" t="s">
        <v>48</v>
      </c>
      <c r="D72" t="s">
        <v>80</v>
      </c>
      <c r="E72">
        <v>12.57</v>
      </c>
      <c r="F72">
        <v>10.7</v>
      </c>
      <c r="G72">
        <v>12.88</v>
      </c>
      <c r="H72">
        <v>12.64</v>
      </c>
      <c r="I72">
        <v>12.69</v>
      </c>
      <c r="J72">
        <v>13.17</v>
      </c>
      <c r="K72">
        <v>13.28</v>
      </c>
      <c r="L72">
        <v>13.14</v>
      </c>
      <c r="M72">
        <v>12.09</v>
      </c>
      <c r="N72">
        <v>13.02</v>
      </c>
      <c r="O72">
        <v>12.56</v>
      </c>
      <c r="P72">
        <v>12.68</v>
      </c>
      <c r="Q72">
        <v>12.15</v>
      </c>
      <c r="R72">
        <v>12.04</v>
      </c>
      <c r="S72">
        <v>11.22</v>
      </c>
      <c r="T72">
        <v>12.26</v>
      </c>
      <c r="U72">
        <v>11.7</v>
      </c>
      <c r="V72">
        <v>11.22</v>
      </c>
      <c r="W72">
        <v>12.11</v>
      </c>
      <c r="X72">
        <v>11.36</v>
      </c>
      <c r="Y72">
        <v>12.62</v>
      </c>
    </row>
    <row r="73" spans="1:25" x14ac:dyDescent="0.25">
      <c r="A73" t="s">
        <v>74</v>
      </c>
      <c r="B73" t="s">
        <v>140</v>
      </c>
      <c r="C73" t="s">
        <v>74</v>
      </c>
      <c r="D73" t="s">
        <v>24</v>
      </c>
      <c r="E73">
        <v>6.81</v>
      </c>
      <c r="F73">
        <v>7.26</v>
      </c>
      <c r="G73">
        <v>7.22</v>
      </c>
      <c r="H73">
        <v>6.73</v>
      </c>
      <c r="I73">
        <v>6.71</v>
      </c>
      <c r="J73">
        <v>6.73</v>
      </c>
      <c r="K73">
        <v>6.97</v>
      </c>
      <c r="L73">
        <v>7.34</v>
      </c>
      <c r="M73">
        <v>7.18</v>
      </c>
      <c r="N73">
        <v>6.93</v>
      </c>
      <c r="O73">
        <v>6.5</v>
      </c>
      <c r="P73">
        <v>6.4</v>
      </c>
      <c r="Q73">
        <v>7.28</v>
      </c>
      <c r="R73">
        <v>7.32</v>
      </c>
      <c r="S73">
        <v>7.71</v>
      </c>
      <c r="T73">
        <v>7.27</v>
      </c>
      <c r="U73">
        <v>7.36</v>
      </c>
      <c r="V73">
        <v>7.14</v>
      </c>
      <c r="W73">
        <v>7.32</v>
      </c>
      <c r="X73">
        <v>7.2</v>
      </c>
      <c r="Y73">
        <v>7.6</v>
      </c>
    </row>
    <row r="74" spans="1:25" x14ac:dyDescent="0.25">
      <c r="A74" t="s">
        <v>95</v>
      </c>
      <c r="B74" t="s">
        <v>141</v>
      </c>
      <c r="C74" t="s">
        <v>95</v>
      </c>
      <c r="D74" t="s">
        <v>142</v>
      </c>
      <c r="E74">
        <v>18.21</v>
      </c>
      <c r="F74">
        <v>18.21</v>
      </c>
      <c r="G74">
        <v>18.36</v>
      </c>
      <c r="H74">
        <v>18.21</v>
      </c>
      <c r="I74">
        <v>18.2</v>
      </c>
      <c r="J74">
        <v>18.899999999999999</v>
      </c>
      <c r="K74">
        <v>17.899999999999999</v>
      </c>
      <c r="L74">
        <v>18.010000000000002</v>
      </c>
      <c r="M74">
        <v>18.05</v>
      </c>
      <c r="N74">
        <v>18.100000000000001</v>
      </c>
      <c r="O74">
        <v>18.11</v>
      </c>
      <c r="P74">
        <v>17.559999999999999</v>
      </c>
      <c r="Q74">
        <v>18.05</v>
      </c>
      <c r="R74">
        <v>17.829999999999998</v>
      </c>
      <c r="S74">
        <v>17.53</v>
      </c>
      <c r="T74">
        <v>17.329999999999998</v>
      </c>
      <c r="U74">
        <v>17.55</v>
      </c>
      <c r="V74">
        <v>17.43</v>
      </c>
      <c r="W74">
        <v>17.559999999999999</v>
      </c>
      <c r="X74">
        <v>17.63</v>
      </c>
      <c r="Y74">
        <v>17.88</v>
      </c>
    </row>
    <row r="75" spans="1:25" x14ac:dyDescent="0.25">
      <c r="A75" t="s">
        <v>43</v>
      </c>
      <c r="B75" t="s">
        <v>143</v>
      </c>
      <c r="C75" t="s">
        <v>30</v>
      </c>
      <c r="D75" t="s">
        <v>36</v>
      </c>
      <c r="K75">
        <v>6.22</v>
      </c>
      <c r="L75">
        <v>6.24</v>
      </c>
      <c r="M75">
        <v>6.41</v>
      </c>
      <c r="N75">
        <v>6.04</v>
      </c>
      <c r="O75">
        <v>6.51</v>
      </c>
      <c r="P75">
        <v>6.35</v>
      </c>
      <c r="Q75">
        <v>5.89</v>
      </c>
      <c r="R75">
        <v>6.11</v>
      </c>
      <c r="S75">
        <v>6.27</v>
      </c>
      <c r="T75">
        <v>6.52</v>
      </c>
      <c r="U75">
        <v>6.3</v>
      </c>
      <c r="V75">
        <v>6.39</v>
      </c>
      <c r="W75">
        <v>6.34</v>
      </c>
      <c r="X75">
        <v>6.46</v>
      </c>
      <c r="Y75">
        <v>6.26</v>
      </c>
    </row>
    <row r="76" spans="1:25" x14ac:dyDescent="0.25">
      <c r="A76" t="s">
        <v>37</v>
      </c>
      <c r="B76" t="s">
        <v>144</v>
      </c>
      <c r="C76" t="s">
        <v>37</v>
      </c>
      <c r="D76" t="s">
        <v>114</v>
      </c>
      <c r="E76">
        <v>15.54</v>
      </c>
      <c r="F76">
        <v>15.25</v>
      </c>
      <c r="G76">
        <v>15.81</v>
      </c>
      <c r="H76">
        <v>15.02</v>
      </c>
      <c r="I76">
        <v>15.8</v>
      </c>
      <c r="J76">
        <v>15.47</v>
      </c>
      <c r="K76">
        <v>15.35</v>
      </c>
      <c r="L76">
        <v>15.48</v>
      </c>
      <c r="M76">
        <v>15.22</v>
      </c>
      <c r="N76">
        <v>14.51</v>
      </c>
      <c r="O76">
        <v>15.48</v>
      </c>
      <c r="P76">
        <v>14.67</v>
      </c>
      <c r="Q76">
        <v>14.07</v>
      </c>
      <c r="R76">
        <v>14.65</v>
      </c>
      <c r="S76">
        <v>14.89</v>
      </c>
      <c r="T76">
        <v>14.91</v>
      </c>
      <c r="U76">
        <v>15.3</v>
      </c>
      <c r="V76">
        <v>15.45</v>
      </c>
      <c r="W76">
        <v>14.51</v>
      </c>
      <c r="X76">
        <v>14.75</v>
      </c>
      <c r="Y76">
        <v>15.68</v>
      </c>
    </row>
    <row r="77" spans="1:25" x14ac:dyDescent="0.25">
      <c r="A77" t="s">
        <v>3</v>
      </c>
      <c r="B77" t="s">
        <v>145</v>
      </c>
      <c r="C77" t="s">
        <v>3</v>
      </c>
      <c r="D77" t="s">
        <v>146</v>
      </c>
      <c r="E77">
        <v>17.309999999999999</v>
      </c>
      <c r="F77">
        <v>16.39</v>
      </c>
      <c r="G77">
        <v>18.760000000000002</v>
      </c>
      <c r="H77">
        <v>18.239999999999998</v>
      </c>
      <c r="I77">
        <v>18.28</v>
      </c>
      <c r="J77">
        <v>17.510000000000002</v>
      </c>
      <c r="K77">
        <v>17.170000000000002</v>
      </c>
      <c r="L77">
        <v>18.43</v>
      </c>
      <c r="M77">
        <v>17.95</v>
      </c>
      <c r="N77">
        <v>18.690000000000001</v>
      </c>
      <c r="O77">
        <v>17.260000000000002</v>
      </c>
      <c r="P77">
        <v>18.41</v>
      </c>
      <c r="Q77">
        <v>18.350000000000001</v>
      </c>
      <c r="R77">
        <v>18.91</v>
      </c>
      <c r="S77">
        <v>17.68</v>
      </c>
      <c r="T77">
        <v>18.25</v>
      </c>
      <c r="U77">
        <v>18.32</v>
      </c>
      <c r="V77">
        <v>18.260000000000002</v>
      </c>
      <c r="W77">
        <v>17.87</v>
      </c>
      <c r="X77">
        <v>18.21</v>
      </c>
      <c r="Y77">
        <v>18.78</v>
      </c>
    </row>
    <row r="78" spans="1:25" x14ac:dyDescent="0.25">
      <c r="A78" t="s">
        <v>74</v>
      </c>
      <c r="B78" t="s">
        <v>147</v>
      </c>
      <c r="C78" t="s">
        <v>74</v>
      </c>
      <c r="D78" t="s">
        <v>103</v>
      </c>
      <c r="E78">
        <v>7.47</v>
      </c>
      <c r="F78">
        <v>7.52</v>
      </c>
      <c r="G78">
        <v>7.36</v>
      </c>
      <c r="H78">
        <v>7.24</v>
      </c>
      <c r="I78">
        <v>7.42</v>
      </c>
      <c r="J78">
        <v>7.21</v>
      </c>
      <c r="K78">
        <v>7.03</v>
      </c>
      <c r="L78">
        <v>7.44</v>
      </c>
      <c r="M78">
        <v>7.33</v>
      </c>
      <c r="N78">
        <v>6.98</v>
      </c>
      <c r="O78">
        <v>6.95</v>
      </c>
      <c r="P78">
        <v>6.92</v>
      </c>
      <c r="Q78">
        <v>7.05</v>
      </c>
      <c r="R78">
        <v>6.62</v>
      </c>
      <c r="S78">
        <v>6.71</v>
      </c>
      <c r="T78">
        <v>7.14</v>
      </c>
      <c r="U78">
        <v>6.86</v>
      </c>
      <c r="V78">
        <v>7.3</v>
      </c>
      <c r="W78">
        <v>7.04</v>
      </c>
      <c r="X78">
        <v>6.9</v>
      </c>
      <c r="Y78">
        <v>7.02</v>
      </c>
    </row>
    <row r="79" spans="1:25" x14ac:dyDescent="0.25">
      <c r="A79" t="s">
        <v>3</v>
      </c>
      <c r="B79" t="s">
        <v>148</v>
      </c>
      <c r="C79" t="s">
        <v>3</v>
      </c>
      <c r="D79" t="s">
        <v>10</v>
      </c>
      <c r="E79">
        <v>13.77</v>
      </c>
      <c r="F79">
        <v>14.43</v>
      </c>
      <c r="G79">
        <v>13.96</v>
      </c>
      <c r="H79">
        <v>13.19</v>
      </c>
      <c r="I79">
        <v>14.41</v>
      </c>
      <c r="J79">
        <v>14.08</v>
      </c>
      <c r="K79">
        <v>14.66</v>
      </c>
      <c r="L79">
        <v>13.65</v>
      </c>
      <c r="M79">
        <v>13.29</v>
      </c>
      <c r="N79">
        <v>13.64</v>
      </c>
      <c r="O79">
        <v>13.24</v>
      </c>
      <c r="P79">
        <v>13.22</v>
      </c>
      <c r="Q79">
        <v>13.98</v>
      </c>
      <c r="R79">
        <v>13.53</v>
      </c>
      <c r="S79">
        <v>13.74</v>
      </c>
      <c r="T79">
        <v>13.68</v>
      </c>
      <c r="U79">
        <v>13.85</v>
      </c>
      <c r="V79">
        <v>12.95</v>
      </c>
      <c r="W79">
        <v>13.12</v>
      </c>
      <c r="X79">
        <v>13.6</v>
      </c>
      <c r="Y79">
        <v>13.04</v>
      </c>
    </row>
    <row r="80" spans="1:25" x14ac:dyDescent="0.25">
      <c r="A80" t="s">
        <v>65</v>
      </c>
      <c r="B80" t="s">
        <v>149</v>
      </c>
      <c r="C80" t="s">
        <v>48</v>
      </c>
      <c r="D80" t="s">
        <v>10</v>
      </c>
      <c r="E80">
        <v>0.64</v>
      </c>
      <c r="F80">
        <v>0.62</v>
      </c>
      <c r="G80">
        <v>0.65</v>
      </c>
      <c r="H80">
        <v>0.61</v>
      </c>
      <c r="I80">
        <v>0.62</v>
      </c>
      <c r="J80">
        <v>0.66</v>
      </c>
      <c r="K80">
        <v>0.71</v>
      </c>
      <c r="L80">
        <v>0.69</v>
      </c>
      <c r="M80">
        <v>0.7</v>
      </c>
      <c r="N80">
        <v>0.66</v>
      </c>
      <c r="O80">
        <v>0.62</v>
      </c>
      <c r="P80">
        <v>0.65</v>
      </c>
      <c r="Q80">
        <v>0.63</v>
      </c>
      <c r="R80">
        <v>0.63</v>
      </c>
      <c r="S80">
        <v>0.6</v>
      </c>
      <c r="T80">
        <v>0.6</v>
      </c>
      <c r="U80">
        <v>0.55000000000000004</v>
      </c>
      <c r="V80">
        <v>0.6</v>
      </c>
      <c r="W80">
        <v>0.6</v>
      </c>
      <c r="X80">
        <v>0.6</v>
      </c>
      <c r="Y80">
        <v>0.61</v>
      </c>
    </row>
    <row r="81" spans="1:25" x14ac:dyDescent="0.25">
      <c r="A81" t="s">
        <v>150</v>
      </c>
      <c r="B81" t="s">
        <v>151</v>
      </c>
      <c r="C81" t="s">
        <v>30</v>
      </c>
      <c r="D81" t="s">
        <v>39</v>
      </c>
      <c r="K81">
        <v>1.07</v>
      </c>
      <c r="L81">
        <v>1.17</v>
      </c>
      <c r="M81">
        <v>1.1000000000000001</v>
      </c>
      <c r="N81">
        <v>1.18</v>
      </c>
      <c r="O81">
        <v>1.1100000000000001</v>
      </c>
      <c r="P81">
        <v>1.06</v>
      </c>
      <c r="Q81">
        <v>1.1100000000000001</v>
      </c>
      <c r="R81">
        <v>1.06</v>
      </c>
      <c r="S81">
        <v>1.1499999999999999</v>
      </c>
      <c r="T81">
        <v>1.2</v>
      </c>
      <c r="U81">
        <v>1.0900000000000001</v>
      </c>
      <c r="V81">
        <v>1.1200000000000001</v>
      </c>
      <c r="W81">
        <v>1.1200000000000001</v>
      </c>
      <c r="X81">
        <v>1.08</v>
      </c>
      <c r="Y81">
        <v>1.01</v>
      </c>
    </row>
    <row r="82" spans="1:25" x14ac:dyDescent="0.25">
      <c r="A82" t="s">
        <v>132</v>
      </c>
      <c r="B82" t="s">
        <v>152</v>
      </c>
      <c r="C82" t="s">
        <v>48</v>
      </c>
      <c r="D82" t="s">
        <v>33</v>
      </c>
      <c r="E82">
        <v>1.89</v>
      </c>
      <c r="F82">
        <v>1.96</v>
      </c>
      <c r="G82">
        <v>2.02</v>
      </c>
      <c r="H82">
        <v>1.95</v>
      </c>
      <c r="I82">
        <v>1.84</v>
      </c>
      <c r="J82">
        <v>1.97</v>
      </c>
      <c r="K82">
        <v>1.89</v>
      </c>
      <c r="L82">
        <v>1.87</v>
      </c>
      <c r="M82">
        <v>1.74</v>
      </c>
      <c r="N82">
        <v>1.88</v>
      </c>
      <c r="O82">
        <v>1.87</v>
      </c>
      <c r="P82">
        <v>1.79</v>
      </c>
      <c r="Q82">
        <v>1.76</v>
      </c>
      <c r="R82">
        <v>1.76</v>
      </c>
      <c r="S82">
        <v>1.76</v>
      </c>
      <c r="T82">
        <v>1.72</v>
      </c>
      <c r="U82">
        <v>1.74</v>
      </c>
      <c r="V82">
        <v>1.58</v>
      </c>
      <c r="W82">
        <v>1.73</v>
      </c>
      <c r="X82">
        <v>1.75</v>
      </c>
      <c r="Y82">
        <v>1.62</v>
      </c>
    </row>
    <row r="83" spans="1:25" x14ac:dyDescent="0.25">
      <c r="A83" t="s">
        <v>19</v>
      </c>
      <c r="B83" t="s">
        <v>153</v>
      </c>
      <c r="C83" t="s">
        <v>16</v>
      </c>
      <c r="D83" t="s">
        <v>154</v>
      </c>
      <c r="E83">
        <v>1.73</v>
      </c>
      <c r="F83">
        <v>1.74</v>
      </c>
      <c r="G83">
        <v>1.61</v>
      </c>
      <c r="H83">
        <v>1.72</v>
      </c>
      <c r="I83">
        <v>1.73</v>
      </c>
      <c r="J83">
        <v>1.65</v>
      </c>
      <c r="K83">
        <v>1.69</v>
      </c>
      <c r="L83">
        <v>1.75</v>
      </c>
      <c r="M83">
        <v>2.09</v>
      </c>
      <c r="N83">
        <v>1.77</v>
      </c>
      <c r="O83">
        <v>1.72</v>
      </c>
      <c r="P83">
        <v>1.69</v>
      </c>
      <c r="Q83">
        <v>1.63</v>
      </c>
      <c r="R83">
        <v>1.49</v>
      </c>
      <c r="S83">
        <v>1.75</v>
      </c>
      <c r="T83">
        <v>1.7</v>
      </c>
      <c r="U83">
        <v>1.69</v>
      </c>
      <c r="V83">
        <v>1.69</v>
      </c>
      <c r="W83">
        <v>1.72</v>
      </c>
      <c r="X83">
        <v>1.51</v>
      </c>
      <c r="Y83">
        <v>1.76</v>
      </c>
    </row>
    <row r="84" spans="1:25" x14ac:dyDescent="0.25">
      <c r="A84" t="s">
        <v>155</v>
      </c>
      <c r="B84" t="s">
        <v>156</v>
      </c>
      <c r="C84" t="s">
        <v>48</v>
      </c>
      <c r="D84" t="s">
        <v>10</v>
      </c>
      <c r="E84">
        <v>4.22</v>
      </c>
      <c r="F84">
        <v>3.94</v>
      </c>
      <c r="G84">
        <v>3.84</v>
      </c>
      <c r="H84">
        <v>4.1500000000000004</v>
      </c>
      <c r="I84">
        <v>4.0599999999999996</v>
      </c>
      <c r="J84">
        <v>4.2</v>
      </c>
      <c r="K84">
        <v>4.1399999999999997</v>
      </c>
      <c r="L84">
        <v>4.1900000000000004</v>
      </c>
      <c r="M84">
        <v>4.07</v>
      </c>
      <c r="N84">
        <v>4.0599999999999996</v>
      </c>
      <c r="O84">
        <v>3.93</v>
      </c>
      <c r="P84">
        <v>3.99</v>
      </c>
      <c r="Q84">
        <v>4.16</v>
      </c>
      <c r="R84">
        <v>3.68</v>
      </c>
      <c r="S84">
        <v>4.07</v>
      </c>
      <c r="T84">
        <v>4.1100000000000003</v>
      </c>
      <c r="U84">
        <v>4.08</v>
      </c>
      <c r="V84">
        <v>4.0599999999999996</v>
      </c>
      <c r="W84">
        <v>3.81</v>
      </c>
      <c r="X84">
        <v>3.9</v>
      </c>
      <c r="Y84">
        <v>4.0599999999999996</v>
      </c>
    </row>
    <row r="85" spans="1:25" x14ac:dyDescent="0.25">
      <c r="A85" t="s">
        <v>59</v>
      </c>
      <c r="B85" t="s">
        <v>157</v>
      </c>
      <c r="C85" t="s">
        <v>48</v>
      </c>
      <c r="D85" t="s">
        <v>24</v>
      </c>
      <c r="E85">
        <v>16.010000000000002</v>
      </c>
      <c r="F85">
        <v>16.03</v>
      </c>
      <c r="G85">
        <v>16.510000000000002</v>
      </c>
      <c r="H85">
        <v>16.36</v>
      </c>
      <c r="I85">
        <v>15.72</v>
      </c>
      <c r="J85">
        <v>15.47</v>
      </c>
      <c r="K85">
        <v>15.88</v>
      </c>
      <c r="L85">
        <v>16.75</v>
      </c>
      <c r="M85">
        <v>16.04</v>
      </c>
      <c r="N85">
        <v>16.07</v>
      </c>
      <c r="O85">
        <v>14.58</v>
      </c>
      <c r="P85">
        <v>15.18</v>
      </c>
      <c r="Q85">
        <v>15.49</v>
      </c>
      <c r="R85">
        <v>14.85</v>
      </c>
      <c r="S85">
        <v>15.68</v>
      </c>
      <c r="T85">
        <v>15.71</v>
      </c>
      <c r="U85">
        <v>15.94</v>
      </c>
      <c r="V85">
        <v>15.37</v>
      </c>
      <c r="W85">
        <v>15.2</v>
      </c>
      <c r="X85">
        <v>15.91</v>
      </c>
      <c r="Y85">
        <v>15.75</v>
      </c>
    </row>
    <row r="86" spans="1:25" x14ac:dyDescent="0.25">
      <c r="A86" t="s">
        <v>43</v>
      </c>
      <c r="B86" t="s">
        <v>158</v>
      </c>
      <c r="C86" t="s">
        <v>30</v>
      </c>
      <c r="D86" t="s">
        <v>24</v>
      </c>
      <c r="K86">
        <v>3.71</v>
      </c>
      <c r="L86">
        <v>3.54</v>
      </c>
      <c r="M86">
        <v>3.52</v>
      </c>
      <c r="N86">
        <v>3.61</v>
      </c>
      <c r="O86">
        <v>3.58</v>
      </c>
      <c r="P86">
        <v>3.65</v>
      </c>
      <c r="Q86">
        <v>3.64</v>
      </c>
      <c r="R86">
        <v>3.47</v>
      </c>
      <c r="S86">
        <v>3.77</v>
      </c>
      <c r="T86">
        <v>3.75</v>
      </c>
      <c r="U86">
        <v>3.69</v>
      </c>
      <c r="V86">
        <v>3.59</v>
      </c>
      <c r="W86">
        <v>3.48</v>
      </c>
      <c r="X86">
        <v>3.58</v>
      </c>
      <c r="Y86">
        <v>3.61</v>
      </c>
    </row>
    <row r="87" spans="1:25" x14ac:dyDescent="0.25">
      <c r="A87" t="s">
        <v>122</v>
      </c>
      <c r="B87" t="s">
        <v>159</v>
      </c>
      <c r="C87" t="s">
        <v>6</v>
      </c>
      <c r="D87" t="s">
        <v>24</v>
      </c>
      <c r="E87">
        <v>7.22</v>
      </c>
      <c r="F87">
        <v>7.74</v>
      </c>
      <c r="G87">
        <v>6.67</v>
      </c>
      <c r="H87">
        <v>6.74</v>
      </c>
      <c r="I87">
        <v>6.72</v>
      </c>
      <c r="J87">
        <v>6.86</v>
      </c>
      <c r="K87">
        <v>6.36</v>
      </c>
      <c r="L87">
        <v>7.02</v>
      </c>
      <c r="M87">
        <v>7.16</v>
      </c>
      <c r="N87">
        <v>7.02</v>
      </c>
      <c r="O87">
        <v>7.25</v>
      </c>
      <c r="P87">
        <v>7.31</v>
      </c>
      <c r="Q87">
        <v>7.05</v>
      </c>
      <c r="R87">
        <v>6.58</v>
      </c>
      <c r="S87">
        <v>6.44</v>
      </c>
      <c r="T87">
        <v>7.54</v>
      </c>
      <c r="U87">
        <v>7.54</v>
      </c>
      <c r="V87">
        <v>7.63</v>
      </c>
      <c r="W87">
        <v>7.36</v>
      </c>
      <c r="X87">
        <v>7.63</v>
      </c>
      <c r="Y87">
        <v>7.55</v>
      </c>
    </row>
    <row r="88" spans="1:25" x14ac:dyDescent="0.25">
      <c r="A88" t="s">
        <v>28</v>
      </c>
      <c r="B88" t="s">
        <v>160</v>
      </c>
      <c r="C88" t="s">
        <v>30</v>
      </c>
      <c r="D88" t="s">
        <v>161</v>
      </c>
      <c r="K88">
        <v>38.950000000000003</v>
      </c>
      <c r="L88">
        <v>36.61</v>
      </c>
      <c r="M88">
        <v>36.29</v>
      </c>
      <c r="N88">
        <v>39.28</v>
      </c>
      <c r="O88">
        <v>40.54</v>
      </c>
      <c r="P88">
        <v>39.83</v>
      </c>
      <c r="Q88">
        <v>38.07</v>
      </c>
      <c r="R88">
        <v>40.049999999999997</v>
      </c>
      <c r="S88">
        <v>41</v>
      </c>
      <c r="T88">
        <v>42.59</v>
      </c>
      <c r="U88">
        <v>41.24</v>
      </c>
      <c r="V88">
        <v>40.450000000000003</v>
      </c>
      <c r="W88">
        <v>39.5</v>
      </c>
      <c r="X88">
        <v>42.38</v>
      </c>
      <c r="Y88">
        <v>39.64</v>
      </c>
    </row>
    <row r="89" spans="1:25" x14ac:dyDescent="0.25">
      <c r="A89" t="s">
        <v>162</v>
      </c>
      <c r="B89" t="s">
        <v>163</v>
      </c>
      <c r="C89" t="s">
        <v>6</v>
      </c>
      <c r="D89" t="s">
        <v>18</v>
      </c>
    </row>
    <row r="90" spans="1:25" x14ac:dyDescent="0.25">
      <c r="A90" t="s">
        <v>31</v>
      </c>
      <c r="B90" t="s">
        <v>164</v>
      </c>
      <c r="C90" t="s">
        <v>30</v>
      </c>
      <c r="D90" t="s">
        <v>18</v>
      </c>
      <c r="K90">
        <v>3.35</v>
      </c>
      <c r="L90">
        <v>3.64</v>
      </c>
      <c r="M90">
        <v>3.58</v>
      </c>
      <c r="N90">
        <v>3.53</v>
      </c>
      <c r="O90">
        <v>3.59</v>
      </c>
      <c r="P90">
        <v>3.52</v>
      </c>
      <c r="Q90">
        <v>3.47</v>
      </c>
      <c r="R90">
        <v>3.36</v>
      </c>
      <c r="S90">
        <v>3.65</v>
      </c>
      <c r="T90">
        <v>3.51</v>
      </c>
      <c r="U90">
        <v>3.6</v>
      </c>
      <c r="V90">
        <v>3.63</v>
      </c>
      <c r="W90">
        <v>3.7</v>
      </c>
      <c r="X90">
        <v>3.91</v>
      </c>
      <c r="Y90">
        <v>3.46</v>
      </c>
    </row>
    <row r="91" spans="1:25" x14ac:dyDescent="0.25">
      <c r="A91" t="s">
        <v>165</v>
      </c>
      <c r="B91" t="s">
        <v>166</v>
      </c>
      <c r="C91" t="s">
        <v>48</v>
      </c>
      <c r="D91" t="s">
        <v>18</v>
      </c>
      <c r="E91">
        <v>2.67</v>
      </c>
      <c r="F91">
        <v>2.73</v>
      </c>
      <c r="G91">
        <v>2.62</v>
      </c>
      <c r="H91">
        <v>2.64</v>
      </c>
      <c r="I91">
        <v>2.54</v>
      </c>
      <c r="J91">
        <v>2.58</v>
      </c>
      <c r="K91">
        <v>2.7</v>
      </c>
      <c r="L91">
        <v>2.69</v>
      </c>
      <c r="M91">
        <v>2.58</v>
      </c>
      <c r="N91">
        <v>2.4900000000000002</v>
      </c>
      <c r="O91">
        <v>2.37</v>
      </c>
      <c r="P91">
        <v>2.38</v>
      </c>
      <c r="Q91">
        <v>2.46</v>
      </c>
      <c r="R91">
        <v>2.36</v>
      </c>
      <c r="S91">
        <v>2.39</v>
      </c>
      <c r="T91">
        <v>2.31</v>
      </c>
      <c r="U91">
        <v>2.31</v>
      </c>
      <c r="V91">
        <v>2.33</v>
      </c>
      <c r="W91">
        <v>2.4300000000000002</v>
      </c>
      <c r="X91">
        <v>2.4900000000000002</v>
      </c>
      <c r="Y91">
        <v>2.42</v>
      </c>
    </row>
    <row r="92" spans="1:25" x14ac:dyDescent="0.25">
      <c r="A92" t="s">
        <v>108</v>
      </c>
      <c r="B92" t="s">
        <v>167</v>
      </c>
      <c r="C92" t="s">
        <v>48</v>
      </c>
      <c r="D92" t="s">
        <v>114</v>
      </c>
      <c r="E92">
        <v>5.4</v>
      </c>
      <c r="F92">
        <v>5.52</v>
      </c>
      <c r="G92">
        <v>5.41</v>
      </c>
      <c r="H92">
        <v>5.54</v>
      </c>
      <c r="I92">
        <v>5.48</v>
      </c>
      <c r="J92">
        <v>5.47</v>
      </c>
      <c r="K92">
        <v>4.96</v>
      </c>
      <c r="L92">
        <v>4.8</v>
      </c>
      <c r="M92">
        <v>5.32</v>
      </c>
      <c r="N92">
        <v>5.24</v>
      </c>
      <c r="O92">
        <v>5.22</v>
      </c>
      <c r="P92">
        <v>5.29</v>
      </c>
      <c r="Q92">
        <v>5.25</v>
      </c>
      <c r="R92">
        <v>4.92</v>
      </c>
      <c r="S92">
        <v>5.42</v>
      </c>
      <c r="T92">
        <v>5.47</v>
      </c>
      <c r="U92">
        <v>5.4</v>
      </c>
      <c r="V92">
        <v>5.45</v>
      </c>
      <c r="W92">
        <v>5.29</v>
      </c>
      <c r="X92">
        <v>4.9800000000000004</v>
      </c>
      <c r="Y92">
        <v>5.61</v>
      </c>
    </row>
    <row r="93" spans="1:25" x14ac:dyDescent="0.25">
      <c r="A93" t="s">
        <v>56</v>
      </c>
      <c r="B93" t="s">
        <v>168</v>
      </c>
      <c r="C93" t="s">
        <v>48</v>
      </c>
      <c r="D93" t="s">
        <v>114</v>
      </c>
      <c r="E93">
        <v>1.38</v>
      </c>
      <c r="F93">
        <v>1.3</v>
      </c>
      <c r="G93">
        <v>1.39</v>
      </c>
      <c r="H93">
        <v>1.44</v>
      </c>
      <c r="I93">
        <v>1.38</v>
      </c>
      <c r="J93">
        <v>1.38</v>
      </c>
      <c r="K93">
        <v>1.4</v>
      </c>
      <c r="L93">
        <v>1.4</v>
      </c>
      <c r="M93">
        <v>1.42</v>
      </c>
      <c r="N93">
        <v>1.4</v>
      </c>
      <c r="O93">
        <v>1.4</v>
      </c>
      <c r="P93">
        <v>1.38</v>
      </c>
      <c r="Q93">
        <v>1.35</v>
      </c>
      <c r="R93">
        <v>1.34</v>
      </c>
      <c r="S93">
        <v>1.34</v>
      </c>
      <c r="T93">
        <v>1.32</v>
      </c>
      <c r="U93">
        <v>1.38</v>
      </c>
      <c r="V93">
        <v>1.29</v>
      </c>
      <c r="W93">
        <v>1.27</v>
      </c>
      <c r="X93">
        <v>1.35</v>
      </c>
      <c r="Y93">
        <v>1.2</v>
      </c>
    </row>
    <row r="94" spans="1:25" x14ac:dyDescent="0.25">
      <c r="A94" t="s">
        <v>98</v>
      </c>
      <c r="B94" t="s">
        <v>169</v>
      </c>
      <c r="C94" t="s">
        <v>30</v>
      </c>
      <c r="D94" t="s">
        <v>142</v>
      </c>
      <c r="K94">
        <v>4.5599999999999996</v>
      </c>
      <c r="L94">
        <v>4.63</v>
      </c>
      <c r="M94">
        <v>4.3899999999999997</v>
      </c>
      <c r="N94">
        <v>4.79</v>
      </c>
      <c r="O94">
        <v>4.8</v>
      </c>
      <c r="P94">
        <v>4.8499999999999996</v>
      </c>
      <c r="Q94">
        <v>4.79</v>
      </c>
      <c r="R94">
        <v>4.84</v>
      </c>
      <c r="S94">
        <v>4.53</v>
      </c>
      <c r="T94">
        <v>4.6100000000000003</v>
      </c>
      <c r="U94">
        <v>4.75</v>
      </c>
      <c r="V94">
        <v>4.41</v>
      </c>
      <c r="W94">
        <v>4.34</v>
      </c>
      <c r="X94">
        <v>4.72</v>
      </c>
      <c r="Y94">
        <v>4.5599999999999996</v>
      </c>
    </row>
    <row r="95" spans="1:25" x14ac:dyDescent="0.25">
      <c r="A95" t="s">
        <v>3</v>
      </c>
      <c r="B95" t="s">
        <v>170</v>
      </c>
      <c r="C95" t="s">
        <v>3</v>
      </c>
      <c r="D95" t="s">
        <v>27</v>
      </c>
      <c r="E95">
        <v>37.31</v>
      </c>
      <c r="F95">
        <v>36.880000000000003</v>
      </c>
      <c r="G95">
        <v>38.799999999999997</v>
      </c>
      <c r="H95">
        <v>37.92</v>
      </c>
      <c r="I95">
        <v>39.03</v>
      </c>
      <c r="J95">
        <v>38.35</v>
      </c>
      <c r="K95">
        <v>37.799999999999997</v>
      </c>
      <c r="L95">
        <v>36.909999999999997</v>
      </c>
      <c r="M95">
        <v>35.35</v>
      </c>
      <c r="N95">
        <v>38.06</v>
      </c>
      <c r="O95">
        <v>35.93</v>
      </c>
      <c r="P95">
        <v>36.22</v>
      </c>
      <c r="Q95">
        <v>35.090000000000003</v>
      </c>
      <c r="R95">
        <v>36.14</v>
      </c>
      <c r="S95">
        <v>36.81</v>
      </c>
      <c r="T95">
        <v>37.950000000000003</v>
      </c>
      <c r="U95">
        <v>39.409999999999997</v>
      </c>
      <c r="V95">
        <v>37.04</v>
      </c>
      <c r="W95">
        <v>39.44</v>
      </c>
      <c r="X95">
        <v>37.85</v>
      </c>
      <c r="Y95">
        <v>36.15</v>
      </c>
    </row>
    <row r="96" spans="1:25" x14ac:dyDescent="0.25">
      <c r="A96" t="s">
        <v>171</v>
      </c>
      <c r="B96" t="s">
        <v>172</v>
      </c>
      <c r="C96" t="s">
        <v>64</v>
      </c>
      <c r="D96" t="s">
        <v>173</v>
      </c>
      <c r="E96">
        <v>380.55</v>
      </c>
      <c r="F96">
        <v>383.02</v>
      </c>
      <c r="G96">
        <v>361.9</v>
      </c>
      <c r="H96">
        <v>361.97</v>
      </c>
      <c r="I96">
        <v>372.41</v>
      </c>
      <c r="J96">
        <v>365.9</v>
      </c>
      <c r="K96">
        <v>334.61</v>
      </c>
      <c r="L96">
        <v>355.59</v>
      </c>
      <c r="M96">
        <v>350.79</v>
      </c>
      <c r="N96">
        <v>385.29</v>
      </c>
      <c r="O96">
        <v>391.15</v>
      </c>
      <c r="P96">
        <v>391.41</v>
      </c>
      <c r="Q96">
        <v>370.36</v>
      </c>
      <c r="R96">
        <v>386.6</v>
      </c>
      <c r="S96">
        <v>386.45</v>
      </c>
      <c r="T96">
        <v>382.76</v>
      </c>
      <c r="U96">
        <v>397.01</v>
      </c>
      <c r="V96">
        <v>406.58</v>
      </c>
      <c r="W96">
        <v>384.98</v>
      </c>
      <c r="X96">
        <v>385.96</v>
      </c>
      <c r="Y96">
        <v>424.73</v>
      </c>
    </row>
    <row r="97" spans="1:25" x14ac:dyDescent="0.25">
      <c r="A97" t="s">
        <v>84</v>
      </c>
      <c r="B97" t="s">
        <v>174</v>
      </c>
      <c r="C97" t="s">
        <v>6</v>
      </c>
      <c r="D97" t="s">
        <v>120</v>
      </c>
      <c r="E97">
        <v>3.12</v>
      </c>
      <c r="F97">
        <v>2.89</v>
      </c>
      <c r="G97">
        <v>2.5</v>
      </c>
      <c r="H97">
        <v>2.6</v>
      </c>
      <c r="I97">
        <v>2.8</v>
      </c>
      <c r="J97">
        <v>3.02</v>
      </c>
      <c r="K97">
        <v>2.69</v>
      </c>
      <c r="L97">
        <v>2.81</v>
      </c>
      <c r="M97">
        <v>2.8</v>
      </c>
      <c r="N97">
        <v>2.84</v>
      </c>
      <c r="O97">
        <v>2.82</v>
      </c>
      <c r="P97">
        <v>2.83</v>
      </c>
      <c r="Q97">
        <v>2.82</v>
      </c>
      <c r="R97">
        <v>2.91</v>
      </c>
      <c r="S97">
        <v>2.93</v>
      </c>
      <c r="T97">
        <v>2.91</v>
      </c>
      <c r="U97">
        <v>3</v>
      </c>
      <c r="V97">
        <v>2.76</v>
      </c>
      <c r="W97">
        <v>3</v>
      </c>
      <c r="X97">
        <v>3.77</v>
      </c>
      <c r="Y97">
        <v>3.84</v>
      </c>
    </row>
    <row r="98" spans="1:25" x14ac:dyDescent="0.25">
      <c r="A98" t="s">
        <v>46</v>
      </c>
      <c r="B98" t="s">
        <v>175</v>
      </c>
      <c r="C98" t="s">
        <v>48</v>
      </c>
      <c r="D98" t="s">
        <v>114</v>
      </c>
      <c r="E98">
        <v>46.88</v>
      </c>
      <c r="F98">
        <v>48.26</v>
      </c>
      <c r="G98">
        <v>46.04</v>
      </c>
      <c r="H98">
        <v>44.75</v>
      </c>
      <c r="I98">
        <v>44.89</v>
      </c>
      <c r="J98">
        <v>46.63</v>
      </c>
      <c r="K98">
        <v>46.07</v>
      </c>
      <c r="L98">
        <v>41.4</v>
      </c>
      <c r="M98">
        <v>44.41</v>
      </c>
      <c r="N98">
        <v>43.55</v>
      </c>
      <c r="O98">
        <v>43.89</v>
      </c>
      <c r="P98">
        <v>43.72</v>
      </c>
      <c r="Q98">
        <v>42.45</v>
      </c>
      <c r="R98">
        <v>41.71</v>
      </c>
      <c r="S98">
        <v>40.94</v>
      </c>
      <c r="T98">
        <v>42.79</v>
      </c>
      <c r="U98">
        <v>43.88</v>
      </c>
      <c r="V98">
        <v>44.86</v>
      </c>
      <c r="W98">
        <v>44.24</v>
      </c>
      <c r="X98">
        <v>43.33</v>
      </c>
      <c r="Y98">
        <v>42.71</v>
      </c>
    </row>
    <row r="99" spans="1:25" x14ac:dyDescent="0.25">
      <c r="A99" t="s">
        <v>5</v>
      </c>
      <c r="B99" t="s">
        <v>176</v>
      </c>
      <c r="C99" t="s">
        <v>6</v>
      </c>
      <c r="D99" t="s">
        <v>177</v>
      </c>
      <c r="E99">
        <v>5.92</v>
      </c>
      <c r="F99">
        <v>5.49</v>
      </c>
      <c r="G99">
        <v>5.64</v>
      </c>
      <c r="H99">
        <v>5.75</v>
      </c>
      <c r="I99">
        <v>5.59</v>
      </c>
      <c r="J99">
        <v>5.93</v>
      </c>
      <c r="K99">
        <v>5.7</v>
      </c>
      <c r="L99">
        <v>5.9</v>
      </c>
      <c r="M99">
        <v>5.59</v>
      </c>
      <c r="N99">
        <v>5.82</v>
      </c>
      <c r="O99">
        <v>5.41</v>
      </c>
      <c r="P99">
        <v>5.44</v>
      </c>
      <c r="Q99">
        <v>5.83</v>
      </c>
      <c r="R99">
        <v>5.8</v>
      </c>
      <c r="S99">
        <v>5.9</v>
      </c>
      <c r="T99">
        <v>5.9</v>
      </c>
      <c r="U99">
        <v>6.17</v>
      </c>
      <c r="V99">
        <v>5.99</v>
      </c>
      <c r="W99">
        <v>6.35</v>
      </c>
      <c r="X99">
        <v>5.54</v>
      </c>
      <c r="Y99">
        <v>5.88</v>
      </c>
    </row>
    <row r="100" spans="1:25" x14ac:dyDescent="0.25">
      <c r="A100" t="s">
        <v>178</v>
      </c>
      <c r="B100" t="s">
        <v>179</v>
      </c>
      <c r="C100" t="s">
        <v>16</v>
      </c>
      <c r="D100" t="s">
        <v>80</v>
      </c>
      <c r="E100">
        <v>8.36</v>
      </c>
      <c r="F100">
        <v>8.0500000000000007</v>
      </c>
      <c r="G100">
        <v>7.84</v>
      </c>
      <c r="H100">
        <v>8.07</v>
      </c>
      <c r="I100">
        <v>8.6999999999999993</v>
      </c>
      <c r="J100">
        <v>8.58</v>
      </c>
      <c r="K100">
        <v>8.42</v>
      </c>
      <c r="L100">
        <v>7.84</v>
      </c>
      <c r="M100">
        <v>8.1</v>
      </c>
      <c r="N100">
        <v>7.68</v>
      </c>
      <c r="O100">
        <v>8.07</v>
      </c>
      <c r="P100">
        <v>8.23</v>
      </c>
      <c r="Q100">
        <v>8.7799999999999994</v>
      </c>
      <c r="R100">
        <v>7.94</v>
      </c>
      <c r="S100">
        <v>8.4600000000000009</v>
      </c>
      <c r="T100">
        <v>8.58</v>
      </c>
      <c r="U100">
        <v>7.98</v>
      </c>
      <c r="V100">
        <v>8.35</v>
      </c>
      <c r="W100">
        <v>8.6300000000000008</v>
      </c>
      <c r="X100">
        <v>7.56</v>
      </c>
      <c r="Y100">
        <v>7.71</v>
      </c>
    </row>
    <row r="101" spans="1:25" x14ac:dyDescent="0.25">
      <c r="A101" t="s">
        <v>34</v>
      </c>
      <c r="B101" t="s">
        <v>180</v>
      </c>
      <c r="C101" t="s">
        <v>30</v>
      </c>
      <c r="D101" t="s">
        <v>154</v>
      </c>
      <c r="K101">
        <v>3.05</v>
      </c>
      <c r="L101">
        <v>3.02</v>
      </c>
      <c r="M101">
        <v>3.19</v>
      </c>
      <c r="N101">
        <v>2.91</v>
      </c>
      <c r="O101">
        <v>3.04</v>
      </c>
      <c r="P101">
        <v>3.11</v>
      </c>
      <c r="Q101">
        <v>3.11</v>
      </c>
      <c r="R101">
        <v>3.07</v>
      </c>
      <c r="S101">
        <v>2.78</v>
      </c>
      <c r="T101">
        <v>2.82</v>
      </c>
      <c r="U101">
        <v>3.1</v>
      </c>
      <c r="V101">
        <v>3.1</v>
      </c>
      <c r="W101">
        <v>2.9</v>
      </c>
      <c r="X101">
        <v>3.17</v>
      </c>
      <c r="Y101">
        <v>3</v>
      </c>
    </row>
    <row r="102" spans="1:25" x14ac:dyDescent="0.25">
      <c r="A102" t="s">
        <v>7</v>
      </c>
      <c r="B102" t="s">
        <v>181</v>
      </c>
      <c r="C102" t="s">
        <v>6</v>
      </c>
      <c r="D102" t="s">
        <v>42</v>
      </c>
      <c r="E102">
        <v>0.88</v>
      </c>
      <c r="F102">
        <v>0.93</v>
      </c>
      <c r="G102">
        <v>0.94</v>
      </c>
      <c r="H102">
        <v>0.89</v>
      </c>
      <c r="I102">
        <v>0.92</v>
      </c>
      <c r="J102">
        <v>0.93</v>
      </c>
      <c r="K102">
        <v>0.93</v>
      </c>
      <c r="L102">
        <v>0.96</v>
      </c>
      <c r="M102">
        <v>0.97</v>
      </c>
      <c r="N102">
        <v>0.97</v>
      </c>
      <c r="O102">
        <v>1.03</v>
      </c>
      <c r="P102">
        <v>1.04</v>
      </c>
      <c r="Q102">
        <v>0.97</v>
      </c>
      <c r="R102">
        <v>0.93</v>
      </c>
      <c r="S102">
        <v>0.95</v>
      </c>
      <c r="T102">
        <v>0.84</v>
      </c>
      <c r="U102">
        <v>0.87</v>
      </c>
      <c r="V102">
        <v>0.95</v>
      </c>
      <c r="W102">
        <v>0.93</v>
      </c>
      <c r="X102">
        <v>0.93</v>
      </c>
      <c r="Y102">
        <v>0.93</v>
      </c>
    </row>
    <row r="103" spans="1:25" x14ac:dyDescent="0.25">
      <c r="A103" t="s">
        <v>17</v>
      </c>
      <c r="B103" t="s">
        <v>182</v>
      </c>
      <c r="C103" t="s">
        <v>16</v>
      </c>
      <c r="D103" t="s">
        <v>80</v>
      </c>
      <c r="E103">
        <v>1.46</v>
      </c>
      <c r="F103">
        <v>1.44</v>
      </c>
      <c r="G103">
        <v>1.44</v>
      </c>
      <c r="H103">
        <v>1.39</v>
      </c>
      <c r="I103">
        <v>1.47</v>
      </c>
      <c r="J103">
        <v>1.44</v>
      </c>
      <c r="K103">
        <v>1.43</v>
      </c>
      <c r="L103">
        <v>1.39</v>
      </c>
      <c r="M103">
        <v>1.43</v>
      </c>
      <c r="N103">
        <v>1.53</v>
      </c>
      <c r="O103">
        <v>1.54</v>
      </c>
      <c r="P103">
        <v>1.57</v>
      </c>
      <c r="Q103">
        <v>1.65</v>
      </c>
      <c r="R103">
        <v>1.61</v>
      </c>
      <c r="S103">
        <v>1.61</v>
      </c>
      <c r="T103">
        <v>1.65</v>
      </c>
      <c r="U103">
        <v>1.58</v>
      </c>
      <c r="V103">
        <v>1.49</v>
      </c>
      <c r="W103">
        <v>1.46</v>
      </c>
      <c r="X103">
        <v>1.44</v>
      </c>
      <c r="Y103">
        <v>1.52</v>
      </c>
    </row>
    <row r="121" spans="4:26" x14ac:dyDescent="0.25">
      <c r="D121" t="s">
        <v>185</v>
      </c>
      <c r="E121">
        <f>SUM(E2:E119)</f>
        <v>3246.3400000000006</v>
      </c>
      <c r="F121">
        <f t="shared" ref="F121:Z121" si="0">SUM(F2:F119)</f>
        <v>3251.22</v>
      </c>
      <c r="G121">
        <f t="shared" si="0"/>
        <v>3282.5800000000008</v>
      </c>
      <c r="H121">
        <f t="shared" si="0"/>
        <v>3284.4399999999996</v>
      </c>
      <c r="I121">
        <f t="shared" si="0"/>
        <v>3312.0100000000007</v>
      </c>
      <c r="J121">
        <f t="shared" si="0"/>
        <v>3260.2899999999986</v>
      </c>
      <c r="K121">
        <f t="shared" si="0"/>
        <v>3387.2799999999997</v>
      </c>
      <c r="L121">
        <f t="shared" si="0"/>
        <v>3418.9200000000023</v>
      </c>
      <c r="M121">
        <f t="shared" si="0"/>
        <v>3381.4499999999994</v>
      </c>
      <c r="N121">
        <f t="shared" si="0"/>
        <v>3610.8999999999996</v>
      </c>
      <c r="O121">
        <f t="shared" si="0"/>
        <v>3580.44</v>
      </c>
      <c r="P121">
        <f t="shared" si="0"/>
        <v>3557.8000000000006</v>
      </c>
      <c r="Q121">
        <f t="shared" si="0"/>
        <v>3507.0500000000011</v>
      </c>
      <c r="R121">
        <f t="shared" si="0"/>
        <v>3522.5400000000009</v>
      </c>
      <c r="S121">
        <f t="shared" si="0"/>
        <v>3500.2700000000004</v>
      </c>
      <c r="T121">
        <f t="shared" si="0"/>
        <v>3532.14</v>
      </c>
      <c r="U121">
        <f t="shared" si="0"/>
        <v>3569.05</v>
      </c>
      <c r="V121">
        <f t="shared" si="0"/>
        <v>3578.7499999999986</v>
      </c>
      <c r="W121">
        <f t="shared" si="0"/>
        <v>3537.74</v>
      </c>
      <c r="X121">
        <f t="shared" si="0"/>
        <v>3683.7600000000007</v>
      </c>
      <c r="Y121">
        <f t="shared" si="0"/>
        <v>3787.9100000000021</v>
      </c>
      <c r="Z121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8861-4E92-4C41-9FE5-644C2D4EEC3A}">
  <dimension ref="A1:FU27"/>
  <sheetViews>
    <sheetView showZeros="0" tabSelected="1" workbookViewId="0">
      <pane xSplit="4" topLeftCell="E1" activePane="topRight" state="frozen"/>
      <selection pane="topRight" activeCell="L30" sqref="L30"/>
    </sheetView>
  </sheetViews>
  <sheetFormatPr defaultRowHeight="15" x14ac:dyDescent="0.25"/>
  <cols>
    <col min="1" max="1" width="16.5703125" customWidth="1"/>
    <col min="2" max="2" width="20" customWidth="1"/>
    <col min="3" max="3" width="5.5703125" hidden="1" customWidth="1"/>
    <col min="4" max="4" width="11.42578125" customWidth="1"/>
    <col min="5" max="177" width="11.85546875" customWidth="1"/>
  </cols>
  <sheetData>
    <row r="1" spans="1:177" x14ac:dyDescent="0.25">
      <c r="A1" t="s">
        <v>183</v>
      </c>
    </row>
    <row r="3" spans="1:177" x14ac:dyDescent="0.25">
      <c r="A3" s="1" t="s">
        <v>0</v>
      </c>
      <c r="B3" s="1" t="s">
        <v>1</v>
      </c>
      <c r="C3" s="1" t="s">
        <v>2</v>
      </c>
      <c r="D3" s="1" t="s">
        <v>8</v>
      </c>
      <c r="E3" s="2">
        <f>Inventory!E1</f>
        <v>44331</v>
      </c>
      <c r="F3" s="2">
        <f>Inventory!F1</f>
        <v>44332</v>
      </c>
      <c r="G3" s="2">
        <f>Inventory!G1</f>
        <v>44334</v>
      </c>
      <c r="H3" s="2">
        <f>Inventory!H1</f>
        <v>44336</v>
      </c>
      <c r="I3" s="2">
        <f>Inventory!I1</f>
        <v>44337</v>
      </c>
      <c r="J3" s="2">
        <f>Inventory!J1</f>
        <v>44338</v>
      </c>
      <c r="K3" s="2">
        <f>Inventory!K1</f>
        <v>44339</v>
      </c>
      <c r="L3" s="2">
        <f>Inventory!L1</f>
        <v>44340</v>
      </c>
      <c r="M3" s="2">
        <f>Inventory!M1</f>
        <v>44341</v>
      </c>
      <c r="N3" s="2">
        <f>Inventory!N1</f>
        <v>44342</v>
      </c>
      <c r="O3" s="2">
        <f>Inventory!O1</f>
        <v>44343</v>
      </c>
      <c r="P3" s="2">
        <f>Inventory!P1</f>
        <v>44344</v>
      </c>
      <c r="Q3" s="2">
        <f>Inventory!Q1</f>
        <v>44345</v>
      </c>
      <c r="R3" s="2">
        <f>Inventory!R1</f>
        <v>44346</v>
      </c>
      <c r="S3" s="2">
        <f>Inventory!S1</f>
        <v>44347</v>
      </c>
      <c r="T3" s="2">
        <f>Inventory!T1</f>
        <v>44348</v>
      </c>
      <c r="U3" s="2">
        <f>Inventory!U1</f>
        <v>44349</v>
      </c>
      <c r="V3" s="2">
        <f>Inventory!V1</f>
        <v>44350</v>
      </c>
      <c r="W3" s="2">
        <f>Inventory!W1</f>
        <v>44351</v>
      </c>
      <c r="X3" s="2">
        <f>Inventory!X1</f>
        <v>44352</v>
      </c>
      <c r="Y3" s="2">
        <f>Inventory!Y1</f>
        <v>44353</v>
      </c>
      <c r="Z3" s="2">
        <f>Inventory!Z1</f>
        <v>44354</v>
      </c>
      <c r="AA3" s="2">
        <f>Inventory!AA1</f>
        <v>44355</v>
      </c>
      <c r="AB3" s="2">
        <f>Inventory!AB1</f>
        <v>44356</v>
      </c>
      <c r="AC3" s="2">
        <f>Inventory!AC1</f>
        <v>44357</v>
      </c>
      <c r="AD3" s="2">
        <f>Inventory!AD1</f>
        <v>44358</v>
      </c>
      <c r="AE3" s="2">
        <f>Inventory!AE1</f>
        <v>44359</v>
      </c>
      <c r="AF3" s="2">
        <f>Inventory!AF1</f>
        <v>44360</v>
      </c>
      <c r="AG3" s="2">
        <f>Inventory!AG1</f>
        <v>44361</v>
      </c>
      <c r="AH3" s="2">
        <f>Inventory!AH1</f>
        <v>44362</v>
      </c>
      <c r="AI3" s="2">
        <f>Inventory!AI1</f>
        <v>44363</v>
      </c>
      <c r="AJ3" s="2">
        <f>Inventory!AJ1</f>
        <v>44364</v>
      </c>
      <c r="AK3" s="2">
        <f>Inventory!AK1</f>
        <v>44365</v>
      </c>
      <c r="AL3" s="2">
        <f>Inventory!AL1</f>
        <v>44366</v>
      </c>
      <c r="AM3" s="2">
        <f>Inventory!AM1</f>
        <v>44367</v>
      </c>
      <c r="AN3" s="2">
        <f>Inventory!AN1</f>
        <v>44368</v>
      </c>
      <c r="AO3" s="2">
        <f>Inventory!AO1</f>
        <v>44369</v>
      </c>
      <c r="AP3" s="2">
        <f>Inventory!AP1</f>
        <v>44370</v>
      </c>
      <c r="AQ3" s="2">
        <f>Inventory!AQ1</f>
        <v>44371</v>
      </c>
      <c r="AR3" s="2">
        <f>Inventory!AR1</f>
        <v>44372</v>
      </c>
      <c r="AS3" s="2">
        <f>Inventory!AS1</f>
        <v>44373</v>
      </c>
      <c r="AT3" s="2">
        <f>Inventory!AT1</f>
        <v>44374</v>
      </c>
      <c r="AU3" s="2">
        <f>Inventory!AU1</f>
        <v>44375</v>
      </c>
      <c r="AV3" s="2">
        <f>Inventory!AV1</f>
        <v>44376</v>
      </c>
      <c r="AW3" s="2">
        <f>Inventory!AW1</f>
        <v>44377</v>
      </c>
      <c r="AX3" s="2">
        <f>Inventory!AX1</f>
        <v>44378</v>
      </c>
      <c r="AY3" s="2">
        <f>Inventory!AY1</f>
        <v>44379</v>
      </c>
      <c r="AZ3" s="2">
        <f>Inventory!AZ1</f>
        <v>44380</v>
      </c>
      <c r="BA3" s="2">
        <f>Inventory!BA1</f>
        <v>44381</v>
      </c>
      <c r="BB3" s="2">
        <f>Inventory!BB1</f>
        <v>44382</v>
      </c>
      <c r="BC3" s="2">
        <f>Inventory!BC1</f>
        <v>44383</v>
      </c>
      <c r="BD3" s="2">
        <f>Inventory!BD1</f>
        <v>44384</v>
      </c>
      <c r="BE3" s="2">
        <f>Inventory!BE1</f>
        <v>44385</v>
      </c>
      <c r="BF3" s="2">
        <f>Inventory!BF1</f>
        <v>44386</v>
      </c>
      <c r="BG3" s="2">
        <f>Inventory!BG1</f>
        <v>44387</v>
      </c>
      <c r="BH3" s="2">
        <f>Inventory!BH1</f>
        <v>44388</v>
      </c>
      <c r="BI3" s="2">
        <f>Inventory!BI1</f>
        <v>44389</v>
      </c>
      <c r="BJ3" s="2">
        <f>Inventory!BJ1</f>
        <v>44390</v>
      </c>
      <c r="BK3" s="2">
        <f>Inventory!BK1</f>
        <v>44391</v>
      </c>
      <c r="BL3" s="2">
        <f>Inventory!BL1</f>
        <v>44392</v>
      </c>
      <c r="BM3" s="2">
        <f>Inventory!BM1</f>
        <v>44393</v>
      </c>
      <c r="BN3" s="2">
        <f>Inventory!BN1</f>
        <v>44394</v>
      </c>
      <c r="BO3" s="2">
        <f>Inventory!BO1</f>
        <v>44395</v>
      </c>
      <c r="BP3" s="2">
        <f>Inventory!BP1</f>
        <v>44396</v>
      </c>
      <c r="BQ3" s="2">
        <f>Inventory!BQ1</f>
        <v>44397</v>
      </c>
      <c r="BR3" s="2">
        <f>Inventory!BR1</f>
        <v>44398</v>
      </c>
      <c r="BS3" s="2">
        <f>Inventory!BS1</f>
        <v>44399</v>
      </c>
      <c r="BT3" s="2">
        <f>Inventory!BT1</f>
        <v>44400</v>
      </c>
      <c r="BU3" s="2">
        <f>Inventory!BU1</f>
        <v>44401</v>
      </c>
      <c r="BV3" s="2">
        <f>Inventory!BV1</f>
        <v>44402</v>
      </c>
      <c r="BW3" s="2">
        <f>Inventory!BW1</f>
        <v>44403</v>
      </c>
      <c r="BX3" s="2">
        <f>Inventory!BX1</f>
        <v>44404</v>
      </c>
      <c r="BY3" s="2">
        <f>Inventory!BY1</f>
        <v>44405</v>
      </c>
      <c r="BZ3" s="2">
        <f>Inventory!BZ1</f>
        <v>44406</v>
      </c>
      <c r="CA3" s="2">
        <f>Inventory!CA1</f>
        <v>44407</v>
      </c>
      <c r="CB3" s="2">
        <f>Inventory!CB1</f>
        <v>44408</v>
      </c>
      <c r="CC3" s="2">
        <f>Inventory!CC1</f>
        <v>44409</v>
      </c>
      <c r="CD3" s="2">
        <f>Inventory!CD1</f>
        <v>44410</v>
      </c>
      <c r="CE3" s="2">
        <f>Inventory!CE1</f>
        <v>44411</v>
      </c>
      <c r="CF3" s="2">
        <f>Inventory!CF1</f>
        <v>44412</v>
      </c>
      <c r="CG3" s="2">
        <f>Inventory!CG1</f>
        <v>44413</v>
      </c>
      <c r="CH3" s="2">
        <f>Inventory!CH1</f>
        <v>44414</v>
      </c>
      <c r="CI3" s="2">
        <f>Inventory!CI1</f>
        <v>44415</v>
      </c>
      <c r="CJ3" s="2">
        <f>Inventory!CJ1</f>
        <v>44416</v>
      </c>
      <c r="CK3" s="2">
        <f>Inventory!CK1</f>
        <v>44417</v>
      </c>
      <c r="CL3" s="2">
        <f>Inventory!CL1</f>
        <v>44418</v>
      </c>
      <c r="CM3" s="2">
        <f>Inventory!CM1</f>
        <v>44419</v>
      </c>
      <c r="CN3" s="2">
        <f>Inventory!CN1</f>
        <v>44420</v>
      </c>
      <c r="CO3" s="2">
        <f>Inventory!CO1</f>
        <v>44421</v>
      </c>
      <c r="CP3" s="2">
        <f>Inventory!CP1</f>
        <v>44422</v>
      </c>
      <c r="CQ3" s="2">
        <f>Inventory!CQ1</f>
        <v>44423</v>
      </c>
      <c r="CR3" s="2">
        <f>Inventory!CR1</f>
        <v>44424</v>
      </c>
      <c r="CS3" s="2">
        <f>Inventory!CS1</f>
        <v>44425</v>
      </c>
      <c r="CT3" s="2">
        <f>Inventory!CT1</f>
        <v>44426</v>
      </c>
      <c r="CU3" s="2">
        <f>Inventory!CU1</f>
        <v>44427</v>
      </c>
      <c r="CV3" s="2">
        <f>Inventory!CV1</f>
        <v>44428</v>
      </c>
      <c r="CW3" s="2">
        <f>Inventory!CW1</f>
        <v>44429</v>
      </c>
      <c r="CX3" s="2">
        <f>Inventory!CX1</f>
        <v>44430</v>
      </c>
      <c r="CY3" s="2">
        <f>Inventory!CY1</f>
        <v>44431</v>
      </c>
      <c r="CZ3" s="2">
        <f>Inventory!CZ1</f>
        <v>44432</v>
      </c>
      <c r="DA3" s="2">
        <f>Inventory!DA1</f>
        <v>44433</v>
      </c>
      <c r="DB3" s="2">
        <f>Inventory!DB1</f>
        <v>44434</v>
      </c>
      <c r="DC3" s="2">
        <f>Inventory!DC1</f>
        <v>44435</v>
      </c>
      <c r="DD3" s="2">
        <f>Inventory!DD1</f>
        <v>44436</v>
      </c>
      <c r="DE3" s="2">
        <f>Inventory!DE1</f>
        <v>44437</v>
      </c>
      <c r="DF3" s="2">
        <f>Inventory!DF1</f>
        <v>44438</v>
      </c>
      <c r="DG3" s="2">
        <f>Inventory!DG1</f>
        <v>44439</v>
      </c>
      <c r="DH3" s="2">
        <f>Inventory!DH1</f>
        <v>44440</v>
      </c>
      <c r="DI3" s="2">
        <f>Inventory!DI1</f>
        <v>44441</v>
      </c>
      <c r="DJ3" s="2">
        <f>Inventory!DJ1</f>
        <v>44442</v>
      </c>
      <c r="DK3" s="2">
        <f>Inventory!DK1</f>
        <v>44443</v>
      </c>
      <c r="DL3" s="2">
        <f>Inventory!DL1</f>
        <v>44444</v>
      </c>
      <c r="DM3" s="2">
        <f>Inventory!DM1</f>
        <v>44445</v>
      </c>
      <c r="DN3" s="2">
        <f>Inventory!DN1</f>
        <v>44446</v>
      </c>
      <c r="DO3" s="2">
        <f>Inventory!DO1</f>
        <v>44447</v>
      </c>
      <c r="DP3" s="2">
        <f>Inventory!DP1</f>
        <v>44448</v>
      </c>
      <c r="DQ3" s="2">
        <f>Inventory!DQ1</f>
        <v>44449</v>
      </c>
      <c r="DR3" s="2">
        <f>Inventory!DR1</f>
        <v>44450</v>
      </c>
      <c r="DS3" s="2">
        <f>Inventory!DS1</f>
        <v>44451</v>
      </c>
      <c r="DT3" s="2">
        <f>Inventory!DT1</f>
        <v>44452</v>
      </c>
      <c r="DU3" s="2">
        <f>Inventory!DU1</f>
        <v>44453</v>
      </c>
      <c r="DV3" s="2">
        <f>Inventory!DV1</f>
        <v>44454</v>
      </c>
      <c r="DW3" s="2">
        <f>Inventory!DW1</f>
        <v>44455</v>
      </c>
      <c r="DX3" s="2">
        <f>Inventory!DX1</f>
        <v>44456</v>
      </c>
      <c r="DY3" s="2">
        <f>Inventory!DY1</f>
        <v>44457</v>
      </c>
      <c r="DZ3" s="2">
        <f>Inventory!DZ1</f>
        <v>44458</v>
      </c>
      <c r="EA3" s="2">
        <f>Inventory!EA1</f>
        <v>44459</v>
      </c>
      <c r="EB3" s="2">
        <f>Inventory!EB1</f>
        <v>44460</v>
      </c>
      <c r="EC3" s="2">
        <f>Inventory!EC1</f>
        <v>44461</v>
      </c>
      <c r="ED3" s="2">
        <f>Inventory!ED1</f>
        <v>44462</v>
      </c>
      <c r="EE3" s="2">
        <f>Inventory!EE1</f>
        <v>44463</v>
      </c>
      <c r="EF3" s="2">
        <f>Inventory!EF1</f>
        <v>44464</v>
      </c>
      <c r="EG3" s="2">
        <f>Inventory!EG1</f>
        <v>44465</v>
      </c>
      <c r="EH3" s="2">
        <f>Inventory!EH1</f>
        <v>44466</v>
      </c>
      <c r="EI3" s="2">
        <f>Inventory!EI1</f>
        <v>44467</v>
      </c>
      <c r="EJ3" s="2">
        <f>Inventory!EJ1</f>
        <v>44468</v>
      </c>
      <c r="EK3" s="2">
        <f>Inventory!EK1</f>
        <v>44469</v>
      </c>
      <c r="EL3" s="2">
        <f>Inventory!EL1</f>
        <v>44470</v>
      </c>
      <c r="EM3" s="2">
        <f>Inventory!EM1</f>
        <v>44471</v>
      </c>
      <c r="EN3" s="2">
        <f>Inventory!EN1</f>
        <v>44472</v>
      </c>
      <c r="EO3" s="2">
        <f>Inventory!EO1</f>
        <v>44473</v>
      </c>
      <c r="EP3" s="2">
        <f>Inventory!EP1</f>
        <v>44474</v>
      </c>
      <c r="EQ3" s="2">
        <f>Inventory!EQ1</f>
        <v>44475</v>
      </c>
      <c r="ER3" s="2">
        <f>Inventory!ER1</f>
        <v>44476</v>
      </c>
      <c r="ES3" s="2">
        <f>Inventory!ES1</f>
        <v>44477</v>
      </c>
      <c r="ET3" s="2">
        <f>Inventory!ET1</f>
        <v>44478</v>
      </c>
      <c r="EU3" s="2">
        <f>Inventory!EU1</f>
        <v>44479</v>
      </c>
      <c r="EV3" s="2">
        <f>Inventory!EV1</f>
        <v>44480</v>
      </c>
      <c r="EW3" s="2">
        <f>Inventory!EW1</f>
        <v>44481</v>
      </c>
      <c r="EX3" s="2">
        <f>Inventory!EX1</f>
        <v>44482</v>
      </c>
      <c r="EY3" s="2">
        <f>Inventory!EY1</f>
        <v>44483</v>
      </c>
      <c r="EZ3" s="2">
        <f>Inventory!EZ1</f>
        <v>44484</v>
      </c>
      <c r="FA3" s="2">
        <f>Inventory!FA1</f>
        <v>44485</v>
      </c>
      <c r="FB3" s="2">
        <f>Inventory!FB1</f>
        <v>44486</v>
      </c>
      <c r="FC3" s="2">
        <f>Inventory!FC1</f>
        <v>44487</v>
      </c>
      <c r="FD3" s="2">
        <f>Inventory!FD1</f>
        <v>44488</v>
      </c>
      <c r="FE3" s="2">
        <f>Inventory!FE1</f>
        <v>44489</v>
      </c>
      <c r="FF3" s="2">
        <f>Inventory!FF1</f>
        <v>44490</v>
      </c>
      <c r="FG3" s="2">
        <f>Inventory!FG1</f>
        <v>44491</v>
      </c>
      <c r="FH3" s="2">
        <f>Inventory!FH1</f>
        <v>44492</v>
      </c>
      <c r="FI3" s="2">
        <f>Inventory!FI1</f>
        <v>44493</v>
      </c>
      <c r="FJ3" s="2">
        <f>Inventory!FJ1</f>
        <v>44494</v>
      </c>
      <c r="FK3" s="2">
        <f>Inventory!FK1</f>
        <v>44495</v>
      </c>
      <c r="FL3" s="2">
        <f>Inventory!FL1</f>
        <v>44496</v>
      </c>
      <c r="FM3" s="2">
        <f>Inventory!FM1</f>
        <v>44497</v>
      </c>
      <c r="FN3" s="2">
        <f>Inventory!FN1</f>
        <v>44498</v>
      </c>
      <c r="FO3" s="2">
        <f>Inventory!FO1</f>
        <v>44499</v>
      </c>
      <c r="FP3" s="2">
        <f>Inventory!FP1</f>
        <v>44500</v>
      </c>
      <c r="FQ3" s="2">
        <f>Inventory!FQ1</f>
        <v>44501</v>
      </c>
      <c r="FR3" s="2">
        <f>Inventory!FR1</f>
        <v>44502</v>
      </c>
      <c r="FS3" s="2">
        <f>Inventory!FS1</f>
        <v>44503</v>
      </c>
      <c r="FT3" s="2">
        <f>Inventory!FT1</f>
        <v>44504</v>
      </c>
      <c r="FU3" s="2">
        <f>Inventory!FU1</f>
        <v>44505</v>
      </c>
    </row>
    <row r="4" spans="1:177" x14ac:dyDescent="0.25">
      <c r="A4" t="str" cm="1">
        <f t="array" ref="A4:FU7">_xlfn._xlws.FILTER(Inventory!$A$2:$FU$103, (Inventory!C2:C103="Knife"))</f>
        <v>Bayonet</v>
      </c>
      <c r="B4" t="str">
        <v>Rust Coat BS</v>
      </c>
      <c r="C4" t="str">
        <v>Knife</v>
      </c>
      <c r="D4" t="str">
        <v>Chroma</v>
      </c>
      <c r="E4">
        <v>196.27</v>
      </c>
      <c r="F4">
        <v>201.82</v>
      </c>
      <c r="G4">
        <v>197</v>
      </c>
      <c r="H4">
        <v>196.88</v>
      </c>
      <c r="I4">
        <v>207.18</v>
      </c>
      <c r="J4">
        <v>209.46</v>
      </c>
      <c r="K4">
        <v>201.89</v>
      </c>
      <c r="L4">
        <v>202.48</v>
      </c>
      <c r="M4">
        <v>196.23</v>
      </c>
      <c r="N4">
        <v>204.01</v>
      </c>
      <c r="O4">
        <v>206.61</v>
      </c>
      <c r="P4">
        <v>209.15</v>
      </c>
      <c r="Q4">
        <v>207.58</v>
      </c>
      <c r="R4">
        <v>207.32</v>
      </c>
      <c r="S4">
        <v>202.17</v>
      </c>
      <c r="T4">
        <v>201.3</v>
      </c>
      <c r="U4">
        <v>201.79</v>
      </c>
      <c r="V4">
        <v>203.29</v>
      </c>
      <c r="W4">
        <v>201.2</v>
      </c>
      <c r="X4">
        <v>207</v>
      </c>
      <c r="Y4">
        <v>207.01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</row>
    <row r="5" spans="1:177" x14ac:dyDescent="0.25">
      <c r="A5" t="str">
        <v>Butterfly Knife</v>
      </c>
      <c r="B5" t="str">
        <v>Tiger Tooth FN</v>
      </c>
      <c r="C5" t="str">
        <v>Knife</v>
      </c>
      <c r="D5" t="str">
        <v>Spectrum</v>
      </c>
      <c r="E5">
        <v>1201.5999999999999</v>
      </c>
      <c r="F5">
        <v>1205.46</v>
      </c>
      <c r="G5">
        <v>1261.0999999999999</v>
      </c>
      <c r="H5">
        <v>1261.06</v>
      </c>
      <c r="I5">
        <v>1261.06</v>
      </c>
      <c r="J5">
        <v>1230.57</v>
      </c>
      <c r="K5">
        <v>1294.3599999999999</v>
      </c>
      <c r="L5">
        <v>1294.3599999999999</v>
      </c>
      <c r="M5">
        <v>1290.31</v>
      </c>
      <c r="N5">
        <v>1427.45</v>
      </c>
      <c r="O5">
        <v>1391</v>
      </c>
      <c r="P5">
        <v>1383.65</v>
      </c>
      <c r="Q5">
        <v>1363.98</v>
      </c>
      <c r="R5">
        <v>1354.05</v>
      </c>
      <c r="S5">
        <v>1341.3</v>
      </c>
      <c r="T5">
        <v>1341.3</v>
      </c>
      <c r="U5">
        <v>1354.94</v>
      </c>
      <c r="V5">
        <v>1364.6</v>
      </c>
      <c r="W5">
        <v>1349.99</v>
      </c>
      <c r="X5">
        <v>1413.09</v>
      </c>
      <c r="Y5">
        <v>1484.68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</row>
    <row r="6" spans="1:177" x14ac:dyDescent="0.25">
      <c r="A6" t="str">
        <v>Flip Knife</v>
      </c>
      <c r="B6" t="str">
        <v>Freehand FN</v>
      </c>
      <c r="C6" t="str">
        <v>Knife</v>
      </c>
      <c r="D6" t="str">
        <v>Gamma</v>
      </c>
      <c r="E6">
        <v>194.62</v>
      </c>
      <c r="F6">
        <v>191.6</v>
      </c>
      <c r="G6">
        <v>180.11</v>
      </c>
      <c r="H6">
        <v>192.42</v>
      </c>
      <c r="I6">
        <v>192.42</v>
      </c>
      <c r="J6">
        <v>191.29</v>
      </c>
      <c r="K6">
        <v>183.02</v>
      </c>
      <c r="L6">
        <v>190.84</v>
      </c>
      <c r="M6">
        <v>183.2</v>
      </c>
      <c r="N6">
        <v>188.79</v>
      </c>
      <c r="O6">
        <v>188.98</v>
      </c>
      <c r="P6">
        <v>181.09</v>
      </c>
      <c r="Q6">
        <v>190.1</v>
      </c>
      <c r="R6">
        <v>189.75</v>
      </c>
      <c r="S6">
        <v>180.74</v>
      </c>
      <c r="T6">
        <v>189.61</v>
      </c>
      <c r="U6">
        <v>186.36</v>
      </c>
      <c r="V6">
        <v>180.21</v>
      </c>
      <c r="W6">
        <v>164.58</v>
      </c>
      <c r="X6">
        <v>169.76</v>
      </c>
      <c r="Y6">
        <v>185.28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</row>
    <row r="7" spans="1:177" x14ac:dyDescent="0.25">
      <c r="A7" t="str">
        <v>Karmabit</v>
      </c>
      <c r="B7" t="str">
        <v>Ultraviolet FT</v>
      </c>
      <c r="C7" t="str">
        <v>Knife</v>
      </c>
      <c r="D7" t="str">
        <v>Original</v>
      </c>
      <c r="E7">
        <v>380.55</v>
      </c>
      <c r="F7">
        <v>383.02</v>
      </c>
      <c r="G7">
        <v>361.9</v>
      </c>
      <c r="H7">
        <v>361.97</v>
      </c>
      <c r="I7">
        <v>372.41</v>
      </c>
      <c r="J7">
        <v>365.9</v>
      </c>
      <c r="K7">
        <v>334.61</v>
      </c>
      <c r="L7">
        <v>355.59</v>
      </c>
      <c r="M7">
        <v>350.79</v>
      </c>
      <c r="N7">
        <v>385.29</v>
      </c>
      <c r="O7">
        <v>391.15</v>
      </c>
      <c r="P7">
        <v>391.41</v>
      </c>
      <c r="Q7">
        <v>370.36</v>
      </c>
      <c r="R7">
        <v>386.6</v>
      </c>
      <c r="S7">
        <v>386.45</v>
      </c>
      <c r="T7">
        <v>382.76</v>
      </c>
      <c r="U7">
        <v>397.01</v>
      </c>
      <c r="V7">
        <v>406.58</v>
      </c>
      <c r="W7">
        <v>384.98</v>
      </c>
      <c r="X7">
        <v>385.96</v>
      </c>
      <c r="Y7">
        <v>424.73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</row>
    <row r="10" spans="1:177" x14ac:dyDescent="0.25">
      <c r="D10" s="1" t="s">
        <v>186</v>
      </c>
      <c r="E10">
        <f>SUM(E4:E7)</f>
        <v>1973.0399999999997</v>
      </c>
      <c r="F10">
        <f t="shared" ref="F10:BQ10" si="0">SUM(F4:F7)</f>
        <v>1981.8999999999999</v>
      </c>
      <c r="G10">
        <f t="shared" si="0"/>
        <v>2000.1100000000001</v>
      </c>
      <c r="H10">
        <f t="shared" si="0"/>
        <v>2012.3300000000002</v>
      </c>
      <c r="I10">
        <f t="shared" si="0"/>
        <v>2033.0700000000002</v>
      </c>
      <c r="J10">
        <f t="shared" si="0"/>
        <v>1997.2199999999998</v>
      </c>
      <c r="K10">
        <f t="shared" si="0"/>
        <v>2013.88</v>
      </c>
      <c r="L10">
        <f t="shared" si="0"/>
        <v>2043.2699999999998</v>
      </c>
      <c r="M10">
        <f t="shared" si="0"/>
        <v>2020.53</v>
      </c>
      <c r="N10">
        <f t="shared" si="0"/>
        <v>2205.54</v>
      </c>
      <c r="O10">
        <f t="shared" si="0"/>
        <v>2177.7400000000002</v>
      </c>
      <c r="P10">
        <f t="shared" si="0"/>
        <v>2165.3000000000002</v>
      </c>
      <c r="Q10">
        <f t="shared" si="0"/>
        <v>2132.02</v>
      </c>
      <c r="R10">
        <f t="shared" si="0"/>
        <v>2137.7199999999998</v>
      </c>
      <c r="S10">
        <f t="shared" si="0"/>
        <v>2110.66</v>
      </c>
      <c r="T10">
        <f t="shared" si="0"/>
        <v>2114.9700000000003</v>
      </c>
      <c r="U10">
        <f t="shared" si="0"/>
        <v>2140.1000000000004</v>
      </c>
      <c r="V10">
        <f t="shared" si="0"/>
        <v>2154.6799999999998</v>
      </c>
      <c r="W10">
        <f t="shared" si="0"/>
        <v>2100.75</v>
      </c>
      <c r="X10">
        <f t="shared" si="0"/>
        <v>2175.81</v>
      </c>
      <c r="Y10">
        <f t="shared" si="0"/>
        <v>2301.6999999999998</v>
      </c>
      <c r="Z10">
        <f t="shared" si="0"/>
        <v>0</v>
      </c>
      <c r="AA10">
        <f t="shared" si="0"/>
        <v>0</v>
      </c>
      <c r="AB10">
        <f t="shared" si="0"/>
        <v>0</v>
      </c>
      <c r="AC10">
        <f t="shared" si="0"/>
        <v>0</v>
      </c>
      <c r="AD10">
        <f t="shared" si="0"/>
        <v>0</v>
      </c>
      <c r="AE10">
        <f t="shared" si="0"/>
        <v>0</v>
      </c>
      <c r="AF10">
        <f t="shared" si="0"/>
        <v>0</v>
      </c>
      <c r="AG10">
        <f t="shared" si="0"/>
        <v>0</v>
      </c>
      <c r="AH10">
        <f t="shared" si="0"/>
        <v>0</v>
      </c>
      <c r="AI10">
        <f t="shared" si="0"/>
        <v>0</v>
      </c>
      <c r="AJ10">
        <f t="shared" si="0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  <c r="BE10">
        <f t="shared" si="0"/>
        <v>0</v>
      </c>
      <c r="BF10">
        <f t="shared" si="0"/>
        <v>0</v>
      </c>
      <c r="BG10">
        <f t="shared" si="0"/>
        <v>0</v>
      </c>
      <c r="BH10">
        <f t="shared" si="0"/>
        <v>0</v>
      </c>
      <c r="BI10">
        <f t="shared" si="0"/>
        <v>0</v>
      </c>
      <c r="BJ10">
        <f t="shared" si="0"/>
        <v>0</v>
      </c>
      <c r="BK10">
        <f t="shared" si="0"/>
        <v>0</v>
      </c>
      <c r="BL10">
        <f t="shared" si="0"/>
        <v>0</v>
      </c>
      <c r="BM10">
        <f t="shared" si="0"/>
        <v>0</v>
      </c>
      <c r="BN10">
        <f t="shared" si="0"/>
        <v>0</v>
      </c>
      <c r="BO10">
        <f t="shared" si="0"/>
        <v>0</v>
      </c>
      <c r="BP10">
        <f t="shared" si="0"/>
        <v>0</v>
      </c>
      <c r="BQ10">
        <f t="shared" si="0"/>
        <v>0</v>
      </c>
      <c r="BR10">
        <f t="shared" ref="BR10:EC10" si="1">SUM(BR4:BR7)</f>
        <v>0</v>
      </c>
      <c r="BS10">
        <f t="shared" si="1"/>
        <v>0</v>
      </c>
      <c r="BT10">
        <f t="shared" si="1"/>
        <v>0</v>
      </c>
      <c r="BU10">
        <f t="shared" si="1"/>
        <v>0</v>
      </c>
      <c r="BV10">
        <f t="shared" si="1"/>
        <v>0</v>
      </c>
      <c r="BW10">
        <f t="shared" si="1"/>
        <v>0</v>
      </c>
      <c r="BX10">
        <f t="shared" si="1"/>
        <v>0</v>
      </c>
      <c r="BY10">
        <f t="shared" si="1"/>
        <v>0</v>
      </c>
      <c r="BZ10">
        <f t="shared" si="1"/>
        <v>0</v>
      </c>
      <c r="CA10">
        <f t="shared" si="1"/>
        <v>0</v>
      </c>
      <c r="CB10">
        <f t="shared" si="1"/>
        <v>0</v>
      </c>
      <c r="CC10">
        <f t="shared" si="1"/>
        <v>0</v>
      </c>
      <c r="CD10">
        <f t="shared" si="1"/>
        <v>0</v>
      </c>
      <c r="CE10">
        <f t="shared" si="1"/>
        <v>0</v>
      </c>
      <c r="CF10">
        <f t="shared" si="1"/>
        <v>0</v>
      </c>
      <c r="CG10">
        <f t="shared" si="1"/>
        <v>0</v>
      </c>
      <c r="CH10">
        <f t="shared" si="1"/>
        <v>0</v>
      </c>
      <c r="CI10">
        <f t="shared" si="1"/>
        <v>0</v>
      </c>
      <c r="CJ10">
        <f t="shared" si="1"/>
        <v>0</v>
      </c>
      <c r="CK10">
        <f t="shared" si="1"/>
        <v>0</v>
      </c>
      <c r="CL10">
        <f t="shared" si="1"/>
        <v>0</v>
      </c>
      <c r="CM10">
        <f t="shared" si="1"/>
        <v>0</v>
      </c>
      <c r="CN10">
        <f t="shared" si="1"/>
        <v>0</v>
      </c>
      <c r="CO10">
        <f t="shared" si="1"/>
        <v>0</v>
      </c>
      <c r="CP10">
        <f t="shared" si="1"/>
        <v>0</v>
      </c>
      <c r="CQ10">
        <f t="shared" si="1"/>
        <v>0</v>
      </c>
      <c r="CR10">
        <f t="shared" si="1"/>
        <v>0</v>
      </c>
      <c r="CS10">
        <f t="shared" si="1"/>
        <v>0</v>
      </c>
      <c r="CT10">
        <f t="shared" si="1"/>
        <v>0</v>
      </c>
      <c r="CU10">
        <f t="shared" si="1"/>
        <v>0</v>
      </c>
      <c r="CV10">
        <f t="shared" si="1"/>
        <v>0</v>
      </c>
      <c r="CW10">
        <f t="shared" si="1"/>
        <v>0</v>
      </c>
      <c r="CX10">
        <f t="shared" si="1"/>
        <v>0</v>
      </c>
      <c r="CY10">
        <f t="shared" si="1"/>
        <v>0</v>
      </c>
      <c r="CZ10">
        <f t="shared" si="1"/>
        <v>0</v>
      </c>
      <c r="DA10">
        <f t="shared" si="1"/>
        <v>0</v>
      </c>
      <c r="DB10">
        <f t="shared" si="1"/>
        <v>0</v>
      </c>
      <c r="DC10">
        <f t="shared" si="1"/>
        <v>0</v>
      </c>
      <c r="DD10">
        <f t="shared" si="1"/>
        <v>0</v>
      </c>
      <c r="DE10">
        <f t="shared" si="1"/>
        <v>0</v>
      </c>
      <c r="DF10">
        <f t="shared" si="1"/>
        <v>0</v>
      </c>
      <c r="DG10">
        <f t="shared" si="1"/>
        <v>0</v>
      </c>
      <c r="DH10">
        <f t="shared" si="1"/>
        <v>0</v>
      </c>
      <c r="DI10">
        <f t="shared" si="1"/>
        <v>0</v>
      </c>
      <c r="DJ10">
        <f t="shared" si="1"/>
        <v>0</v>
      </c>
      <c r="DK10">
        <f t="shared" si="1"/>
        <v>0</v>
      </c>
      <c r="DL10">
        <f t="shared" si="1"/>
        <v>0</v>
      </c>
      <c r="DM10">
        <f t="shared" si="1"/>
        <v>0</v>
      </c>
      <c r="DN10">
        <f t="shared" si="1"/>
        <v>0</v>
      </c>
      <c r="DO10">
        <f t="shared" si="1"/>
        <v>0</v>
      </c>
      <c r="DP10">
        <f t="shared" si="1"/>
        <v>0</v>
      </c>
      <c r="DQ10">
        <f t="shared" si="1"/>
        <v>0</v>
      </c>
      <c r="DR10">
        <f t="shared" si="1"/>
        <v>0</v>
      </c>
      <c r="DS10">
        <f t="shared" si="1"/>
        <v>0</v>
      </c>
      <c r="DT10">
        <f t="shared" si="1"/>
        <v>0</v>
      </c>
      <c r="DU10">
        <f t="shared" si="1"/>
        <v>0</v>
      </c>
      <c r="DV10">
        <f t="shared" si="1"/>
        <v>0</v>
      </c>
      <c r="DW10">
        <f t="shared" si="1"/>
        <v>0</v>
      </c>
      <c r="DX10">
        <f t="shared" si="1"/>
        <v>0</v>
      </c>
      <c r="DY10">
        <f t="shared" si="1"/>
        <v>0</v>
      </c>
      <c r="DZ10">
        <f t="shared" si="1"/>
        <v>0</v>
      </c>
      <c r="EA10">
        <f t="shared" si="1"/>
        <v>0</v>
      </c>
      <c r="EB10">
        <f t="shared" si="1"/>
        <v>0</v>
      </c>
      <c r="EC10">
        <f t="shared" si="1"/>
        <v>0</v>
      </c>
      <c r="ED10">
        <f t="shared" ref="ED10:FU10" si="2">SUM(ED4:ED7)</f>
        <v>0</v>
      </c>
      <c r="EE10">
        <f t="shared" si="2"/>
        <v>0</v>
      </c>
      <c r="EF10">
        <f t="shared" si="2"/>
        <v>0</v>
      </c>
      <c r="EG10">
        <f t="shared" si="2"/>
        <v>0</v>
      </c>
      <c r="EH10">
        <f t="shared" si="2"/>
        <v>0</v>
      </c>
      <c r="EI10">
        <f t="shared" si="2"/>
        <v>0</v>
      </c>
      <c r="EJ10">
        <f t="shared" si="2"/>
        <v>0</v>
      </c>
      <c r="EK10">
        <f t="shared" si="2"/>
        <v>0</v>
      </c>
      <c r="EL10">
        <f t="shared" si="2"/>
        <v>0</v>
      </c>
      <c r="EM10">
        <f t="shared" si="2"/>
        <v>0</v>
      </c>
      <c r="EN10">
        <f t="shared" si="2"/>
        <v>0</v>
      </c>
      <c r="EO10">
        <f t="shared" si="2"/>
        <v>0</v>
      </c>
      <c r="EP10">
        <f t="shared" si="2"/>
        <v>0</v>
      </c>
      <c r="EQ10">
        <f t="shared" si="2"/>
        <v>0</v>
      </c>
      <c r="ER10">
        <f t="shared" si="2"/>
        <v>0</v>
      </c>
      <c r="ES10">
        <f t="shared" si="2"/>
        <v>0</v>
      </c>
      <c r="ET10">
        <f t="shared" si="2"/>
        <v>0</v>
      </c>
      <c r="EU10">
        <f t="shared" si="2"/>
        <v>0</v>
      </c>
      <c r="EV10">
        <f t="shared" si="2"/>
        <v>0</v>
      </c>
      <c r="EW10">
        <f t="shared" si="2"/>
        <v>0</v>
      </c>
      <c r="EX10">
        <f t="shared" si="2"/>
        <v>0</v>
      </c>
      <c r="EY10">
        <f t="shared" si="2"/>
        <v>0</v>
      </c>
      <c r="EZ10">
        <f t="shared" si="2"/>
        <v>0</v>
      </c>
      <c r="FA10">
        <f t="shared" si="2"/>
        <v>0</v>
      </c>
      <c r="FB10">
        <f t="shared" si="2"/>
        <v>0</v>
      </c>
      <c r="FC10">
        <f t="shared" si="2"/>
        <v>0</v>
      </c>
      <c r="FD10">
        <f t="shared" si="2"/>
        <v>0</v>
      </c>
      <c r="FE10">
        <f t="shared" si="2"/>
        <v>0</v>
      </c>
      <c r="FF10">
        <f t="shared" si="2"/>
        <v>0</v>
      </c>
      <c r="FG10">
        <f t="shared" si="2"/>
        <v>0</v>
      </c>
      <c r="FH10">
        <f t="shared" si="2"/>
        <v>0</v>
      </c>
      <c r="FI10">
        <f t="shared" si="2"/>
        <v>0</v>
      </c>
      <c r="FJ10">
        <f t="shared" si="2"/>
        <v>0</v>
      </c>
      <c r="FK10">
        <f t="shared" si="2"/>
        <v>0</v>
      </c>
      <c r="FL10">
        <f t="shared" si="2"/>
        <v>0</v>
      </c>
      <c r="FM10">
        <f t="shared" si="2"/>
        <v>0</v>
      </c>
      <c r="FN10">
        <f t="shared" si="2"/>
        <v>0</v>
      </c>
      <c r="FO10">
        <f t="shared" si="2"/>
        <v>0</v>
      </c>
      <c r="FP10">
        <f t="shared" si="2"/>
        <v>0</v>
      </c>
      <c r="FQ10">
        <f t="shared" si="2"/>
        <v>0</v>
      </c>
      <c r="FR10">
        <f t="shared" si="2"/>
        <v>0</v>
      </c>
      <c r="FS10">
        <f t="shared" si="2"/>
        <v>0</v>
      </c>
      <c r="FT10">
        <f t="shared" si="2"/>
        <v>0</v>
      </c>
      <c r="FU10">
        <f t="shared" si="2"/>
        <v>0</v>
      </c>
    </row>
    <row r="20" spans="1:177" x14ac:dyDescent="0.25">
      <c r="A20" s="1" t="s">
        <v>0</v>
      </c>
      <c r="B20" s="1" t="s">
        <v>1</v>
      </c>
      <c r="C20" s="1" t="s">
        <v>2</v>
      </c>
      <c r="D20" s="1" t="s">
        <v>8</v>
      </c>
      <c r="E20" s="2">
        <f>E3</f>
        <v>44331</v>
      </c>
      <c r="F20" s="2">
        <f t="shared" ref="F20:BQ20" si="3">F3</f>
        <v>44332</v>
      </c>
      <c r="G20" s="2">
        <f t="shared" si="3"/>
        <v>44334</v>
      </c>
      <c r="H20" s="2">
        <f t="shared" si="3"/>
        <v>44336</v>
      </c>
      <c r="I20" s="2">
        <f t="shared" si="3"/>
        <v>44337</v>
      </c>
      <c r="J20" s="2">
        <f t="shared" si="3"/>
        <v>44338</v>
      </c>
      <c r="K20" s="2">
        <f t="shared" si="3"/>
        <v>44339</v>
      </c>
      <c r="L20" s="2">
        <f t="shared" si="3"/>
        <v>44340</v>
      </c>
      <c r="M20" s="2">
        <f t="shared" si="3"/>
        <v>44341</v>
      </c>
      <c r="N20" s="2">
        <f t="shared" si="3"/>
        <v>44342</v>
      </c>
      <c r="O20" s="2">
        <f t="shared" si="3"/>
        <v>44343</v>
      </c>
      <c r="P20" s="2">
        <f t="shared" si="3"/>
        <v>44344</v>
      </c>
      <c r="Q20" s="2">
        <f t="shared" si="3"/>
        <v>44345</v>
      </c>
      <c r="R20" s="2">
        <f t="shared" si="3"/>
        <v>44346</v>
      </c>
      <c r="S20" s="2">
        <f t="shared" si="3"/>
        <v>44347</v>
      </c>
      <c r="T20" s="2">
        <f t="shared" si="3"/>
        <v>44348</v>
      </c>
      <c r="U20" s="2">
        <f t="shared" si="3"/>
        <v>44349</v>
      </c>
      <c r="V20" s="2">
        <f t="shared" si="3"/>
        <v>44350</v>
      </c>
      <c r="W20" s="2">
        <f t="shared" si="3"/>
        <v>44351</v>
      </c>
      <c r="X20" s="2">
        <f t="shared" si="3"/>
        <v>44352</v>
      </c>
      <c r="Y20" s="2">
        <f t="shared" si="3"/>
        <v>44353</v>
      </c>
      <c r="Z20" s="2">
        <f t="shared" si="3"/>
        <v>44354</v>
      </c>
      <c r="AA20" s="2">
        <f t="shared" si="3"/>
        <v>44355</v>
      </c>
      <c r="AB20" s="2">
        <f t="shared" si="3"/>
        <v>44356</v>
      </c>
      <c r="AC20" s="2">
        <f t="shared" si="3"/>
        <v>44357</v>
      </c>
      <c r="AD20" s="2">
        <f t="shared" si="3"/>
        <v>44358</v>
      </c>
      <c r="AE20" s="2">
        <f t="shared" si="3"/>
        <v>44359</v>
      </c>
      <c r="AF20" s="2">
        <f t="shared" si="3"/>
        <v>44360</v>
      </c>
      <c r="AG20" s="2">
        <f t="shared" si="3"/>
        <v>44361</v>
      </c>
      <c r="AH20" s="2">
        <f t="shared" si="3"/>
        <v>44362</v>
      </c>
      <c r="AI20" s="2">
        <f t="shared" si="3"/>
        <v>44363</v>
      </c>
      <c r="AJ20" s="2">
        <f t="shared" si="3"/>
        <v>44364</v>
      </c>
      <c r="AK20" s="2">
        <f t="shared" si="3"/>
        <v>44365</v>
      </c>
      <c r="AL20" s="2">
        <f t="shared" si="3"/>
        <v>44366</v>
      </c>
      <c r="AM20" s="2">
        <f t="shared" si="3"/>
        <v>44367</v>
      </c>
      <c r="AN20" s="2">
        <f t="shared" si="3"/>
        <v>44368</v>
      </c>
      <c r="AO20" s="2">
        <f t="shared" si="3"/>
        <v>44369</v>
      </c>
      <c r="AP20" s="2">
        <f t="shared" si="3"/>
        <v>44370</v>
      </c>
      <c r="AQ20" s="2">
        <f t="shared" si="3"/>
        <v>44371</v>
      </c>
      <c r="AR20" s="2">
        <f t="shared" si="3"/>
        <v>44372</v>
      </c>
      <c r="AS20" s="2">
        <f t="shared" si="3"/>
        <v>44373</v>
      </c>
      <c r="AT20" s="2">
        <f t="shared" si="3"/>
        <v>44374</v>
      </c>
      <c r="AU20" s="2">
        <f t="shared" si="3"/>
        <v>44375</v>
      </c>
      <c r="AV20" s="2">
        <f t="shared" si="3"/>
        <v>44376</v>
      </c>
      <c r="AW20" s="2">
        <f t="shared" si="3"/>
        <v>44377</v>
      </c>
      <c r="AX20" s="2">
        <f t="shared" si="3"/>
        <v>44378</v>
      </c>
      <c r="AY20" s="2">
        <f t="shared" si="3"/>
        <v>44379</v>
      </c>
      <c r="AZ20" s="2">
        <f t="shared" si="3"/>
        <v>44380</v>
      </c>
      <c r="BA20" s="2">
        <f t="shared" si="3"/>
        <v>44381</v>
      </c>
      <c r="BB20" s="2">
        <f t="shared" si="3"/>
        <v>44382</v>
      </c>
      <c r="BC20" s="2">
        <f t="shared" si="3"/>
        <v>44383</v>
      </c>
      <c r="BD20" s="2">
        <f t="shared" si="3"/>
        <v>44384</v>
      </c>
      <c r="BE20" s="2">
        <f t="shared" si="3"/>
        <v>44385</v>
      </c>
      <c r="BF20" s="2">
        <f t="shared" si="3"/>
        <v>44386</v>
      </c>
      <c r="BG20" s="2">
        <f t="shared" si="3"/>
        <v>44387</v>
      </c>
      <c r="BH20" s="2">
        <f t="shared" si="3"/>
        <v>44388</v>
      </c>
      <c r="BI20" s="2">
        <f t="shared" si="3"/>
        <v>44389</v>
      </c>
      <c r="BJ20" s="2">
        <f t="shared" si="3"/>
        <v>44390</v>
      </c>
      <c r="BK20" s="2">
        <f t="shared" si="3"/>
        <v>44391</v>
      </c>
      <c r="BL20" s="2">
        <f t="shared" si="3"/>
        <v>44392</v>
      </c>
      <c r="BM20" s="2">
        <f t="shared" si="3"/>
        <v>44393</v>
      </c>
      <c r="BN20" s="2">
        <f t="shared" si="3"/>
        <v>44394</v>
      </c>
      <c r="BO20" s="2">
        <f t="shared" si="3"/>
        <v>44395</v>
      </c>
      <c r="BP20" s="2">
        <f t="shared" si="3"/>
        <v>44396</v>
      </c>
      <c r="BQ20" s="2">
        <f t="shared" si="3"/>
        <v>44397</v>
      </c>
      <c r="BR20" s="2">
        <f t="shared" ref="BR20:EC20" si="4">BR3</f>
        <v>44398</v>
      </c>
      <c r="BS20" s="2">
        <f t="shared" si="4"/>
        <v>44399</v>
      </c>
      <c r="BT20" s="2">
        <f t="shared" si="4"/>
        <v>44400</v>
      </c>
      <c r="BU20" s="2">
        <f t="shared" si="4"/>
        <v>44401</v>
      </c>
      <c r="BV20" s="2">
        <f t="shared" si="4"/>
        <v>44402</v>
      </c>
      <c r="BW20" s="2">
        <f t="shared" si="4"/>
        <v>44403</v>
      </c>
      <c r="BX20" s="2">
        <f t="shared" si="4"/>
        <v>44404</v>
      </c>
      <c r="BY20" s="2">
        <f t="shared" si="4"/>
        <v>44405</v>
      </c>
      <c r="BZ20" s="2">
        <f t="shared" si="4"/>
        <v>44406</v>
      </c>
      <c r="CA20" s="2">
        <f t="shared" si="4"/>
        <v>44407</v>
      </c>
      <c r="CB20" s="2">
        <f t="shared" si="4"/>
        <v>44408</v>
      </c>
      <c r="CC20" s="2">
        <f t="shared" si="4"/>
        <v>44409</v>
      </c>
      <c r="CD20" s="2">
        <f t="shared" si="4"/>
        <v>44410</v>
      </c>
      <c r="CE20" s="2">
        <f t="shared" si="4"/>
        <v>44411</v>
      </c>
      <c r="CF20" s="2">
        <f t="shared" si="4"/>
        <v>44412</v>
      </c>
      <c r="CG20" s="2">
        <f t="shared" si="4"/>
        <v>44413</v>
      </c>
      <c r="CH20" s="2">
        <f t="shared" si="4"/>
        <v>44414</v>
      </c>
      <c r="CI20" s="2">
        <f t="shared" si="4"/>
        <v>44415</v>
      </c>
      <c r="CJ20" s="2">
        <f t="shared" si="4"/>
        <v>44416</v>
      </c>
      <c r="CK20" s="2">
        <f t="shared" si="4"/>
        <v>44417</v>
      </c>
      <c r="CL20" s="2">
        <f t="shared" si="4"/>
        <v>44418</v>
      </c>
      <c r="CM20" s="2">
        <f t="shared" si="4"/>
        <v>44419</v>
      </c>
      <c r="CN20" s="2">
        <f t="shared" si="4"/>
        <v>44420</v>
      </c>
      <c r="CO20" s="2">
        <f t="shared" si="4"/>
        <v>44421</v>
      </c>
      <c r="CP20" s="2">
        <f t="shared" si="4"/>
        <v>44422</v>
      </c>
      <c r="CQ20" s="2">
        <f t="shared" si="4"/>
        <v>44423</v>
      </c>
      <c r="CR20" s="2">
        <f t="shared" si="4"/>
        <v>44424</v>
      </c>
      <c r="CS20" s="2">
        <f t="shared" si="4"/>
        <v>44425</v>
      </c>
      <c r="CT20" s="2">
        <f t="shared" si="4"/>
        <v>44426</v>
      </c>
      <c r="CU20" s="2">
        <f t="shared" si="4"/>
        <v>44427</v>
      </c>
      <c r="CV20" s="2">
        <f t="shared" si="4"/>
        <v>44428</v>
      </c>
      <c r="CW20" s="2">
        <f t="shared" si="4"/>
        <v>44429</v>
      </c>
      <c r="CX20" s="2">
        <f t="shared" si="4"/>
        <v>44430</v>
      </c>
      <c r="CY20" s="2">
        <f t="shared" si="4"/>
        <v>44431</v>
      </c>
      <c r="CZ20" s="2">
        <f t="shared" si="4"/>
        <v>44432</v>
      </c>
      <c r="DA20" s="2">
        <f t="shared" si="4"/>
        <v>44433</v>
      </c>
      <c r="DB20" s="2">
        <f t="shared" si="4"/>
        <v>44434</v>
      </c>
      <c r="DC20" s="2">
        <f t="shared" si="4"/>
        <v>44435</v>
      </c>
      <c r="DD20" s="2">
        <f t="shared" si="4"/>
        <v>44436</v>
      </c>
      <c r="DE20" s="2">
        <f t="shared" si="4"/>
        <v>44437</v>
      </c>
      <c r="DF20" s="2">
        <f t="shared" si="4"/>
        <v>44438</v>
      </c>
      <c r="DG20" s="2">
        <f t="shared" si="4"/>
        <v>44439</v>
      </c>
      <c r="DH20" s="2">
        <f t="shared" si="4"/>
        <v>44440</v>
      </c>
      <c r="DI20" s="2">
        <f t="shared" si="4"/>
        <v>44441</v>
      </c>
      <c r="DJ20" s="2">
        <f t="shared" si="4"/>
        <v>44442</v>
      </c>
      <c r="DK20" s="2">
        <f t="shared" si="4"/>
        <v>44443</v>
      </c>
      <c r="DL20" s="2">
        <f t="shared" si="4"/>
        <v>44444</v>
      </c>
      <c r="DM20" s="2">
        <f t="shared" si="4"/>
        <v>44445</v>
      </c>
      <c r="DN20" s="2">
        <f t="shared" si="4"/>
        <v>44446</v>
      </c>
      <c r="DO20" s="2">
        <f t="shared" si="4"/>
        <v>44447</v>
      </c>
      <c r="DP20" s="2">
        <f t="shared" si="4"/>
        <v>44448</v>
      </c>
      <c r="DQ20" s="2">
        <f t="shared" si="4"/>
        <v>44449</v>
      </c>
      <c r="DR20" s="2">
        <f t="shared" si="4"/>
        <v>44450</v>
      </c>
      <c r="DS20" s="2">
        <f t="shared" si="4"/>
        <v>44451</v>
      </c>
      <c r="DT20" s="2">
        <f t="shared" si="4"/>
        <v>44452</v>
      </c>
      <c r="DU20" s="2">
        <f t="shared" si="4"/>
        <v>44453</v>
      </c>
      <c r="DV20" s="2">
        <f t="shared" si="4"/>
        <v>44454</v>
      </c>
      <c r="DW20" s="2">
        <f t="shared" si="4"/>
        <v>44455</v>
      </c>
      <c r="DX20" s="2">
        <f t="shared" si="4"/>
        <v>44456</v>
      </c>
      <c r="DY20" s="2">
        <f t="shared" si="4"/>
        <v>44457</v>
      </c>
      <c r="DZ20" s="2">
        <f t="shared" si="4"/>
        <v>44458</v>
      </c>
      <c r="EA20" s="2">
        <f t="shared" si="4"/>
        <v>44459</v>
      </c>
      <c r="EB20" s="2">
        <f t="shared" si="4"/>
        <v>44460</v>
      </c>
      <c r="EC20" s="2">
        <f t="shared" si="4"/>
        <v>44461</v>
      </c>
      <c r="ED20" s="2">
        <f t="shared" ref="ED20:FU20" si="5">ED3</f>
        <v>44462</v>
      </c>
      <c r="EE20" s="2">
        <f t="shared" si="5"/>
        <v>44463</v>
      </c>
      <c r="EF20" s="2">
        <f t="shared" si="5"/>
        <v>44464</v>
      </c>
      <c r="EG20" s="2">
        <f t="shared" si="5"/>
        <v>44465</v>
      </c>
      <c r="EH20" s="2">
        <f t="shared" si="5"/>
        <v>44466</v>
      </c>
      <c r="EI20" s="2">
        <f t="shared" si="5"/>
        <v>44467</v>
      </c>
      <c r="EJ20" s="2">
        <f t="shared" si="5"/>
        <v>44468</v>
      </c>
      <c r="EK20" s="2">
        <f t="shared" si="5"/>
        <v>44469</v>
      </c>
      <c r="EL20" s="2">
        <f t="shared" si="5"/>
        <v>44470</v>
      </c>
      <c r="EM20" s="2">
        <f t="shared" si="5"/>
        <v>44471</v>
      </c>
      <c r="EN20" s="2">
        <f t="shared" si="5"/>
        <v>44472</v>
      </c>
      <c r="EO20" s="2">
        <f t="shared" si="5"/>
        <v>44473</v>
      </c>
      <c r="EP20" s="2">
        <f t="shared" si="5"/>
        <v>44474</v>
      </c>
      <c r="EQ20" s="2">
        <f t="shared" si="5"/>
        <v>44475</v>
      </c>
      <c r="ER20" s="2">
        <f t="shared" si="5"/>
        <v>44476</v>
      </c>
      <c r="ES20" s="2">
        <f t="shared" si="5"/>
        <v>44477</v>
      </c>
      <c r="ET20" s="2">
        <f t="shared" si="5"/>
        <v>44478</v>
      </c>
      <c r="EU20" s="2">
        <f t="shared" si="5"/>
        <v>44479</v>
      </c>
      <c r="EV20" s="2">
        <f t="shared" si="5"/>
        <v>44480</v>
      </c>
      <c r="EW20" s="2">
        <f t="shared" si="5"/>
        <v>44481</v>
      </c>
      <c r="EX20" s="2">
        <f t="shared" si="5"/>
        <v>44482</v>
      </c>
      <c r="EY20" s="2">
        <f t="shared" si="5"/>
        <v>44483</v>
      </c>
      <c r="EZ20" s="2">
        <f t="shared" si="5"/>
        <v>44484</v>
      </c>
      <c r="FA20" s="2">
        <f t="shared" si="5"/>
        <v>44485</v>
      </c>
      <c r="FB20" s="2">
        <f t="shared" si="5"/>
        <v>44486</v>
      </c>
      <c r="FC20" s="2">
        <f t="shared" si="5"/>
        <v>44487</v>
      </c>
      <c r="FD20" s="2">
        <f t="shared" si="5"/>
        <v>44488</v>
      </c>
      <c r="FE20" s="2">
        <f t="shared" si="5"/>
        <v>44489</v>
      </c>
      <c r="FF20" s="2">
        <f t="shared" si="5"/>
        <v>44490</v>
      </c>
      <c r="FG20" s="2">
        <f t="shared" si="5"/>
        <v>44491</v>
      </c>
      <c r="FH20" s="2">
        <f t="shared" si="5"/>
        <v>44492</v>
      </c>
      <c r="FI20" s="2">
        <f t="shared" si="5"/>
        <v>44493</v>
      </c>
      <c r="FJ20" s="2">
        <f t="shared" si="5"/>
        <v>44494</v>
      </c>
      <c r="FK20" s="2">
        <f t="shared" si="5"/>
        <v>44495</v>
      </c>
      <c r="FL20" s="2">
        <f t="shared" si="5"/>
        <v>44496</v>
      </c>
      <c r="FM20" s="2">
        <f t="shared" si="5"/>
        <v>44497</v>
      </c>
      <c r="FN20" s="2">
        <f t="shared" si="5"/>
        <v>44498</v>
      </c>
      <c r="FO20" s="2">
        <f t="shared" si="5"/>
        <v>44499</v>
      </c>
      <c r="FP20" s="2">
        <f t="shared" si="5"/>
        <v>44500</v>
      </c>
      <c r="FQ20" s="2">
        <f t="shared" si="5"/>
        <v>44501</v>
      </c>
      <c r="FR20" s="2">
        <f t="shared" si="5"/>
        <v>44502</v>
      </c>
      <c r="FS20" s="2">
        <f t="shared" si="5"/>
        <v>44503</v>
      </c>
      <c r="FT20" s="2">
        <f t="shared" si="5"/>
        <v>44504</v>
      </c>
      <c r="FU20" s="2">
        <f t="shared" si="5"/>
        <v>44505</v>
      </c>
    </row>
    <row r="21" spans="1:177" x14ac:dyDescent="0.25">
      <c r="A21" t="str">
        <f>A4</f>
        <v>Bayonet</v>
      </c>
      <c r="B21" t="str">
        <f t="shared" ref="B21:D21" si="6">B4</f>
        <v>Rust Coat BS</v>
      </c>
      <c r="C21" t="str">
        <f t="shared" si="6"/>
        <v>Knife</v>
      </c>
      <c r="D21" t="str">
        <f t="shared" si="6"/>
        <v>Chroma</v>
      </c>
      <c r="E21">
        <f>E4-ROUNDUP(E4*0.3,2)</f>
        <v>137.38</v>
      </c>
      <c r="F21">
        <f t="shared" ref="F21:BQ22" si="7">F4-ROUNDUP(F4*0.3,2)</f>
        <v>141.26999999999998</v>
      </c>
      <c r="G21">
        <f t="shared" si="7"/>
        <v>137.9</v>
      </c>
      <c r="H21">
        <f t="shared" si="7"/>
        <v>137.81</v>
      </c>
      <c r="I21">
        <f t="shared" si="7"/>
        <v>145.02000000000001</v>
      </c>
      <c r="J21">
        <f t="shared" si="7"/>
        <v>146.62</v>
      </c>
      <c r="K21">
        <f t="shared" si="7"/>
        <v>141.32</v>
      </c>
      <c r="L21">
        <f t="shared" si="7"/>
        <v>141.72999999999999</v>
      </c>
      <c r="M21">
        <f t="shared" si="7"/>
        <v>137.35999999999999</v>
      </c>
      <c r="N21">
        <f t="shared" si="7"/>
        <v>142.79999999999998</v>
      </c>
      <c r="O21">
        <f t="shared" si="7"/>
        <v>144.62</v>
      </c>
      <c r="P21">
        <f t="shared" si="7"/>
        <v>146.4</v>
      </c>
      <c r="Q21">
        <f t="shared" si="7"/>
        <v>145.30000000000001</v>
      </c>
      <c r="R21">
        <f t="shared" si="7"/>
        <v>145.12</v>
      </c>
      <c r="S21">
        <f t="shared" si="7"/>
        <v>141.51</v>
      </c>
      <c r="T21">
        <f t="shared" si="7"/>
        <v>140.91000000000003</v>
      </c>
      <c r="U21">
        <f t="shared" si="7"/>
        <v>141.25</v>
      </c>
      <c r="V21">
        <f t="shared" si="7"/>
        <v>142.30000000000001</v>
      </c>
      <c r="W21">
        <f t="shared" si="7"/>
        <v>140.83999999999997</v>
      </c>
      <c r="X21">
        <f t="shared" si="7"/>
        <v>144.9</v>
      </c>
      <c r="Y21">
        <f t="shared" si="7"/>
        <v>144.89999999999998</v>
      </c>
      <c r="Z21">
        <f t="shared" si="7"/>
        <v>0</v>
      </c>
      <c r="AA21">
        <f t="shared" si="7"/>
        <v>0</v>
      </c>
      <c r="AB21">
        <f t="shared" si="7"/>
        <v>0</v>
      </c>
      <c r="AC21">
        <f t="shared" si="7"/>
        <v>0</v>
      </c>
      <c r="AD21">
        <f t="shared" si="7"/>
        <v>0</v>
      </c>
      <c r="AE21">
        <f t="shared" si="7"/>
        <v>0</v>
      </c>
      <c r="AF21">
        <f t="shared" si="7"/>
        <v>0</v>
      </c>
      <c r="AG21">
        <f t="shared" si="7"/>
        <v>0</v>
      </c>
      <c r="AH21">
        <f t="shared" si="7"/>
        <v>0</v>
      </c>
      <c r="AI21">
        <f t="shared" si="7"/>
        <v>0</v>
      </c>
      <c r="AJ21">
        <f t="shared" si="7"/>
        <v>0</v>
      </c>
      <c r="AK21">
        <f t="shared" si="7"/>
        <v>0</v>
      </c>
      <c r="AL21">
        <f t="shared" si="7"/>
        <v>0</v>
      </c>
      <c r="AM21">
        <f t="shared" si="7"/>
        <v>0</v>
      </c>
      <c r="AN21">
        <f t="shared" si="7"/>
        <v>0</v>
      </c>
      <c r="AO21">
        <f t="shared" si="7"/>
        <v>0</v>
      </c>
      <c r="AP21">
        <f t="shared" si="7"/>
        <v>0</v>
      </c>
      <c r="AQ21">
        <f t="shared" si="7"/>
        <v>0</v>
      </c>
      <c r="AR21">
        <f t="shared" si="7"/>
        <v>0</v>
      </c>
      <c r="AS21">
        <f t="shared" si="7"/>
        <v>0</v>
      </c>
      <c r="AT21">
        <f t="shared" si="7"/>
        <v>0</v>
      </c>
      <c r="AU21">
        <f t="shared" si="7"/>
        <v>0</v>
      </c>
      <c r="AV21">
        <f t="shared" si="7"/>
        <v>0</v>
      </c>
      <c r="AW21">
        <f t="shared" si="7"/>
        <v>0</v>
      </c>
      <c r="AX21">
        <f t="shared" si="7"/>
        <v>0</v>
      </c>
      <c r="AY21">
        <f t="shared" si="7"/>
        <v>0</v>
      </c>
      <c r="AZ21">
        <f t="shared" si="7"/>
        <v>0</v>
      </c>
      <c r="BA21">
        <f t="shared" si="7"/>
        <v>0</v>
      </c>
      <c r="BB21">
        <f t="shared" si="7"/>
        <v>0</v>
      </c>
      <c r="BC21">
        <f t="shared" si="7"/>
        <v>0</v>
      </c>
      <c r="BD21">
        <f t="shared" si="7"/>
        <v>0</v>
      </c>
      <c r="BE21">
        <f t="shared" si="7"/>
        <v>0</v>
      </c>
      <c r="BF21">
        <f t="shared" si="7"/>
        <v>0</v>
      </c>
      <c r="BG21">
        <f t="shared" si="7"/>
        <v>0</v>
      </c>
      <c r="BH21">
        <f t="shared" si="7"/>
        <v>0</v>
      </c>
      <c r="BI21">
        <f t="shared" si="7"/>
        <v>0</v>
      </c>
      <c r="BJ21">
        <f t="shared" si="7"/>
        <v>0</v>
      </c>
      <c r="BK21">
        <f t="shared" si="7"/>
        <v>0</v>
      </c>
      <c r="BL21">
        <f t="shared" si="7"/>
        <v>0</v>
      </c>
      <c r="BM21">
        <f t="shared" si="7"/>
        <v>0</v>
      </c>
      <c r="BN21">
        <f t="shared" si="7"/>
        <v>0</v>
      </c>
      <c r="BO21">
        <f t="shared" si="7"/>
        <v>0</v>
      </c>
      <c r="BP21">
        <f t="shared" si="7"/>
        <v>0</v>
      </c>
      <c r="BQ21">
        <f t="shared" si="7"/>
        <v>0</v>
      </c>
      <c r="BR21">
        <f t="shared" ref="BR21:EC24" si="8">BR4-ROUNDUP(BR4*0.3,2)</f>
        <v>0</v>
      </c>
      <c r="BS21">
        <f t="shared" si="8"/>
        <v>0</v>
      </c>
      <c r="BT21">
        <f t="shared" si="8"/>
        <v>0</v>
      </c>
      <c r="BU21">
        <f t="shared" si="8"/>
        <v>0</v>
      </c>
      <c r="BV21">
        <f t="shared" si="8"/>
        <v>0</v>
      </c>
      <c r="BW21">
        <f t="shared" si="8"/>
        <v>0</v>
      </c>
      <c r="BX21">
        <f t="shared" si="8"/>
        <v>0</v>
      </c>
      <c r="BY21">
        <f t="shared" si="8"/>
        <v>0</v>
      </c>
      <c r="BZ21">
        <f t="shared" si="8"/>
        <v>0</v>
      </c>
      <c r="CA21">
        <f t="shared" si="8"/>
        <v>0</v>
      </c>
      <c r="CB21">
        <f t="shared" si="8"/>
        <v>0</v>
      </c>
      <c r="CC21">
        <f t="shared" si="8"/>
        <v>0</v>
      </c>
      <c r="CD21">
        <f t="shared" si="8"/>
        <v>0</v>
      </c>
      <c r="CE21">
        <f t="shared" si="8"/>
        <v>0</v>
      </c>
      <c r="CF21">
        <f t="shared" si="8"/>
        <v>0</v>
      </c>
      <c r="CG21">
        <f t="shared" si="8"/>
        <v>0</v>
      </c>
      <c r="CH21">
        <f t="shared" si="8"/>
        <v>0</v>
      </c>
      <c r="CI21">
        <f t="shared" si="8"/>
        <v>0</v>
      </c>
      <c r="CJ21">
        <f t="shared" si="8"/>
        <v>0</v>
      </c>
      <c r="CK21">
        <f t="shared" si="8"/>
        <v>0</v>
      </c>
      <c r="CL21">
        <f t="shared" si="8"/>
        <v>0</v>
      </c>
      <c r="CM21">
        <f t="shared" si="8"/>
        <v>0</v>
      </c>
      <c r="CN21">
        <f t="shared" si="8"/>
        <v>0</v>
      </c>
      <c r="CO21">
        <f t="shared" si="8"/>
        <v>0</v>
      </c>
      <c r="CP21">
        <f t="shared" si="8"/>
        <v>0</v>
      </c>
      <c r="CQ21">
        <f t="shared" si="8"/>
        <v>0</v>
      </c>
      <c r="CR21">
        <f t="shared" si="8"/>
        <v>0</v>
      </c>
      <c r="CS21">
        <f t="shared" si="8"/>
        <v>0</v>
      </c>
      <c r="CT21">
        <f t="shared" si="8"/>
        <v>0</v>
      </c>
      <c r="CU21">
        <f t="shared" si="8"/>
        <v>0</v>
      </c>
      <c r="CV21">
        <f t="shared" si="8"/>
        <v>0</v>
      </c>
      <c r="CW21">
        <f t="shared" si="8"/>
        <v>0</v>
      </c>
      <c r="CX21">
        <f t="shared" si="8"/>
        <v>0</v>
      </c>
      <c r="CY21">
        <f t="shared" si="8"/>
        <v>0</v>
      </c>
      <c r="CZ21">
        <f t="shared" si="8"/>
        <v>0</v>
      </c>
      <c r="DA21">
        <f t="shared" si="8"/>
        <v>0</v>
      </c>
      <c r="DB21">
        <f t="shared" si="8"/>
        <v>0</v>
      </c>
      <c r="DC21">
        <f t="shared" si="8"/>
        <v>0</v>
      </c>
      <c r="DD21">
        <f t="shared" si="8"/>
        <v>0</v>
      </c>
      <c r="DE21">
        <f t="shared" si="8"/>
        <v>0</v>
      </c>
      <c r="DF21">
        <f t="shared" si="8"/>
        <v>0</v>
      </c>
      <c r="DG21">
        <f t="shared" si="8"/>
        <v>0</v>
      </c>
      <c r="DH21">
        <f t="shared" si="8"/>
        <v>0</v>
      </c>
      <c r="DI21">
        <f t="shared" si="8"/>
        <v>0</v>
      </c>
      <c r="DJ21">
        <f t="shared" si="8"/>
        <v>0</v>
      </c>
      <c r="DK21">
        <f t="shared" si="8"/>
        <v>0</v>
      </c>
      <c r="DL21">
        <f t="shared" si="8"/>
        <v>0</v>
      </c>
      <c r="DM21">
        <f t="shared" si="8"/>
        <v>0</v>
      </c>
      <c r="DN21">
        <f t="shared" si="8"/>
        <v>0</v>
      </c>
      <c r="DO21">
        <f t="shared" si="8"/>
        <v>0</v>
      </c>
      <c r="DP21">
        <f t="shared" si="8"/>
        <v>0</v>
      </c>
      <c r="DQ21">
        <f t="shared" si="8"/>
        <v>0</v>
      </c>
      <c r="DR21">
        <f t="shared" si="8"/>
        <v>0</v>
      </c>
      <c r="DS21">
        <f t="shared" si="8"/>
        <v>0</v>
      </c>
      <c r="DT21">
        <f t="shared" si="8"/>
        <v>0</v>
      </c>
      <c r="DU21">
        <f t="shared" si="8"/>
        <v>0</v>
      </c>
      <c r="DV21">
        <f t="shared" si="8"/>
        <v>0</v>
      </c>
      <c r="DW21">
        <f t="shared" si="8"/>
        <v>0</v>
      </c>
      <c r="DX21">
        <f t="shared" si="8"/>
        <v>0</v>
      </c>
      <c r="DY21">
        <f t="shared" si="8"/>
        <v>0</v>
      </c>
      <c r="DZ21">
        <f t="shared" si="8"/>
        <v>0</v>
      </c>
      <c r="EA21">
        <f t="shared" si="8"/>
        <v>0</v>
      </c>
      <c r="EB21">
        <f t="shared" si="8"/>
        <v>0</v>
      </c>
      <c r="EC21">
        <f t="shared" si="8"/>
        <v>0</v>
      </c>
      <c r="ED21">
        <f t="shared" ref="ED21:FU23" si="9">ED4-ROUNDUP(ED4*0.3,2)</f>
        <v>0</v>
      </c>
      <c r="EE21">
        <f t="shared" si="9"/>
        <v>0</v>
      </c>
      <c r="EF21">
        <f t="shared" si="9"/>
        <v>0</v>
      </c>
      <c r="EG21">
        <f t="shared" si="9"/>
        <v>0</v>
      </c>
      <c r="EH21">
        <f t="shared" si="9"/>
        <v>0</v>
      </c>
      <c r="EI21">
        <f t="shared" si="9"/>
        <v>0</v>
      </c>
      <c r="EJ21">
        <f t="shared" si="9"/>
        <v>0</v>
      </c>
      <c r="EK21">
        <f t="shared" si="9"/>
        <v>0</v>
      </c>
      <c r="EL21">
        <f t="shared" si="9"/>
        <v>0</v>
      </c>
      <c r="EM21">
        <f t="shared" si="9"/>
        <v>0</v>
      </c>
      <c r="EN21">
        <f t="shared" si="9"/>
        <v>0</v>
      </c>
      <c r="EO21">
        <f t="shared" si="9"/>
        <v>0</v>
      </c>
      <c r="EP21">
        <f t="shared" si="9"/>
        <v>0</v>
      </c>
      <c r="EQ21">
        <f t="shared" si="9"/>
        <v>0</v>
      </c>
      <c r="ER21">
        <f t="shared" si="9"/>
        <v>0</v>
      </c>
      <c r="ES21">
        <f t="shared" si="9"/>
        <v>0</v>
      </c>
      <c r="ET21">
        <f t="shared" si="9"/>
        <v>0</v>
      </c>
      <c r="EU21">
        <f t="shared" si="9"/>
        <v>0</v>
      </c>
      <c r="EV21">
        <f t="shared" si="9"/>
        <v>0</v>
      </c>
      <c r="EW21">
        <f t="shared" si="9"/>
        <v>0</v>
      </c>
      <c r="EX21">
        <f t="shared" si="9"/>
        <v>0</v>
      </c>
      <c r="EY21">
        <f t="shared" si="9"/>
        <v>0</v>
      </c>
      <c r="EZ21">
        <f t="shared" si="9"/>
        <v>0</v>
      </c>
      <c r="FA21">
        <f t="shared" si="9"/>
        <v>0</v>
      </c>
      <c r="FB21">
        <f t="shared" si="9"/>
        <v>0</v>
      </c>
      <c r="FC21">
        <f t="shared" si="9"/>
        <v>0</v>
      </c>
      <c r="FD21">
        <f t="shared" si="9"/>
        <v>0</v>
      </c>
      <c r="FE21">
        <f t="shared" si="9"/>
        <v>0</v>
      </c>
      <c r="FF21">
        <f t="shared" si="9"/>
        <v>0</v>
      </c>
      <c r="FG21">
        <f t="shared" si="9"/>
        <v>0</v>
      </c>
      <c r="FH21">
        <f t="shared" si="9"/>
        <v>0</v>
      </c>
      <c r="FI21">
        <f t="shared" si="9"/>
        <v>0</v>
      </c>
      <c r="FJ21">
        <f t="shared" si="9"/>
        <v>0</v>
      </c>
      <c r="FK21">
        <f t="shared" si="9"/>
        <v>0</v>
      </c>
      <c r="FL21">
        <f t="shared" si="9"/>
        <v>0</v>
      </c>
      <c r="FM21">
        <f t="shared" si="9"/>
        <v>0</v>
      </c>
      <c r="FN21">
        <f t="shared" si="9"/>
        <v>0</v>
      </c>
      <c r="FO21">
        <f t="shared" si="9"/>
        <v>0</v>
      </c>
      <c r="FP21">
        <f t="shared" si="9"/>
        <v>0</v>
      </c>
      <c r="FQ21">
        <f t="shared" si="9"/>
        <v>0</v>
      </c>
      <c r="FR21">
        <f t="shared" si="9"/>
        <v>0</v>
      </c>
      <c r="FS21">
        <f t="shared" si="9"/>
        <v>0</v>
      </c>
      <c r="FT21">
        <f t="shared" si="9"/>
        <v>0</v>
      </c>
      <c r="FU21">
        <f t="shared" si="9"/>
        <v>0</v>
      </c>
    </row>
    <row r="22" spans="1:177" x14ac:dyDescent="0.25">
      <c r="A22" t="str">
        <f t="shared" ref="A22:D22" si="10">A5</f>
        <v>Butterfly Knife</v>
      </c>
      <c r="B22" t="str">
        <f t="shared" si="10"/>
        <v>Tiger Tooth FN</v>
      </c>
      <c r="C22" t="str">
        <f t="shared" si="10"/>
        <v>Knife</v>
      </c>
      <c r="D22" t="str">
        <f t="shared" si="10"/>
        <v>Spectrum</v>
      </c>
      <c r="E22">
        <f t="shared" ref="E22:T24" si="11">E5-ROUNDUP(E5*0.3,2)</f>
        <v>841.11999999999989</v>
      </c>
      <c r="F22">
        <f t="shared" si="11"/>
        <v>843.82</v>
      </c>
      <c r="G22">
        <f t="shared" si="11"/>
        <v>882.77</v>
      </c>
      <c r="H22">
        <f t="shared" si="11"/>
        <v>882.74</v>
      </c>
      <c r="I22">
        <f t="shared" si="11"/>
        <v>882.74</v>
      </c>
      <c r="J22">
        <f t="shared" si="11"/>
        <v>861.38999999999987</v>
      </c>
      <c r="K22">
        <f t="shared" si="11"/>
        <v>906.05</v>
      </c>
      <c r="L22">
        <f t="shared" si="11"/>
        <v>906.05</v>
      </c>
      <c r="M22">
        <f t="shared" si="11"/>
        <v>903.21</v>
      </c>
      <c r="N22">
        <f t="shared" si="11"/>
        <v>999.21</v>
      </c>
      <c r="O22">
        <f t="shared" si="11"/>
        <v>973.7</v>
      </c>
      <c r="P22">
        <f t="shared" si="11"/>
        <v>968.55000000000018</v>
      </c>
      <c r="Q22">
        <f t="shared" si="11"/>
        <v>954.78</v>
      </c>
      <c r="R22">
        <f t="shared" si="11"/>
        <v>947.82999999999993</v>
      </c>
      <c r="S22">
        <f t="shared" si="11"/>
        <v>938.91</v>
      </c>
      <c r="T22">
        <f t="shared" si="11"/>
        <v>938.91</v>
      </c>
      <c r="U22">
        <f t="shared" si="7"/>
        <v>948.45</v>
      </c>
      <c r="V22">
        <f t="shared" si="7"/>
        <v>955.21999999999991</v>
      </c>
      <c r="W22">
        <f t="shared" si="7"/>
        <v>944.99</v>
      </c>
      <c r="X22">
        <f t="shared" si="7"/>
        <v>989.15999999999985</v>
      </c>
      <c r="Y22">
        <f t="shared" si="7"/>
        <v>1039.27</v>
      </c>
      <c r="Z22">
        <f t="shared" si="7"/>
        <v>0</v>
      </c>
      <c r="AA22">
        <f t="shared" si="7"/>
        <v>0</v>
      </c>
      <c r="AB22">
        <f t="shared" si="7"/>
        <v>0</v>
      </c>
      <c r="AC22">
        <f t="shared" si="7"/>
        <v>0</v>
      </c>
      <c r="AD22">
        <f t="shared" si="7"/>
        <v>0</v>
      </c>
      <c r="AE22">
        <f t="shared" si="7"/>
        <v>0</v>
      </c>
      <c r="AF22">
        <f t="shared" si="7"/>
        <v>0</v>
      </c>
      <c r="AG22">
        <f t="shared" si="7"/>
        <v>0</v>
      </c>
      <c r="AH22">
        <f t="shared" si="7"/>
        <v>0</v>
      </c>
      <c r="AI22">
        <f t="shared" si="7"/>
        <v>0</v>
      </c>
      <c r="AJ22">
        <f t="shared" si="7"/>
        <v>0</v>
      </c>
      <c r="AK22">
        <f t="shared" si="7"/>
        <v>0</v>
      </c>
      <c r="AL22">
        <f t="shared" si="7"/>
        <v>0</v>
      </c>
      <c r="AM22">
        <f t="shared" si="7"/>
        <v>0</v>
      </c>
      <c r="AN22">
        <f t="shared" si="7"/>
        <v>0</v>
      </c>
      <c r="AO22">
        <f t="shared" si="7"/>
        <v>0</v>
      </c>
      <c r="AP22">
        <f t="shared" si="7"/>
        <v>0</v>
      </c>
      <c r="AQ22">
        <f t="shared" si="7"/>
        <v>0</v>
      </c>
      <c r="AR22">
        <f t="shared" si="7"/>
        <v>0</v>
      </c>
      <c r="AS22">
        <f t="shared" si="7"/>
        <v>0</v>
      </c>
      <c r="AT22">
        <f t="shared" si="7"/>
        <v>0</v>
      </c>
      <c r="AU22">
        <f t="shared" si="7"/>
        <v>0</v>
      </c>
      <c r="AV22">
        <f t="shared" si="7"/>
        <v>0</v>
      </c>
      <c r="AW22">
        <f t="shared" si="7"/>
        <v>0</v>
      </c>
      <c r="AX22">
        <f t="shared" si="7"/>
        <v>0</v>
      </c>
      <c r="AY22">
        <f t="shared" si="7"/>
        <v>0</v>
      </c>
      <c r="AZ22">
        <f t="shared" si="7"/>
        <v>0</v>
      </c>
      <c r="BA22">
        <f t="shared" si="7"/>
        <v>0</v>
      </c>
      <c r="BB22">
        <f t="shared" si="7"/>
        <v>0</v>
      </c>
      <c r="BC22">
        <f t="shared" si="7"/>
        <v>0</v>
      </c>
      <c r="BD22">
        <f t="shared" si="7"/>
        <v>0</v>
      </c>
      <c r="BE22">
        <f t="shared" si="7"/>
        <v>0</v>
      </c>
      <c r="BF22">
        <f t="shared" si="7"/>
        <v>0</v>
      </c>
      <c r="BG22">
        <f t="shared" si="7"/>
        <v>0</v>
      </c>
      <c r="BH22">
        <f t="shared" si="7"/>
        <v>0</v>
      </c>
      <c r="BI22">
        <f t="shared" si="7"/>
        <v>0</v>
      </c>
      <c r="BJ22">
        <f t="shared" si="7"/>
        <v>0</v>
      </c>
      <c r="BK22">
        <f t="shared" si="7"/>
        <v>0</v>
      </c>
      <c r="BL22">
        <f t="shared" si="7"/>
        <v>0</v>
      </c>
      <c r="BM22">
        <f t="shared" si="7"/>
        <v>0</v>
      </c>
      <c r="BN22">
        <f t="shared" si="7"/>
        <v>0</v>
      </c>
      <c r="BO22">
        <f t="shared" si="7"/>
        <v>0</v>
      </c>
      <c r="BP22">
        <f t="shared" si="7"/>
        <v>0</v>
      </c>
      <c r="BQ22">
        <f t="shared" si="7"/>
        <v>0</v>
      </c>
      <c r="BR22">
        <f t="shared" si="8"/>
        <v>0</v>
      </c>
      <c r="BS22">
        <f t="shared" si="8"/>
        <v>0</v>
      </c>
      <c r="BT22">
        <f t="shared" si="8"/>
        <v>0</v>
      </c>
      <c r="BU22">
        <f t="shared" si="8"/>
        <v>0</v>
      </c>
      <c r="BV22">
        <f t="shared" si="8"/>
        <v>0</v>
      </c>
      <c r="BW22">
        <f t="shared" si="8"/>
        <v>0</v>
      </c>
      <c r="BX22">
        <f t="shared" si="8"/>
        <v>0</v>
      </c>
      <c r="BY22">
        <f t="shared" si="8"/>
        <v>0</v>
      </c>
      <c r="BZ22">
        <f t="shared" si="8"/>
        <v>0</v>
      </c>
      <c r="CA22">
        <f t="shared" si="8"/>
        <v>0</v>
      </c>
      <c r="CB22">
        <f t="shared" si="8"/>
        <v>0</v>
      </c>
      <c r="CC22">
        <f t="shared" si="8"/>
        <v>0</v>
      </c>
      <c r="CD22">
        <f t="shared" si="8"/>
        <v>0</v>
      </c>
      <c r="CE22">
        <f t="shared" si="8"/>
        <v>0</v>
      </c>
      <c r="CF22">
        <f t="shared" si="8"/>
        <v>0</v>
      </c>
      <c r="CG22">
        <f t="shared" si="8"/>
        <v>0</v>
      </c>
      <c r="CH22">
        <f t="shared" si="8"/>
        <v>0</v>
      </c>
      <c r="CI22">
        <f t="shared" si="8"/>
        <v>0</v>
      </c>
      <c r="CJ22">
        <f t="shared" si="8"/>
        <v>0</v>
      </c>
      <c r="CK22">
        <f t="shared" si="8"/>
        <v>0</v>
      </c>
      <c r="CL22">
        <f t="shared" si="8"/>
        <v>0</v>
      </c>
      <c r="CM22">
        <f t="shared" si="8"/>
        <v>0</v>
      </c>
      <c r="CN22">
        <f t="shared" si="8"/>
        <v>0</v>
      </c>
      <c r="CO22">
        <f t="shared" si="8"/>
        <v>0</v>
      </c>
      <c r="CP22">
        <f t="shared" si="8"/>
        <v>0</v>
      </c>
      <c r="CQ22">
        <f t="shared" si="8"/>
        <v>0</v>
      </c>
      <c r="CR22">
        <f t="shared" si="8"/>
        <v>0</v>
      </c>
      <c r="CS22">
        <f t="shared" si="8"/>
        <v>0</v>
      </c>
      <c r="CT22">
        <f t="shared" si="8"/>
        <v>0</v>
      </c>
      <c r="CU22">
        <f t="shared" si="8"/>
        <v>0</v>
      </c>
      <c r="CV22">
        <f t="shared" si="8"/>
        <v>0</v>
      </c>
      <c r="CW22">
        <f t="shared" si="8"/>
        <v>0</v>
      </c>
      <c r="CX22">
        <f t="shared" si="8"/>
        <v>0</v>
      </c>
      <c r="CY22">
        <f t="shared" si="8"/>
        <v>0</v>
      </c>
      <c r="CZ22">
        <f t="shared" si="8"/>
        <v>0</v>
      </c>
      <c r="DA22">
        <f t="shared" si="8"/>
        <v>0</v>
      </c>
      <c r="DB22">
        <f t="shared" si="8"/>
        <v>0</v>
      </c>
      <c r="DC22">
        <f t="shared" si="8"/>
        <v>0</v>
      </c>
      <c r="DD22">
        <f t="shared" si="8"/>
        <v>0</v>
      </c>
      <c r="DE22">
        <f t="shared" si="8"/>
        <v>0</v>
      </c>
      <c r="DF22">
        <f t="shared" si="8"/>
        <v>0</v>
      </c>
      <c r="DG22">
        <f t="shared" si="8"/>
        <v>0</v>
      </c>
      <c r="DH22">
        <f t="shared" si="8"/>
        <v>0</v>
      </c>
      <c r="DI22">
        <f t="shared" si="8"/>
        <v>0</v>
      </c>
      <c r="DJ22">
        <f t="shared" si="8"/>
        <v>0</v>
      </c>
      <c r="DK22">
        <f t="shared" si="8"/>
        <v>0</v>
      </c>
      <c r="DL22">
        <f t="shared" si="8"/>
        <v>0</v>
      </c>
      <c r="DM22">
        <f t="shared" si="8"/>
        <v>0</v>
      </c>
      <c r="DN22">
        <f t="shared" si="8"/>
        <v>0</v>
      </c>
      <c r="DO22">
        <f t="shared" si="8"/>
        <v>0</v>
      </c>
      <c r="DP22">
        <f t="shared" si="8"/>
        <v>0</v>
      </c>
      <c r="DQ22">
        <f t="shared" si="8"/>
        <v>0</v>
      </c>
      <c r="DR22">
        <f t="shared" si="8"/>
        <v>0</v>
      </c>
      <c r="DS22">
        <f t="shared" si="8"/>
        <v>0</v>
      </c>
      <c r="DT22">
        <f t="shared" si="8"/>
        <v>0</v>
      </c>
      <c r="DU22">
        <f t="shared" si="8"/>
        <v>0</v>
      </c>
      <c r="DV22">
        <f t="shared" si="8"/>
        <v>0</v>
      </c>
      <c r="DW22">
        <f t="shared" si="8"/>
        <v>0</v>
      </c>
      <c r="DX22">
        <f t="shared" si="8"/>
        <v>0</v>
      </c>
      <c r="DY22">
        <f t="shared" si="8"/>
        <v>0</v>
      </c>
      <c r="DZ22">
        <f t="shared" si="8"/>
        <v>0</v>
      </c>
      <c r="EA22">
        <f t="shared" si="8"/>
        <v>0</v>
      </c>
      <c r="EB22">
        <f t="shared" si="8"/>
        <v>0</v>
      </c>
      <c r="EC22">
        <f t="shared" si="8"/>
        <v>0</v>
      </c>
      <c r="ED22">
        <f t="shared" si="9"/>
        <v>0</v>
      </c>
      <c r="EE22">
        <f t="shared" si="9"/>
        <v>0</v>
      </c>
      <c r="EF22">
        <f t="shared" si="9"/>
        <v>0</v>
      </c>
      <c r="EG22">
        <f t="shared" si="9"/>
        <v>0</v>
      </c>
      <c r="EH22">
        <f t="shared" si="9"/>
        <v>0</v>
      </c>
      <c r="EI22">
        <f t="shared" si="9"/>
        <v>0</v>
      </c>
      <c r="EJ22">
        <f t="shared" si="9"/>
        <v>0</v>
      </c>
      <c r="EK22">
        <f t="shared" si="9"/>
        <v>0</v>
      </c>
      <c r="EL22">
        <f t="shared" si="9"/>
        <v>0</v>
      </c>
      <c r="EM22">
        <f t="shared" si="9"/>
        <v>0</v>
      </c>
      <c r="EN22">
        <f t="shared" si="9"/>
        <v>0</v>
      </c>
      <c r="EO22">
        <f t="shared" si="9"/>
        <v>0</v>
      </c>
      <c r="EP22">
        <f t="shared" si="9"/>
        <v>0</v>
      </c>
      <c r="EQ22">
        <f t="shared" si="9"/>
        <v>0</v>
      </c>
      <c r="ER22">
        <f t="shared" si="9"/>
        <v>0</v>
      </c>
      <c r="ES22">
        <f t="shared" si="9"/>
        <v>0</v>
      </c>
      <c r="ET22">
        <f t="shared" si="9"/>
        <v>0</v>
      </c>
      <c r="EU22">
        <f t="shared" si="9"/>
        <v>0</v>
      </c>
      <c r="EV22">
        <f t="shared" si="9"/>
        <v>0</v>
      </c>
      <c r="EW22">
        <f t="shared" si="9"/>
        <v>0</v>
      </c>
      <c r="EX22">
        <f t="shared" si="9"/>
        <v>0</v>
      </c>
      <c r="EY22">
        <f t="shared" si="9"/>
        <v>0</v>
      </c>
      <c r="EZ22">
        <f t="shared" si="9"/>
        <v>0</v>
      </c>
      <c r="FA22">
        <f t="shared" si="9"/>
        <v>0</v>
      </c>
      <c r="FB22">
        <f t="shared" si="9"/>
        <v>0</v>
      </c>
      <c r="FC22">
        <f t="shared" si="9"/>
        <v>0</v>
      </c>
      <c r="FD22">
        <f t="shared" si="9"/>
        <v>0</v>
      </c>
      <c r="FE22">
        <f t="shared" si="9"/>
        <v>0</v>
      </c>
      <c r="FF22">
        <f t="shared" si="9"/>
        <v>0</v>
      </c>
      <c r="FG22">
        <f t="shared" si="9"/>
        <v>0</v>
      </c>
      <c r="FH22">
        <f t="shared" si="9"/>
        <v>0</v>
      </c>
      <c r="FI22">
        <f t="shared" si="9"/>
        <v>0</v>
      </c>
      <c r="FJ22">
        <f t="shared" si="9"/>
        <v>0</v>
      </c>
      <c r="FK22">
        <f t="shared" si="9"/>
        <v>0</v>
      </c>
      <c r="FL22">
        <f t="shared" si="9"/>
        <v>0</v>
      </c>
      <c r="FM22">
        <f t="shared" si="9"/>
        <v>0</v>
      </c>
      <c r="FN22">
        <f t="shared" si="9"/>
        <v>0</v>
      </c>
      <c r="FO22">
        <f t="shared" si="9"/>
        <v>0</v>
      </c>
      <c r="FP22">
        <f t="shared" si="9"/>
        <v>0</v>
      </c>
      <c r="FQ22">
        <f t="shared" si="9"/>
        <v>0</v>
      </c>
      <c r="FR22">
        <f t="shared" si="9"/>
        <v>0</v>
      </c>
      <c r="FS22">
        <f t="shared" si="9"/>
        <v>0</v>
      </c>
      <c r="FT22">
        <f t="shared" si="9"/>
        <v>0</v>
      </c>
      <c r="FU22">
        <f t="shared" si="9"/>
        <v>0</v>
      </c>
    </row>
    <row r="23" spans="1:177" x14ac:dyDescent="0.25">
      <c r="A23" t="str">
        <f t="shared" ref="A23:D23" si="12">A6</f>
        <v>Flip Knife</v>
      </c>
      <c r="B23" t="str">
        <f t="shared" si="12"/>
        <v>Freehand FN</v>
      </c>
      <c r="C23" t="str">
        <f t="shared" si="12"/>
        <v>Knife</v>
      </c>
      <c r="D23" t="str">
        <f t="shared" si="12"/>
        <v>Gamma</v>
      </c>
      <c r="E23">
        <f t="shared" si="11"/>
        <v>136.23000000000002</v>
      </c>
      <c r="F23">
        <f t="shared" ref="F23:BQ24" si="13">F6-ROUNDUP(F6*0.3,2)</f>
        <v>134.12</v>
      </c>
      <c r="G23">
        <f t="shared" si="13"/>
        <v>126.07000000000002</v>
      </c>
      <c r="H23">
        <f t="shared" si="13"/>
        <v>134.69</v>
      </c>
      <c r="I23">
        <f t="shared" si="13"/>
        <v>134.69</v>
      </c>
      <c r="J23">
        <f t="shared" si="13"/>
        <v>133.89999999999998</v>
      </c>
      <c r="K23">
        <f t="shared" si="13"/>
        <v>128.11000000000001</v>
      </c>
      <c r="L23">
        <f t="shared" si="13"/>
        <v>133.58000000000001</v>
      </c>
      <c r="M23">
        <f t="shared" si="13"/>
        <v>128.23999999999998</v>
      </c>
      <c r="N23">
        <f t="shared" si="13"/>
        <v>132.14999999999998</v>
      </c>
      <c r="O23">
        <f t="shared" si="13"/>
        <v>132.28</v>
      </c>
      <c r="P23">
        <f t="shared" si="13"/>
        <v>126.76</v>
      </c>
      <c r="Q23">
        <f t="shared" si="13"/>
        <v>133.07</v>
      </c>
      <c r="R23">
        <f t="shared" si="13"/>
        <v>132.82</v>
      </c>
      <c r="S23">
        <f t="shared" si="13"/>
        <v>126.51000000000002</v>
      </c>
      <c r="T23">
        <f t="shared" si="13"/>
        <v>132.72000000000003</v>
      </c>
      <c r="U23">
        <f t="shared" si="13"/>
        <v>130.45000000000002</v>
      </c>
      <c r="V23">
        <f t="shared" si="13"/>
        <v>126.14000000000001</v>
      </c>
      <c r="W23">
        <f t="shared" si="13"/>
        <v>115.20000000000002</v>
      </c>
      <c r="X23">
        <f t="shared" si="13"/>
        <v>118.82999999999998</v>
      </c>
      <c r="Y23">
        <f t="shared" si="13"/>
        <v>129.69</v>
      </c>
      <c r="Z23">
        <f t="shared" si="13"/>
        <v>0</v>
      </c>
      <c r="AA23">
        <f t="shared" si="13"/>
        <v>0</v>
      </c>
      <c r="AB23">
        <f t="shared" si="13"/>
        <v>0</v>
      </c>
      <c r="AC23">
        <f t="shared" si="13"/>
        <v>0</v>
      </c>
      <c r="AD23">
        <f t="shared" si="13"/>
        <v>0</v>
      </c>
      <c r="AE23">
        <f t="shared" si="13"/>
        <v>0</v>
      </c>
      <c r="AF23">
        <f t="shared" si="13"/>
        <v>0</v>
      </c>
      <c r="AG23">
        <f t="shared" si="13"/>
        <v>0</v>
      </c>
      <c r="AH23">
        <f t="shared" si="13"/>
        <v>0</v>
      </c>
      <c r="AI23">
        <f t="shared" si="13"/>
        <v>0</v>
      </c>
      <c r="AJ23">
        <f t="shared" si="13"/>
        <v>0</v>
      </c>
      <c r="AK23">
        <f t="shared" si="13"/>
        <v>0</v>
      </c>
      <c r="AL23">
        <f t="shared" si="13"/>
        <v>0</v>
      </c>
      <c r="AM23">
        <f t="shared" si="13"/>
        <v>0</v>
      </c>
      <c r="AN23">
        <f t="shared" si="13"/>
        <v>0</v>
      </c>
      <c r="AO23">
        <f t="shared" si="13"/>
        <v>0</v>
      </c>
      <c r="AP23">
        <f t="shared" si="13"/>
        <v>0</v>
      </c>
      <c r="AQ23">
        <f t="shared" si="13"/>
        <v>0</v>
      </c>
      <c r="AR23">
        <f t="shared" si="13"/>
        <v>0</v>
      </c>
      <c r="AS23">
        <f t="shared" si="13"/>
        <v>0</v>
      </c>
      <c r="AT23">
        <f t="shared" si="13"/>
        <v>0</v>
      </c>
      <c r="AU23">
        <f t="shared" si="13"/>
        <v>0</v>
      </c>
      <c r="AV23">
        <f t="shared" si="13"/>
        <v>0</v>
      </c>
      <c r="AW23">
        <f t="shared" si="13"/>
        <v>0</v>
      </c>
      <c r="AX23">
        <f t="shared" si="13"/>
        <v>0</v>
      </c>
      <c r="AY23">
        <f t="shared" si="13"/>
        <v>0</v>
      </c>
      <c r="AZ23">
        <f t="shared" si="13"/>
        <v>0</v>
      </c>
      <c r="BA23">
        <f t="shared" si="13"/>
        <v>0</v>
      </c>
      <c r="BB23">
        <f t="shared" si="13"/>
        <v>0</v>
      </c>
      <c r="BC23">
        <f t="shared" si="13"/>
        <v>0</v>
      </c>
      <c r="BD23">
        <f t="shared" si="13"/>
        <v>0</v>
      </c>
      <c r="BE23">
        <f t="shared" si="13"/>
        <v>0</v>
      </c>
      <c r="BF23">
        <f t="shared" si="13"/>
        <v>0</v>
      </c>
      <c r="BG23">
        <f t="shared" si="13"/>
        <v>0</v>
      </c>
      <c r="BH23">
        <f t="shared" si="13"/>
        <v>0</v>
      </c>
      <c r="BI23">
        <f t="shared" si="13"/>
        <v>0</v>
      </c>
      <c r="BJ23">
        <f t="shared" si="13"/>
        <v>0</v>
      </c>
      <c r="BK23">
        <f t="shared" si="13"/>
        <v>0</v>
      </c>
      <c r="BL23">
        <f t="shared" si="13"/>
        <v>0</v>
      </c>
      <c r="BM23">
        <f t="shared" si="13"/>
        <v>0</v>
      </c>
      <c r="BN23">
        <f t="shared" si="13"/>
        <v>0</v>
      </c>
      <c r="BO23">
        <f t="shared" si="13"/>
        <v>0</v>
      </c>
      <c r="BP23">
        <f t="shared" si="13"/>
        <v>0</v>
      </c>
      <c r="BQ23">
        <f t="shared" si="13"/>
        <v>0</v>
      </c>
      <c r="BR23">
        <f t="shared" si="8"/>
        <v>0</v>
      </c>
      <c r="BS23">
        <f t="shared" si="8"/>
        <v>0</v>
      </c>
      <c r="BT23">
        <f t="shared" si="8"/>
        <v>0</v>
      </c>
      <c r="BU23">
        <f t="shared" si="8"/>
        <v>0</v>
      </c>
      <c r="BV23">
        <f t="shared" si="8"/>
        <v>0</v>
      </c>
      <c r="BW23">
        <f t="shared" si="8"/>
        <v>0</v>
      </c>
      <c r="BX23">
        <f t="shared" si="8"/>
        <v>0</v>
      </c>
      <c r="BY23">
        <f t="shared" si="8"/>
        <v>0</v>
      </c>
      <c r="BZ23">
        <f t="shared" si="8"/>
        <v>0</v>
      </c>
      <c r="CA23">
        <f t="shared" si="8"/>
        <v>0</v>
      </c>
      <c r="CB23">
        <f t="shared" si="8"/>
        <v>0</v>
      </c>
      <c r="CC23">
        <f t="shared" si="8"/>
        <v>0</v>
      </c>
      <c r="CD23">
        <f t="shared" si="8"/>
        <v>0</v>
      </c>
      <c r="CE23">
        <f t="shared" si="8"/>
        <v>0</v>
      </c>
      <c r="CF23">
        <f t="shared" si="8"/>
        <v>0</v>
      </c>
      <c r="CG23">
        <f t="shared" si="8"/>
        <v>0</v>
      </c>
      <c r="CH23">
        <f t="shared" si="8"/>
        <v>0</v>
      </c>
      <c r="CI23">
        <f t="shared" si="8"/>
        <v>0</v>
      </c>
      <c r="CJ23">
        <f t="shared" si="8"/>
        <v>0</v>
      </c>
      <c r="CK23">
        <f t="shared" si="8"/>
        <v>0</v>
      </c>
      <c r="CL23">
        <f t="shared" si="8"/>
        <v>0</v>
      </c>
      <c r="CM23">
        <f t="shared" si="8"/>
        <v>0</v>
      </c>
      <c r="CN23">
        <f t="shared" si="8"/>
        <v>0</v>
      </c>
      <c r="CO23">
        <f t="shared" si="8"/>
        <v>0</v>
      </c>
      <c r="CP23">
        <f t="shared" si="8"/>
        <v>0</v>
      </c>
      <c r="CQ23">
        <f t="shared" si="8"/>
        <v>0</v>
      </c>
      <c r="CR23">
        <f t="shared" si="8"/>
        <v>0</v>
      </c>
      <c r="CS23">
        <f t="shared" si="8"/>
        <v>0</v>
      </c>
      <c r="CT23">
        <f t="shared" si="8"/>
        <v>0</v>
      </c>
      <c r="CU23">
        <f t="shared" si="8"/>
        <v>0</v>
      </c>
      <c r="CV23">
        <f t="shared" si="8"/>
        <v>0</v>
      </c>
      <c r="CW23">
        <f t="shared" si="8"/>
        <v>0</v>
      </c>
      <c r="CX23">
        <f t="shared" si="8"/>
        <v>0</v>
      </c>
      <c r="CY23">
        <f t="shared" si="8"/>
        <v>0</v>
      </c>
      <c r="CZ23">
        <f t="shared" si="8"/>
        <v>0</v>
      </c>
      <c r="DA23">
        <f t="shared" si="8"/>
        <v>0</v>
      </c>
      <c r="DB23">
        <f t="shared" si="8"/>
        <v>0</v>
      </c>
      <c r="DC23">
        <f t="shared" si="8"/>
        <v>0</v>
      </c>
      <c r="DD23">
        <f t="shared" si="8"/>
        <v>0</v>
      </c>
      <c r="DE23">
        <f t="shared" si="8"/>
        <v>0</v>
      </c>
      <c r="DF23">
        <f t="shared" si="8"/>
        <v>0</v>
      </c>
      <c r="DG23">
        <f t="shared" si="8"/>
        <v>0</v>
      </c>
      <c r="DH23">
        <f t="shared" si="8"/>
        <v>0</v>
      </c>
      <c r="DI23">
        <f t="shared" si="8"/>
        <v>0</v>
      </c>
      <c r="DJ23">
        <f t="shared" si="8"/>
        <v>0</v>
      </c>
      <c r="DK23">
        <f t="shared" si="8"/>
        <v>0</v>
      </c>
      <c r="DL23">
        <f t="shared" si="8"/>
        <v>0</v>
      </c>
      <c r="DM23">
        <f t="shared" si="8"/>
        <v>0</v>
      </c>
      <c r="DN23">
        <f t="shared" si="8"/>
        <v>0</v>
      </c>
      <c r="DO23">
        <f t="shared" si="8"/>
        <v>0</v>
      </c>
      <c r="DP23">
        <f t="shared" si="8"/>
        <v>0</v>
      </c>
      <c r="DQ23">
        <f t="shared" si="8"/>
        <v>0</v>
      </c>
      <c r="DR23">
        <f t="shared" si="8"/>
        <v>0</v>
      </c>
      <c r="DS23">
        <f t="shared" si="8"/>
        <v>0</v>
      </c>
      <c r="DT23">
        <f t="shared" si="8"/>
        <v>0</v>
      </c>
      <c r="DU23">
        <f t="shared" si="8"/>
        <v>0</v>
      </c>
      <c r="DV23">
        <f t="shared" si="8"/>
        <v>0</v>
      </c>
      <c r="DW23">
        <f t="shared" si="8"/>
        <v>0</v>
      </c>
      <c r="DX23">
        <f t="shared" si="8"/>
        <v>0</v>
      </c>
      <c r="DY23">
        <f t="shared" si="8"/>
        <v>0</v>
      </c>
      <c r="DZ23">
        <f t="shared" si="8"/>
        <v>0</v>
      </c>
      <c r="EA23">
        <f t="shared" si="8"/>
        <v>0</v>
      </c>
      <c r="EB23">
        <f t="shared" si="8"/>
        <v>0</v>
      </c>
      <c r="EC23">
        <f t="shared" si="8"/>
        <v>0</v>
      </c>
      <c r="ED23">
        <f t="shared" si="9"/>
        <v>0</v>
      </c>
      <c r="EE23">
        <f t="shared" si="9"/>
        <v>0</v>
      </c>
      <c r="EF23">
        <f t="shared" si="9"/>
        <v>0</v>
      </c>
      <c r="EG23">
        <f t="shared" si="9"/>
        <v>0</v>
      </c>
      <c r="EH23">
        <f t="shared" si="9"/>
        <v>0</v>
      </c>
      <c r="EI23">
        <f t="shared" si="9"/>
        <v>0</v>
      </c>
      <c r="EJ23">
        <f t="shared" si="9"/>
        <v>0</v>
      </c>
      <c r="EK23">
        <f t="shared" si="9"/>
        <v>0</v>
      </c>
      <c r="EL23">
        <f t="shared" si="9"/>
        <v>0</v>
      </c>
      <c r="EM23">
        <f t="shared" si="9"/>
        <v>0</v>
      </c>
      <c r="EN23">
        <f t="shared" si="9"/>
        <v>0</v>
      </c>
      <c r="EO23">
        <f t="shared" si="9"/>
        <v>0</v>
      </c>
      <c r="EP23">
        <f t="shared" si="9"/>
        <v>0</v>
      </c>
      <c r="EQ23">
        <f t="shared" si="9"/>
        <v>0</v>
      </c>
      <c r="ER23">
        <f t="shared" si="9"/>
        <v>0</v>
      </c>
      <c r="ES23">
        <f t="shared" si="9"/>
        <v>0</v>
      </c>
      <c r="ET23">
        <f t="shared" si="9"/>
        <v>0</v>
      </c>
      <c r="EU23">
        <f t="shared" si="9"/>
        <v>0</v>
      </c>
      <c r="EV23">
        <f t="shared" si="9"/>
        <v>0</v>
      </c>
      <c r="EW23">
        <f t="shared" si="9"/>
        <v>0</v>
      </c>
      <c r="EX23">
        <f t="shared" si="9"/>
        <v>0</v>
      </c>
      <c r="EY23">
        <f t="shared" si="9"/>
        <v>0</v>
      </c>
      <c r="EZ23">
        <f t="shared" si="9"/>
        <v>0</v>
      </c>
      <c r="FA23">
        <f t="shared" si="9"/>
        <v>0</v>
      </c>
      <c r="FB23">
        <f t="shared" si="9"/>
        <v>0</v>
      </c>
      <c r="FC23">
        <f t="shared" si="9"/>
        <v>0</v>
      </c>
      <c r="FD23">
        <f t="shared" si="9"/>
        <v>0</v>
      </c>
      <c r="FE23">
        <f t="shared" si="9"/>
        <v>0</v>
      </c>
      <c r="FF23">
        <f t="shared" si="9"/>
        <v>0</v>
      </c>
      <c r="FG23">
        <f t="shared" si="9"/>
        <v>0</v>
      </c>
      <c r="FH23">
        <f t="shared" si="9"/>
        <v>0</v>
      </c>
      <c r="FI23">
        <f t="shared" si="9"/>
        <v>0</v>
      </c>
      <c r="FJ23">
        <f t="shared" si="9"/>
        <v>0</v>
      </c>
      <c r="FK23">
        <f t="shared" si="9"/>
        <v>0</v>
      </c>
      <c r="FL23">
        <f t="shared" si="9"/>
        <v>0</v>
      </c>
      <c r="FM23">
        <f t="shared" si="9"/>
        <v>0</v>
      </c>
      <c r="FN23">
        <f t="shared" si="9"/>
        <v>0</v>
      </c>
      <c r="FO23">
        <f t="shared" si="9"/>
        <v>0</v>
      </c>
      <c r="FP23">
        <f t="shared" si="9"/>
        <v>0</v>
      </c>
      <c r="FQ23">
        <f t="shared" si="9"/>
        <v>0</v>
      </c>
      <c r="FR23">
        <f t="shared" si="9"/>
        <v>0</v>
      </c>
      <c r="FS23">
        <f t="shared" si="9"/>
        <v>0</v>
      </c>
      <c r="FT23">
        <f t="shared" si="9"/>
        <v>0</v>
      </c>
      <c r="FU23">
        <f t="shared" si="9"/>
        <v>0</v>
      </c>
    </row>
    <row r="24" spans="1:177" x14ac:dyDescent="0.25">
      <c r="A24" t="str">
        <f t="shared" ref="A24:D24" si="14">A7</f>
        <v>Karmabit</v>
      </c>
      <c r="B24" t="str">
        <f t="shared" si="14"/>
        <v>Ultraviolet FT</v>
      </c>
      <c r="C24" t="str">
        <f t="shared" si="14"/>
        <v>Knife</v>
      </c>
      <c r="D24" t="str">
        <f t="shared" si="14"/>
        <v>Original</v>
      </c>
      <c r="E24">
        <f t="shared" si="11"/>
        <v>266.38</v>
      </c>
      <c r="F24">
        <f t="shared" si="13"/>
        <v>268.10999999999996</v>
      </c>
      <c r="G24">
        <f t="shared" si="13"/>
        <v>253.32999999999998</v>
      </c>
      <c r="H24">
        <f t="shared" si="13"/>
        <v>253.37</v>
      </c>
      <c r="I24">
        <f t="shared" si="13"/>
        <v>260.68</v>
      </c>
      <c r="J24">
        <f t="shared" si="13"/>
        <v>256.13</v>
      </c>
      <c r="K24">
        <f t="shared" si="13"/>
        <v>234.22000000000003</v>
      </c>
      <c r="L24">
        <f t="shared" si="13"/>
        <v>248.90999999999997</v>
      </c>
      <c r="M24">
        <f t="shared" si="13"/>
        <v>245.55</v>
      </c>
      <c r="N24">
        <f t="shared" si="13"/>
        <v>269.70000000000005</v>
      </c>
      <c r="O24">
        <f t="shared" si="13"/>
        <v>273.79999999999995</v>
      </c>
      <c r="P24">
        <f t="shared" si="13"/>
        <v>273.98</v>
      </c>
      <c r="Q24">
        <f t="shared" si="13"/>
        <v>259.25</v>
      </c>
      <c r="R24">
        <f t="shared" si="13"/>
        <v>270.62</v>
      </c>
      <c r="S24">
        <f t="shared" si="13"/>
        <v>270.51</v>
      </c>
      <c r="T24">
        <f t="shared" si="13"/>
        <v>267.93</v>
      </c>
      <c r="U24">
        <f t="shared" si="13"/>
        <v>277.89999999999998</v>
      </c>
      <c r="V24">
        <f t="shared" si="13"/>
        <v>284.59999999999997</v>
      </c>
      <c r="W24">
        <f t="shared" si="13"/>
        <v>269.48</v>
      </c>
      <c r="X24">
        <f t="shared" si="13"/>
        <v>270.16999999999996</v>
      </c>
      <c r="Y24">
        <f t="shared" si="13"/>
        <v>297.31</v>
      </c>
      <c r="Z24">
        <f t="shared" si="13"/>
        <v>0</v>
      </c>
      <c r="AA24">
        <f t="shared" si="13"/>
        <v>0</v>
      </c>
      <c r="AB24">
        <f t="shared" si="13"/>
        <v>0</v>
      </c>
      <c r="AC24">
        <f t="shared" si="13"/>
        <v>0</v>
      </c>
      <c r="AD24">
        <f t="shared" si="13"/>
        <v>0</v>
      </c>
      <c r="AE24">
        <f t="shared" si="13"/>
        <v>0</v>
      </c>
      <c r="AF24">
        <f t="shared" si="13"/>
        <v>0</v>
      </c>
      <c r="AG24">
        <f t="shared" si="13"/>
        <v>0</v>
      </c>
      <c r="AH24">
        <f t="shared" si="13"/>
        <v>0</v>
      </c>
      <c r="AI24">
        <f t="shared" si="13"/>
        <v>0</v>
      </c>
      <c r="AJ24">
        <f t="shared" si="13"/>
        <v>0</v>
      </c>
      <c r="AK24">
        <f t="shared" si="13"/>
        <v>0</v>
      </c>
      <c r="AL24">
        <f t="shared" si="13"/>
        <v>0</v>
      </c>
      <c r="AM24">
        <f t="shared" si="13"/>
        <v>0</v>
      </c>
      <c r="AN24">
        <f t="shared" si="13"/>
        <v>0</v>
      </c>
      <c r="AO24">
        <f t="shared" si="13"/>
        <v>0</v>
      </c>
      <c r="AP24">
        <f t="shared" si="13"/>
        <v>0</v>
      </c>
      <c r="AQ24">
        <f t="shared" si="13"/>
        <v>0</v>
      </c>
      <c r="AR24">
        <f t="shared" si="13"/>
        <v>0</v>
      </c>
      <c r="AS24">
        <f t="shared" si="13"/>
        <v>0</v>
      </c>
      <c r="AT24">
        <f t="shared" si="13"/>
        <v>0</v>
      </c>
      <c r="AU24">
        <f t="shared" si="13"/>
        <v>0</v>
      </c>
      <c r="AV24">
        <f t="shared" si="13"/>
        <v>0</v>
      </c>
      <c r="AW24">
        <f t="shared" si="13"/>
        <v>0</v>
      </c>
      <c r="AX24">
        <f t="shared" si="13"/>
        <v>0</v>
      </c>
      <c r="AY24">
        <f t="shared" si="13"/>
        <v>0</v>
      </c>
      <c r="AZ24">
        <f t="shared" si="13"/>
        <v>0</v>
      </c>
      <c r="BA24">
        <f t="shared" si="13"/>
        <v>0</v>
      </c>
      <c r="BB24">
        <f t="shared" si="13"/>
        <v>0</v>
      </c>
      <c r="BC24">
        <f t="shared" si="13"/>
        <v>0</v>
      </c>
      <c r="BD24">
        <f t="shared" si="13"/>
        <v>0</v>
      </c>
      <c r="BE24">
        <f t="shared" si="13"/>
        <v>0</v>
      </c>
      <c r="BF24">
        <f t="shared" si="13"/>
        <v>0</v>
      </c>
      <c r="BG24">
        <f t="shared" si="13"/>
        <v>0</v>
      </c>
      <c r="BH24">
        <f t="shared" si="13"/>
        <v>0</v>
      </c>
      <c r="BI24">
        <f t="shared" si="13"/>
        <v>0</v>
      </c>
      <c r="BJ24">
        <f t="shared" si="13"/>
        <v>0</v>
      </c>
      <c r="BK24">
        <f t="shared" si="13"/>
        <v>0</v>
      </c>
      <c r="BL24">
        <f t="shared" si="13"/>
        <v>0</v>
      </c>
      <c r="BM24">
        <f t="shared" si="13"/>
        <v>0</v>
      </c>
      <c r="BN24">
        <f t="shared" si="13"/>
        <v>0</v>
      </c>
      <c r="BO24">
        <f t="shared" si="13"/>
        <v>0</v>
      </c>
      <c r="BP24">
        <f t="shared" si="13"/>
        <v>0</v>
      </c>
      <c r="BQ24">
        <f t="shared" si="13"/>
        <v>0</v>
      </c>
      <c r="BR24">
        <f t="shared" si="8"/>
        <v>0</v>
      </c>
      <c r="BS24">
        <f t="shared" si="8"/>
        <v>0</v>
      </c>
      <c r="BT24">
        <f t="shared" si="8"/>
        <v>0</v>
      </c>
      <c r="BU24">
        <f t="shared" si="8"/>
        <v>0</v>
      </c>
      <c r="BV24">
        <f t="shared" si="8"/>
        <v>0</v>
      </c>
      <c r="BW24">
        <f t="shared" si="8"/>
        <v>0</v>
      </c>
      <c r="BX24">
        <f t="shared" si="8"/>
        <v>0</v>
      </c>
      <c r="BY24">
        <f t="shared" si="8"/>
        <v>0</v>
      </c>
      <c r="BZ24">
        <f t="shared" si="8"/>
        <v>0</v>
      </c>
      <c r="CA24">
        <f t="shared" si="8"/>
        <v>0</v>
      </c>
      <c r="CB24">
        <f t="shared" si="8"/>
        <v>0</v>
      </c>
      <c r="CC24">
        <f t="shared" si="8"/>
        <v>0</v>
      </c>
      <c r="CD24">
        <f t="shared" si="8"/>
        <v>0</v>
      </c>
      <c r="CE24">
        <f t="shared" si="8"/>
        <v>0</v>
      </c>
      <c r="CF24">
        <f t="shared" si="8"/>
        <v>0</v>
      </c>
      <c r="CG24">
        <f t="shared" si="8"/>
        <v>0</v>
      </c>
      <c r="CH24">
        <f t="shared" si="8"/>
        <v>0</v>
      </c>
      <c r="CI24">
        <f t="shared" si="8"/>
        <v>0</v>
      </c>
      <c r="CJ24">
        <f t="shared" si="8"/>
        <v>0</v>
      </c>
      <c r="CK24">
        <f t="shared" si="8"/>
        <v>0</v>
      </c>
      <c r="CL24">
        <f t="shared" si="8"/>
        <v>0</v>
      </c>
      <c r="CM24">
        <f t="shared" si="8"/>
        <v>0</v>
      </c>
      <c r="CN24">
        <f t="shared" si="8"/>
        <v>0</v>
      </c>
      <c r="CO24">
        <f t="shared" si="8"/>
        <v>0</v>
      </c>
      <c r="CP24">
        <f t="shared" si="8"/>
        <v>0</v>
      </c>
      <c r="CQ24">
        <f t="shared" si="8"/>
        <v>0</v>
      </c>
      <c r="CR24">
        <f t="shared" si="8"/>
        <v>0</v>
      </c>
      <c r="CS24">
        <f t="shared" si="8"/>
        <v>0</v>
      </c>
      <c r="CT24">
        <f t="shared" si="8"/>
        <v>0</v>
      </c>
      <c r="CU24">
        <f t="shared" si="8"/>
        <v>0</v>
      </c>
      <c r="CV24">
        <f t="shared" si="8"/>
        <v>0</v>
      </c>
      <c r="CW24">
        <f t="shared" si="8"/>
        <v>0</v>
      </c>
      <c r="CX24">
        <f t="shared" si="8"/>
        <v>0</v>
      </c>
      <c r="CY24">
        <f t="shared" si="8"/>
        <v>0</v>
      </c>
      <c r="CZ24">
        <f t="shared" si="8"/>
        <v>0</v>
      </c>
      <c r="DA24">
        <f t="shared" si="8"/>
        <v>0</v>
      </c>
      <c r="DB24">
        <f t="shared" si="8"/>
        <v>0</v>
      </c>
      <c r="DC24">
        <f t="shared" si="8"/>
        <v>0</v>
      </c>
      <c r="DD24">
        <f t="shared" si="8"/>
        <v>0</v>
      </c>
      <c r="DE24">
        <f t="shared" si="8"/>
        <v>0</v>
      </c>
      <c r="DF24">
        <f t="shared" si="8"/>
        <v>0</v>
      </c>
      <c r="DG24">
        <f t="shared" si="8"/>
        <v>0</v>
      </c>
      <c r="DH24">
        <f t="shared" si="8"/>
        <v>0</v>
      </c>
      <c r="DI24">
        <f t="shared" si="8"/>
        <v>0</v>
      </c>
      <c r="DJ24">
        <f t="shared" si="8"/>
        <v>0</v>
      </c>
      <c r="DK24">
        <f t="shared" si="8"/>
        <v>0</v>
      </c>
      <c r="DL24">
        <f t="shared" si="8"/>
        <v>0</v>
      </c>
      <c r="DM24">
        <f t="shared" si="8"/>
        <v>0</v>
      </c>
      <c r="DN24">
        <f t="shared" si="8"/>
        <v>0</v>
      </c>
      <c r="DO24">
        <f t="shared" si="8"/>
        <v>0</v>
      </c>
      <c r="DP24">
        <f t="shared" si="8"/>
        <v>0</v>
      </c>
      <c r="DQ24">
        <f t="shared" si="8"/>
        <v>0</v>
      </c>
      <c r="DR24">
        <f t="shared" si="8"/>
        <v>0</v>
      </c>
      <c r="DS24">
        <f t="shared" si="8"/>
        <v>0</v>
      </c>
      <c r="DT24">
        <f t="shared" si="8"/>
        <v>0</v>
      </c>
      <c r="DU24">
        <f t="shared" si="8"/>
        <v>0</v>
      </c>
      <c r="DV24">
        <f t="shared" si="8"/>
        <v>0</v>
      </c>
      <c r="DW24">
        <f t="shared" si="8"/>
        <v>0</v>
      </c>
      <c r="DX24">
        <f t="shared" si="8"/>
        <v>0</v>
      </c>
      <c r="DY24">
        <f t="shared" si="8"/>
        <v>0</v>
      </c>
      <c r="DZ24">
        <f t="shared" si="8"/>
        <v>0</v>
      </c>
      <c r="EA24">
        <f t="shared" si="8"/>
        <v>0</v>
      </c>
      <c r="EB24">
        <f t="shared" si="8"/>
        <v>0</v>
      </c>
      <c r="EC24">
        <f t="shared" ref="EC24:FU24" si="15">EC7-ROUNDUP(EC7*0.3,2)</f>
        <v>0</v>
      </c>
      <c r="ED24">
        <f t="shared" si="15"/>
        <v>0</v>
      </c>
      <c r="EE24">
        <f t="shared" si="15"/>
        <v>0</v>
      </c>
      <c r="EF24">
        <f t="shared" si="15"/>
        <v>0</v>
      </c>
      <c r="EG24">
        <f t="shared" si="15"/>
        <v>0</v>
      </c>
      <c r="EH24">
        <f t="shared" si="15"/>
        <v>0</v>
      </c>
      <c r="EI24">
        <f t="shared" si="15"/>
        <v>0</v>
      </c>
      <c r="EJ24">
        <f t="shared" si="15"/>
        <v>0</v>
      </c>
      <c r="EK24">
        <f t="shared" si="15"/>
        <v>0</v>
      </c>
      <c r="EL24">
        <f t="shared" si="15"/>
        <v>0</v>
      </c>
      <c r="EM24">
        <f t="shared" si="15"/>
        <v>0</v>
      </c>
      <c r="EN24">
        <f t="shared" si="15"/>
        <v>0</v>
      </c>
      <c r="EO24">
        <f t="shared" si="15"/>
        <v>0</v>
      </c>
      <c r="EP24">
        <f t="shared" si="15"/>
        <v>0</v>
      </c>
      <c r="EQ24">
        <f t="shared" si="15"/>
        <v>0</v>
      </c>
      <c r="ER24">
        <f t="shared" si="15"/>
        <v>0</v>
      </c>
      <c r="ES24">
        <f t="shared" si="15"/>
        <v>0</v>
      </c>
      <c r="ET24">
        <f t="shared" si="15"/>
        <v>0</v>
      </c>
      <c r="EU24">
        <f t="shared" si="15"/>
        <v>0</v>
      </c>
      <c r="EV24">
        <f t="shared" si="15"/>
        <v>0</v>
      </c>
      <c r="EW24">
        <f t="shared" si="15"/>
        <v>0</v>
      </c>
      <c r="EX24">
        <f t="shared" si="15"/>
        <v>0</v>
      </c>
      <c r="EY24">
        <f t="shared" si="15"/>
        <v>0</v>
      </c>
      <c r="EZ24">
        <f t="shared" si="15"/>
        <v>0</v>
      </c>
      <c r="FA24">
        <f t="shared" si="15"/>
        <v>0</v>
      </c>
      <c r="FB24">
        <f t="shared" si="15"/>
        <v>0</v>
      </c>
      <c r="FC24">
        <f t="shared" si="15"/>
        <v>0</v>
      </c>
      <c r="FD24">
        <f t="shared" si="15"/>
        <v>0</v>
      </c>
      <c r="FE24">
        <f t="shared" si="15"/>
        <v>0</v>
      </c>
      <c r="FF24">
        <f t="shared" si="15"/>
        <v>0</v>
      </c>
      <c r="FG24">
        <f t="shared" si="15"/>
        <v>0</v>
      </c>
      <c r="FH24">
        <f t="shared" si="15"/>
        <v>0</v>
      </c>
      <c r="FI24">
        <f t="shared" si="15"/>
        <v>0</v>
      </c>
      <c r="FJ24">
        <f t="shared" si="15"/>
        <v>0</v>
      </c>
      <c r="FK24">
        <f t="shared" si="15"/>
        <v>0</v>
      </c>
      <c r="FL24">
        <f t="shared" si="15"/>
        <v>0</v>
      </c>
      <c r="FM24">
        <f t="shared" si="15"/>
        <v>0</v>
      </c>
      <c r="FN24">
        <f t="shared" si="15"/>
        <v>0</v>
      </c>
      <c r="FO24">
        <f t="shared" si="15"/>
        <v>0</v>
      </c>
      <c r="FP24">
        <f t="shared" si="15"/>
        <v>0</v>
      </c>
      <c r="FQ24">
        <f t="shared" si="15"/>
        <v>0</v>
      </c>
      <c r="FR24">
        <f t="shared" si="15"/>
        <v>0</v>
      </c>
      <c r="FS24">
        <f t="shared" si="15"/>
        <v>0</v>
      </c>
      <c r="FT24">
        <f t="shared" si="15"/>
        <v>0</v>
      </c>
      <c r="FU24">
        <f t="shared" si="15"/>
        <v>0</v>
      </c>
    </row>
    <row r="27" spans="1:177" x14ac:dyDescent="0.25">
      <c r="D27" s="1" t="s">
        <v>186</v>
      </c>
      <c r="E27">
        <f>SUM(E21:E24)</f>
        <v>1381.1100000000001</v>
      </c>
      <c r="F27">
        <f t="shared" ref="F27:BQ27" si="16">SUM(F21:F24)</f>
        <v>1387.32</v>
      </c>
      <c r="G27">
        <f t="shared" si="16"/>
        <v>1400.07</v>
      </c>
      <c r="H27">
        <f t="shared" si="16"/>
        <v>1408.6100000000001</v>
      </c>
      <c r="I27">
        <f t="shared" si="16"/>
        <v>1423.13</v>
      </c>
      <c r="J27">
        <f t="shared" si="16"/>
        <v>1398.04</v>
      </c>
      <c r="K27">
        <f t="shared" si="16"/>
        <v>1409.7</v>
      </c>
      <c r="L27">
        <f t="shared" si="16"/>
        <v>1430.27</v>
      </c>
      <c r="M27">
        <f t="shared" si="16"/>
        <v>1414.36</v>
      </c>
      <c r="N27">
        <f t="shared" si="16"/>
        <v>1543.86</v>
      </c>
      <c r="O27">
        <f t="shared" si="16"/>
        <v>1524.4</v>
      </c>
      <c r="P27">
        <f t="shared" si="16"/>
        <v>1515.6900000000003</v>
      </c>
      <c r="Q27">
        <f t="shared" si="16"/>
        <v>1492.3999999999999</v>
      </c>
      <c r="R27">
        <f t="shared" si="16"/>
        <v>1496.3899999999999</v>
      </c>
      <c r="S27">
        <f t="shared" si="16"/>
        <v>1477.44</v>
      </c>
      <c r="T27">
        <f t="shared" si="16"/>
        <v>1480.47</v>
      </c>
      <c r="U27">
        <f t="shared" si="16"/>
        <v>1498.0500000000002</v>
      </c>
      <c r="V27">
        <f t="shared" si="16"/>
        <v>1508.26</v>
      </c>
      <c r="W27">
        <f t="shared" si="16"/>
        <v>1470.51</v>
      </c>
      <c r="X27">
        <f t="shared" si="16"/>
        <v>1523.06</v>
      </c>
      <c r="Y27">
        <f t="shared" si="16"/>
        <v>1611.17</v>
      </c>
      <c r="Z27">
        <f t="shared" si="16"/>
        <v>0</v>
      </c>
      <c r="AA27">
        <f t="shared" si="16"/>
        <v>0</v>
      </c>
      <c r="AB27">
        <f t="shared" si="16"/>
        <v>0</v>
      </c>
      <c r="AC27">
        <f t="shared" si="16"/>
        <v>0</v>
      </c>
      <c r="AD27">
        <f t="shared" si="16"/>
        <v>0</v>
      </c>
      <c r="AE27">
        <f t="shared" si="16"/>
        <v>0</v>
      </c>
      <c r="AF27">
        <f t="shared" si="16"/>
        <v>0</v>
      </c>
      <c r="AG27">
        <f t="shared" si="16"/>
        <v>0</v>
      </c>
      <c r="AH27">
        <f t="shared" si="16"/>
        <v>0</v>
      </c>
      <c r="AI27">
        <f t="shared" si="16"/>
        <v>0</v>
      </c>
      <c r="AJ27">
        <f t="shared" si="16"/>
        <v>0</v>
      </c>
      <c r="AK27">
        <f t="shared" si="16"/>
        <v>0</v>
      </c>
      <c r="AL27">
        <f t="shared" si="16"/>
        <v>0</v>
      </c>
      <c r="AM27">
        <f t="shared" si="16"/>
        <v>0</v>
      </c>
      <c r="AN27">
        <f t="shared" si="16"/>
        <v>0</v>
      </c>
      <c r="AO27">
        <f t="shared" si="16"/>
        <v>0</v>
      </c>
      <c r="AP27">
        <f t="shared" si="16"/>
        <v>0</v>
      </c>
      <c r="AQ27">
        <f t="shared" si="16"/>
        <v>0</v>
      </c>
      <c r="AR27">
        <f t="shared" si="16"/>
        <v>0</v>
      </c>
      <c r="AS27">
        <f t="shared" si="16"/>
        <v>0</v>
      </c>
      <c r="AT27">
        <f t="shared" si="16"/>
        <v>0</v>
      </c>
      <c r="AU27">
        <f t="shared" si="16"/>
        <v>0</v>
      </c>
      <c r="AV27">
        <f t="shared" si="16"/>
        <v>0</v>
      </c>
      <c r="AW27">
        <f t="shared" si="16"/>
        <v>0</v>
      </c>
      <c r="AX27">
        <f t="shared" si="16"/>
        <v>0</v>
      </c>
      <c r="AY27">
        <f t="shared" si="16"/>
        <v>0</v>
      </c>
      <c r="AZ27">
        <f t="shared" si="16"/>
        <v>0</v>
      </c>
      <c r="BA27">
        <f t="shared" si="16"/>
        <v>0</v>
      </c>
      <c r="BB27">
        <f t="shared" si="16"/>
        <v>0</v>
      </c>
      <c r="BC27">
        <f t="shared" si="16"/>
        <v>0</v>
      </c>
      <c r="BD27">
        <f t="shared" si="16"/>
        <v>0</v>
      </c>
      <c r="BE27">
        <f t="shared" si="16"/>
        <v>0</v>
      </c>
      <c r="BF27">
        <f t="shared" si="16"/>
        <v>0</v>
      </c>
      <c r="BG27">
        <f t="shared" si="16"/>
        <v>0</v>
      </c>
      <c r="BH27">
        <f t="shared" si="16"/>
        <v>0</v>
      </c>
      <c r="BI27">
        <f t="shared" si="16"/>
        <v>0</v>
      </c>
      <c r="BJ27">
        <f t="shared" si="16"/>
        <v>0</v>
      </c>
      <c r="BK27">
        <f t="shared" si="16"/>
        <v>0</v>
      </c>
      <c r="BL27">
        <f t="shared" si="16"/>
        <v>0</v>
      </c>
      <c r="BM27">
        <f t="shared" si="16"/>
        <v>0</v>
      </c>
      <c r="BN27">
        <f t="shared" si="16"/>
        <v>0</v>
      </c>
      <c r="BO27">
        <f t="shared" si="16"/>
        <v>0</v>
      </c>
      <c r="BP27">
        <f t="shared" si="16"/>
        <v>0</v>
      </c>
      <c r="BQ27">
        <f t="shared" si="16"/>
        <v>0</v>
      </c>
      <c r="BR27">
        <f t="shared" ref="BR27:EC27" si="17">SUM(BR21:BR24)</f>
        <v>0</v>
      </c>
      <c r="BS27">
        <f t="shared" si="17"/>
        <v>0</v>
      </c>
      <c r="BT27">
        <f t="shared" si="17"/>
        <v>0</v>
      </c>
      <c r="BU27">
        <f t="shared" si="17"/>
        <v>0</v>
      </c>
      <c r="BV27">
        <f t="shared" si="17"/>
        <v>0</v>
      </c>
      <c r="BW27">
        <f t="shared" si="17"/>
        <v>0</v>
      </c>
      <c r="BX27">
        <f t="shared" si="17"/>
        <v>0</v>
      </c>
      <c r="BY27">
        <f t="shared" si="17"/>
        <v>0</v>
      </c>
      <c r="BZ27">
        <f t="shared" si="17"/>
        <v>0</v>
      </c>
      <c r="CA27">
        <f t="shared" si="17"/>
        <v>0</v>
      </c>
      <c r="CB27">
        <f t="shared" si="17"/>
        <v>0</v>
      </c>
      <c r="CC27">
        <f t="shared" si="17"/>
        <v>0</v>
      </c>
      <c r="CD27">
        <f t="shared" si="17"/>
        <v>0</v>
      </c>
      <c r="CE27">
        <f t="shared" si="17"/>
        <v>0</v>
      </c>
      <c r="CF27">
        <f t="shared" si="17"/>
        <v>0</v>
      </c>
      <c r="CG27">
        <f t="shared" si="17"/>
        <v>0</v>
      </c>
      <c r="CH27">
        <f t="shared" si="17"/>
        <v>0</v>
      </c>
      <c r="CI27">
        <f t="shared" si="17"/>
        <v>0</v>
      </c>
      <c r="CJ27">
        <f t="shared" si="17"/>
        <v>0</v>
      </c>
      <c r="CK27">
        <f t="shared" si="17"/>
        <v>0</v>
      </c>
      <c r="CL27">
        <f t="shared" si="17"/>
        <v>0</v>
      </c>
      <c r="CM27">
        <f t="shared" si="17"/>
        <v>0</v>
      </c>
      <c r="CN27">
        <f t="shared" si="17"/>
        <v>0</v>
      </c>
      <c r="CO27">
        <f t="shared" si="17"/>
        <v>0</v>
      </c>
      <c r="CP27">
        <f t="shared" si="17"/>
        <v>0</v>
      </c>
      <c r="CQ27">
        <f t="shared" si="17"/>
        <v>0</v>
      </c>
      <c r="CR27">
        <f t="shared" si="17"/>
        <v>0</v>
      </c>
      <c r="CS27">
        <f t="shared" si="17"/>
        <v>0</v>
      </c>
      <c r="CT27">
        <f t="shared" si="17"/>
        <v>0</v>
      </c>
      <c r="CU27">
        <f t="shared" si="17"/>
        <v>0</v>
      </c>
      <c r="CV27">
        <f t="shared" si="17"/>
        <v>0</v>
      </c>
      <c r="CW27">
        <f t="shared" si="17"/>
        <v>0</v>
      </c>
      <c r="CX27">
        <f t="shared" si="17"/>
        <v>0</v>
      </c>
      <c r="CY27">
        <f t="shared" si="17"/>
        <v>0</v>
      </c>
      <c r="CZ27">
        <f t="shared" si="17"/>
        <v>0</v>
      </c>
      <c r="DA27">
        <f t="shared" si="17"/>
        <v>0</v>
      </c>
      <c r="DB27">
        <f t="shared" si="17"/>
        <v>0</v>
      </c>
      <c r="DC27">
        <f t="shared" si="17"/>
        <v>0</v>
      </c>
      <c r="DD27">
        <f t="shared" si="17"/>
        <v>0</v>
      </c>
      <c r="DE27">
        <f t="shared" si="17"/>
        <v>0</v>
      </c>
      <c r="DF27">
        <f t="shared" si="17"/>
        <v>0</v>
      </c>
      <c r="DG27">
        <f t="shared" si="17"/>
        <v>0</v>
      </c>
      <c r="DH27">
        <f t="shared" si="17"/>
        <v>0</v>
      </c>
      <c r="DI27">
        <f t="shared" si="17"/>
        <v>0</v>
      </c>
      <c r="DJ27">
        <f t="shared" si="17"/>
        <v>0</v>
      </c>
      <c r="DK27">
        <f t="shared" si="17"/>
        <v>0</v>
      </c>
      <c r="DL27">
        <f t="shared" si="17"/>
        <v>0</v>
      </c>
      <c r="DM27">
        <f t="shared" si="17"/>
        <v>0</v>
      </c>
      <c r="DN27">
        <f t="shared" si="17"/>
        <v>0</v>
      </c>
      <c r="DO27">
        <f t="shared" si="17"/>
        <v>0</v>
      </c>
      <c r="DP27">
        <f t="shared" si="17"/>
        <v>0</v>
      </c>
      <c r="DQ27">
        <f t="shared" si="17"/>
        <v>0</v>
      </c>
      <c r="DR27">
        <f t="shared" si="17"/>
        <v>0</v>
      </c>
      <c r="DS27">
        <f t="shared" si="17"/>
        <v>0</v>
      </c>
      <c r="DT27">
        <f t="shared" si="17"/>
        <v>0</v>
      </c>
      <c r="DU27">
        <f t="shared" si="17"/>
        <v>0</v>
      </c>
      <c r="DV27">
        <f t="shared" si="17"/>
        <v>0</v>
      </c>
      <c r="DW27">
        <f t="shared" si="17"/>
        <v>0</v>
      </c>
      <c r="DX27">
        <f t="shared" si="17"/>
        <v>0</v>
      </c>
      <c r="DY27">
        <f t="shared" si="17"/>
        <v>0</v>
      </c>
      <c r="DZ27">
        <f t="shared" si="17"/>
        <v>0</v>
      </c>
      <c r="EA27">
        <f t="shared" si="17"/>
        <v>0</v>
      </c>
      <c r="EB27">
        <f t="shared" si="17"/>
        <v>0</v>
      </c>
      <c r="EC27">
        <f t="shared" si="17"/>
        <v>0</v>
      </c>
      <c r="ED27">
        <f t="shared" ref="ED27:FU27" si="18">SUM(ED21:ED24)</f>
        <v>0</v>
      </c>
      <c r="EE27">
        <f t="shared" si="18"/>
        <v>0</v>
      </c>
      <c r="EF27">
        <f t="shared" si="18"/>
        <v>0</v>
      </c>
      <c r="EG27">
        <f t="shared" si="18"/>
        <v>0</v>
      </c>
      <c r="EH27">
        <f t="shared" si="18"/>
        <v>0</v>
      </c>
      <c r="EI27">
        <f t="shared" si="18"/>
        <v>0</v>
      </c>
      <c r="EJ27">
        <f t="shared" si="18"/>
        <v>0</v>
      </c>
      <c r="EK27">
        <f t="shared" si="18"/>
        <v>0</v>
      </c>
      <c r="EL27">
        <f t="shared" si="18"/>
        <v>0</v>
      </c>
      <c r="EM27">
        <f t="shared" si="18"/>
        <v>0</v>
      </c>
      <c r="EN27">
        <f t="shared" si="18"/>
        <v>0</v>
      </c>
      <c r="EO27">
        <f t="shared" si="18"/>
        <v>0</v>
      </c>
      <c r="EP27">
        <f t="shared" si="18"/>
        <v>0</v>
      </c>
      <c r="EQ27">
        <f t="shared" si="18"/>
        <v>0</v>
      </c>
      <c r="ER27">
        <f t="shared" si="18"/>
        <v>0</v>
      </c>
      <c r="ES27">
        <f t="shared" si="18"/>
        <v>0</v>
      </c>
      <c r="ET27">
        <f t="shared" si="18"/>
        <v>0</v>
      </c>
      <c r="EU27">
        <f t="shared" si="18"/>
        <v>0</v>
      </c>
      <c r="EV27">
        <f t="shared" si="18"/>
        <v>0</v>
      </c>
      <c r="EW27">
        <f t="shared" si="18"/>
        <v>0</v>
      </c>
      <c r="EX27">
        <f t="shared" si="18"/>
        <v>0</v>
      </c>
      <c r="EY27">
        <f t="shared" si="18"/>
        <v>0</v>
      </c>
      <c r="EZ27">
        <f t="shared" si="18"/>
        <v>0</v>
      </c>
      <c r="FA27">
        <f t="shared" si="18"/>
        <v>0</v>
      </c>
      <c r="FB27">
        <f t="shared" si="18"/>
        <v>0</v>
      </c>
      <c r="FC27">
        <f t="shared" si="18"/>
        <v>0</v>
      </c>
      <c r="FD27">
        <f t="shared" si="18"/>
        <v>0</v>
      </c>
      <c r="FE27">
        <f t="shared" si="18"/>
        <v>0</v>
      </c>
      <c r="FF27">
        <f t="shared" si="18"/>
        <v>0</v>
      </c>
      <c r="FG27">
        <f t="shared" si="18"/>
        <v>0</v>
      </c>
      <c r="FH27">
        <f t="shared" si="18"/>
        <v>0</v>
      </c>
      <c r="FI27">
        <f t="shared" si="18"/>
        <v>0</v>
      </c>
      <c r="FJ27">
        <f t="shared" si="18"/>
        <v>0</v>
      </c>
      <c r="FK27">
        <f t="shared" si="18"/>
        <v>0</v>
      </c>
      <c r="FL27">
        <f t="shared" si="18"/>
        <v>0</v>
      </c>
      <c r="FM27">
        <f t="shared" si="18"/>
        <v>0</v>
      </c>
      <c r="FN27">
        <f t="shared" si="18"/>
        <v>0</v>
      </c>
      <c r="FO27">
        <f t="shared" si="18"/>
        <v>0</v>
      </c>
      <c r="FP27">
        <f t="shared" si="18"/>
        <v>0</v>
      </c>
      <c r="FQ27">
        <f t="shared" si="18"/>
        <v>0</v>
      </c>
      <c r="FR27">
        <f t="shared" si="18"/>
        <v>0</v>
      </c>
      <c r="FS27">
        <f t="shared" si="18"/>
        <v>0</v>
      </c>
      <c r="FT27">
        <f t="shared" si="18"/>
        <v>0</v>
      </c>
      <c r="FU27">
        <f t="shared" si="18"/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5154-9ED0-4DC3-B656-3E8CA7A9C069}">
  <dimension ref="A1:FU28"/>
  <sheetViews>
    <sheetView workbookViewId="0">
      <pane xSplit="4" topLeftCell="E1" activePane="topRight" state="frozen"/>
      <selection pane="topRight" activeCell="E15" sqref="E15"/>
    </sheetView>
  </sheetViews>
  <sheetFormatPr defaultRowHeight="15" x14ac:dyDescent="0.25"/>
  <cols>
    <col min="1" max="1" width="8.42578125" customWidth="1"/>
    <col min="2" max="2" width="22.5703125" customWidth="1"/>
    <col min="3" max="3" width="1.7109375" hidden="1" customWidth="1"/>
    <col min="4" max="4" width="12" customWidth="1"/>
    <col min="5" max="177" width="11.140625" customWidth="1"/>
  </cols>
  <sheetData>
    <row r="1" spans="1:177" x14ac:dyDescent="0.25">
      <c r="B1" t="s">
        <v>74</v>
      </c>
    </row>
    <row r="3" spans="1:177" x14ac:dyDescent="0.25">
      <c r="A3" s="1" t="s">
        <v>0</v>
      </c>
      <c r="B3" s="1" t="s">
        <v>1</v>
      </c>
      <c r="C3" s="1" t="s">
        <v>2</v>
      </c>
      <c r="D3" s="1" t="s">
        <v>8</v>
      </c>
      <c r="E3" s="2">
        <f>Inventory!E1</f>
        <v>44331</v>
      </c>
      <c r="F3" s="2">
        <f>Inventory!F1</f>
        <v>44332</v>
      </c>
      <c r="G3" s="2">
        <f>Inventory!G1</f>
        <v>44334</v>
      </c>
      <c r="H3" s="2">
        <f>Inventory!H1</f>
        <v>44336</v>
      </c>
      <c r="I3" s="2">
        <f>Inventory!I1</f>
        <v>44337</v>
      </c>
      <c r="J3" s="2">
        <f>Inventory!J1</f>
        <v>44338</v>
      </c>
      <c r="K3" s="2">
        <f>Inventory!K1</f>
        <v>44339</v>
      </c>
      <c r="L3" s="2">
        <f>Inventory!L1</f>
        <v>44340</v>
      </c>
      <c r="M3" s="2">
        <f>Inventory!M1</f>
        <v>44341</v>
      </c>
      <c r="N3" s="2">
        <f>Inventory!N1</f>
        <v>44342</v>
      </c>
      <c r="O3" s="2">
        <f>Inventory!O1</f>
        <v>44343</v>
      </c>
      <c r="P3" s="2">
        <f>Inventory!P1</f>
        <v>44344</v>
      </c>
      <c r="Q3" s="2">
        <f>Inventory!Q1</f>
        <v>44345</v>
      </c>
      <c r="R3" s="2">
        <f>Inventory!R1</f>
        <v>44346</v>
      </c>
      <c r="S3" s="2">
        <f>Inventory!S1</f>
        <v>44347</v>
      </c>
      <c r="T3" s="2">
        <f>Inventory!T1</f>
        <v>44348</v>
      </c>
      <c r="U3" s="2">
        <f>Inventory!U1</f>
        <v>44349</v>
      </c>
      <c r="V3" s="2">
        <f>Inventory!V1</f>
        <v>44350</v>
      </c>
      <c r="W3" s="2">
        <f>Inventory!W1</f>
        <v>44351</v>
      </c>
      <c r="X3" s="2">
        <f>Inventory!X1</f>
        <v>44352</v>
      </c>
      <c r="Y3" s="2">
        <f>Inventory!Y1</f>
        <v>44353</v>
      </c>
      <c r="Z3" s="2">
        <f>Inventory!Z1</f>
        <v>44354</v>
      </c>
      <c r="AA3" s="2">
        <f>Inventory!AA1</f>
        <v>44355</v>
      </c>
      <c r="AB3" s="2">
        <f>Inventory!AB1</f>
        <v>44356</v>
      </c>
      <c r="AC3" s="2">
        <f>Inventory!AC1</f>
        <v>44357</v>
      </c>
      <c r="AD3" s="2">
        <f>Inventory!AD1</f>
        <v>44358</v>
      </c>
      <c r="AE3" s="2">
        <f>Inventory!AE1</f>
        <v>44359</v>
      </c>
      <c r="AF3" s="2">
        <f>Inventory!AF1</f>
        <v>44360</v>
      </c>
      <c r="AG3" s="2">
        <f>Inventory!AG1</f>
        <v>44361</v>
      </c>
      <c r="AH3" s="2">
        <f>Inventory!AH1</f>
        <v>44362</v>
      </c>
      <c r="AI3" s="2">
        <f>Inventory!AI1</f>
        <v>44363</v>
      </c>
      <c r="AJ3" s="2">
        <f>Inventory!AJ1</f>
        <v>44364</v>
      </c>
      <c r="AK3" s="2">
        <f>Inventory!AK1</f>
        <v>44365</v>
      </c>
      <c r="AL3" s="2">
        <f>Inventory!AL1</f>
        <v>44366</v>
      </c>
      <c r="AM3" s="2">
        <f>Inventory!AM1</f>
        <v>44367</v>
      </c>
      <c r="AN3" s="2">
        <f>Inventory!AN1</f>
        <v>44368</v>
      </c>
      <c r="AO3" s="2">
        <f>Inventory!AO1</f>
        <v>44369</v>
      </c>
      <c r="AP3" s="2">
        <f>Inventory!AP1</f>
        <v>44370</v>
      </c>
      <c r="AQ3" s="2">
        <f>Inventory!AQ1</f>
        <v>44371</v>
      </c>
      <c r="AR3" s="2">
        <f>Inventory!AR1</f>
        <v>44372</v>
      </c>
      <c r="AS3" s="2">
        <f>Inventory!AS1</f>
        <v>44373</v>
      </c>
      <c r="AT3" s="2">
        <f>Inventory!AT1</f>
        <v>44374</v>
      </c>
      <c r="AU3" s="2">
        <f>Inventory!AU1</f>
        <v>44375</v>
      </c>
      <c r="AV3" s="2">
        <f>Inventory!AV1</f>
        <v>44376</v>
      </c>
      <c r="AW3" s="2">
        <f>Inventory!AW1</f>
        <v>44377</v>
      </c>
      <c r="AX3" s="2">
        <f>Inventory!AX1</f>
        <v>44378</v>
      </c>
      <c r="AY3" s="2">
        <f>Inventory!AY1</f>
        <v>44379</v>
      </c>
      <c r="AZ3" s="2">
        <f>Inventory!AZ1</f>
        <v>44380</v>
      </c>
      <c r="BA3" s="2">
        <f>Inventory!BA1</f>
        <v>44381</v>
      </c>
      <c r="BB3" s="2">
        <f>Inventory!BB1</f>
        <v>44382</v>
      </c>
      <c r="BC3" s="2">
        <f>Inventory!BC1</f>
        <v>44383</v>
      </c>
      <c r="BD3" s="2">
        <f>Inventory!BD1</f>
        <v>44384</v>
      </c>
      <c r="BE3" s="2">
        <f>Inventory!BE1</f>
        <v>44385</v>
      </c>
      <c r="BF3" s="2">
        <f>Inventory!BF1</f>
        <v>44386</v>
      </c>
      <c r="BG3" s="2">
        <f>Inventory!BG1</f>
        <v>44387</v>
      </c>
      <c r="BH3" s="2">
        <f>Inventory!BH1</f>
        <v>44388</v>
      </c>
      <c r="BI3" s="2">
        <f>Inventory!BI1</f>
        <v>44389</v>
      </c>
      <c r="BJ3" s="2">
        <f>Inventory!BJ1</f>
        <v>44390</v>
      </c>
      <c r="BK3" s="2">
        <f>Inventory!BK1</f>
        <v>44391</v>
      </c>
      <c r="BL3" s="2">
        <f>Inventory!BL1</f>
        <v>44392</v>
      </c>
      <c r="BM3" s="2">
        <f>Inventory!BM1</f>
        <v>44393</v>
      </c>
      <c r="BN3" s="2">
        <f>Inventory!BN1</f>
        <v>44394</v>
      </c>
      <c r="BO3" s="2">
        <f>Inventory!BO1</f>
        <v>44395</v>
      </c>
      <c r="BP3" s="2">
        <f>Inventory!BP1</f>
        <v>44396</v>
      </c>
      <c r="BQ3" s="2">
        <f>Inventory!BQ1</f>
        <v>44397</v>
      </c>
      <c r="BR3" s="2">
        <f>Inventory!BR1</f>
        <v>44398</v>
      </c>
      <c r="BS3" s="2">
        <f>Inventory!BS1</f>
        <v>44399</v>
      </c>
      <c r="BT3" s="2">
        <f>Inventory!BT1</f>
        <v>44400</v>
      </c>
      <c r="BU3" s="2">
        <f>Inventory!BU1</f>
        <v>44401</v>
      </c>
      <c r="BV3" s="2">
        <f>Inventory!BV1</f>
        <v>44402</v>
      </c>
      <c r="BW3" s="2">
        <f>Inventory!BW1</f>
        <v>44403</v>
      </c>
      <c r="BX3" s="2">
        <f>Inventory!BX1</f>
        <v>44404</v>
      </c>
      <c r="BY3" s="2">
        <f>Inventory!BY1</f>
        <v>44405</v>
      </c>
      <c r="BZ3" s="2">
        <f>Inventory!BZ1</f>
        <v>44406</v>
      </c>
      <c r="CA3" s="2">
        <f>Inventory!CA1</f>
        <v>44407</v>
      </c>
      <c r="CB3" s="2">
        <f>Inventory!CB1</f>
        <v>44408</v>
      </c>
      <c r="CC3" s="2">
        <f>Inventory!CC1</f>
        <v>44409</v>
      </c>
      <c r="CD3" s="2">
        <f>Inventory!CD1</f>
        <v>44410</v>
      </c>
      <c r="CE3" s="2">
        <f>Inventory!CE1</f>
        <v>44411</v>
      </c>
      <c r="CF3" s="2">
        <f>Inventory!CF1</f>
        <v>44412</v>
      </c>
      <c r="CG3" s="2">
        <f>Inventory!CG1</f>
        <v>44413</v>
      </c>
      <c r="CH3" s="2">
        <f>Inventory!CH1</f>
        <v>44414</v>
      </c>
      <c r="CI3" s="2">
        <f>Inventory!CI1</f>
        <v>44415</v>
      </c>
      <c r="CJ3" s="2">
        <f>Inventory!CJ1</f>
        <v>44416</v>
      </c>
      <c r="CK3" s="2">
        <f>Inventory!CK1</f>
        <v>44417</v>
      </c>
      <c r="CL3" s="2">
        <f>Inventory!CL1</f>
        <v>44418</v>
      </c>
      <c r="CM3" s="2">
        <f>Inventory!CM1</f>
        <v>44419</v>
      </c>
      <c r="CN3" s="2">
        <f>Inventory!CN1</f>
        <v>44420</v>
      </c>
      <c r="CO3" s="2">
        <f>Inventory!CO1</f>
        <v>44421</v>
      </c>
      <c r="CP3" s="2">
        <f>Inventory!CP1</f>
        <v>44422</v>
      </c>
      <c r="CQ3" s="2">
        <f>Inventory!CQ1</f>
        <v>44423</v>
      </c>
      <c r="CR3" s="2">
        <f>Inventory!CR1</f>
        <v>44424</v>
      </c>
      <c r="CS3" s="2">
        <f>Inventory!CS1</f>
        <v>44425</v>
      </c>
      <c r="CT3" s="2">
        <f>Inventory!CT1</f>
        <v>44426</v>
      </c>
      <c r="CU3" s="2">
        <f>Inventory!CU1</f>
        <v>44427</v>
      </c>
      <c r="CV3" s="2">
        <f>Inventory!CV1</f>
        <v>44428</v>
      </c>
      <c r="CW3" s="2">
        <f>Inventory!CW1</f>
        <v>44429</v>
      </c>
      <c r="CX3" s="2">
        <f>Inventory!CX1</f>
        <v>44430</v>
      </c>
      <c r="CY3" s="2">
        <f>Inventory!CY1</f>
        <v>44431</v>
      </c>
      <c r="CZ3" s="2">
        <f>Inventory!CZ1</f>
        <v>44432</v>
      </c>
      <c r="DA3" s="2">
        <f>Inventory!DA1</f>
        <v>44433</v>
      </c>
      <c r="DB3" s="2">
        <f>Inventory!DB1</f>
        <v>44434</v>
      </c>
      <c r="DC3" s="2">
        <f>Inventory!DC1</f>
        <v>44435</v>
      </c>
      <c r="DD3" s="2">
        <f>Inventory!DD1</f>
        <v>44436</v>
      </c>
      <c r="DE3" s="2">
        <f>Inventory!DE1</f>
        <v>44437</v>
      </c>
      <c r="DF3" s="2">
        <f>Inventory!DF1</f>
        <v>44438</v>
      </c>
      <c r="DG3" s="2">
        <f>Inventory!DG1</f>
        <v>44439</v>
      </c>
      <c r="DH3" s="2">
        <f>Inventory!DH1</f>
        <v>44440</v>
      </c>
      <c r="DI3" s="2">
        <f>Inventory!DI1</f>
        <v>44441</v>
      </c>
      <c r="DJ3" s="2">
        <f>Inventory!DJ1</f>
        <v>44442</v>
      </c>
      <c r="DK3" s="2">
        <f>Inventory!DK1</f>
        <v>44443</v>
      </c>
      <c r="DL3" s="2">
        <f>Inventory!DL1</f>
        <v>44444</v>
      </c>
      <c r="DM3" s="2">
        <f>Inventory!DM1</f>
        <v>44445</v>
      </c>
      <c r="DN3" s="2">
        <f>Inventory!DN1</f>
        <v>44446</v>
      </c>
      <c r="DO3" s="2">
        <f>Inventory!DO1</f>
        <v>44447</v>
      </c>
      <c r="DP3" s="2">
        <f>Inventory!DP1</f>
        <v>44448</v>
      </c>
      <c r="DQ3" s="2">
        <f>Inventory!DQ1</f>
        <v>44449</v>
      </c>
      <c r="DR3" s="2">
        <f>Inventory!DR1</f>
        <v>44450</v>
      </c>
      <c r="DS3" s="2">
        <f>Inventory!DS1</f>
        <v>44451</v>
      </c>
      <c r="DT3" s="2">
        <f>Inventory!DT1</f>
        <v>44452</v>
      </c>
      <c r="DU3" s="2">
        <f>Inventory!DU1</f>
        <v>44453</v>
      </c>
      <c r="DV3" s="2">
        <f>Inventory!DV1</f>
        <v>44454</v>
      </c>
      <c r="DW3" s="2">
        <f>Inventory!DW1</f>
        <v>44455</v>
      </c>
      <c r="DX3" s="2">
        <f>Inventory!DX1</f>
        <v>44456</v>
      </c>
      <c r="DY3" s="2">
        <f>Inventory!DY1</f>
        <v>44457</v>
      </c>
      <c r="DZ3" s="2">
        <f>Inventory!DZ1</f>
        <v>44458</v>
      </c>
      <c r="EA3" s="2">
        <f>Inventory!EA1</f>
        <v>44459</v>
      </c>
      <c r="EB3" s="2">
        <f>Inventory!EB1</f>
        <v>44460</v>
      </c>
      <c r="EC3" s="2">
        <f>Inventory!EC1</f>
        <v>44461</v>
      </c>
      <c r="ED3" s="2">
        <f>Inventory!ED1</f>
        <v>44462</v>
      </c>
      <c r="EE3" s="2">
        <f>Inventory!EE1</f>
        <v>44463</v>
      </c>
      <c r="EF3" s="2">
        <f>Inventory!EF1</f>
        <v>44464</v>
      </c>
      <c r="EG3" s="2">
        <f>Inventory!EG1</f>
        <v>44465</v>
      </c>
      <c r="EH3" s="2">
        <f>Inventory!EH1</f>
        <v>44466</v>
      </c>
      <c r="EI3" s="2">
        <f>Inventory!EI1</f>
        <v>44467</v>
      </c>
      <c r="EJ3" s="2">
        <f>Inventory!EJ1</f>
        <v>44468</v>
      </c>
      <c r="EK3" s="2">
        <f>Inventory!EK1</f>
        <v>44469</v>
      </c>
      <c r="EL3" s="2">
        <f>Inventory!EL1</f>
        <v>44470</v>
      </c>
      <c r="EM3" s="2">
        <f>Inventory!EM1</f>
        <v>44471</v>
      </c>
      <c r="EN3" s="2">
        <f>Inventory!EN1</f>
        <v>44472</v>
      </c>
      <c r="EO3" s="2">
        <f>Inventory!EO1</f>
        <v>44473</v>
      </c>
      <c r="EP3" s="2">
        <f>Inventory!EP1</f>
        <v>44474</v>
      </c>
      <c r="EQ3" s="2">
        <f>Inventory!EQ1</f>
        <v>44475</v>
      </c>
      <c r="ER3" s="2">
        <f>Inventory!ER1</f>
        <v>44476</v>
      </c>
      <c r="ES3" s="2">
        <f>Inventory!ES1</f>
        <v>44477</v>
      </c>
      <c r="ET3" s="2">
        <f>Inventory!ET1</f>
        <v>44478</v>
      </c>
      <c r="EU3" s="2">
        <f>Inventory!EU1</f>
        <v>44479</v>
      </c>
      <c r="EV3" s="2">
        <f>Inventory!EV1</f>
        <v>44480</v>
      </c>
      <c r="EW3" s="2">
        <f>Inventory!EW1</f>
        <v>44481</v>
      </c>
      <c r="EX3" s="2">
        <f>Inventory!EX1</f>
        <v>44482</v>
      </c>
      <c r="EY3" s="2">
        <f>Inventory!EY1</f>
        <v>44483</v>
      </c>
      <c r="EZ3" s="2">
        <f>Inventory!EZ1</f>
        <v>44484</v>
      </c>
      <c r="FA3" s="2">
        <f>Inventory!FA1</f>
        <v>44485</v>
      </c>
      <c r="FB3" s="2">
        <f>Inventory!FB1</f>
        <v>44486</v>
      </c>
      <c r="FC3" s="2">
        <f>Inventory!FC1</f>
        <v>44487</v>
      </c>
      <c r="FD3" s="2">
        <f>Inventory!FD1</f>
        <v>44488</v>
      </c>
      <c r="FE3" s="2">
        <f>Inventory!FE1</f>
        <v>44489</v>
      </c>
      <c r="FF3" s="2">
        <f>Inventory!FF1</f>
        <v>44490</v>
      </c>
      <c r="FG3" s="2">
        <f>Inventory!FG1</f>
        <v>44491</v>
      </c>
      <c r="FH3" s="2">
        <f>Inventory!FH1</f>
        <v>44492</v>
      </c>
      <c r="FI3" s="2">
        <f>Inventory!FI1</f>
        <v>44493</v>
      </c>
      <c r="FJ3" s="2">
        <f>Inventory!FJ1</f>
        <v>44494</v>
      </c>
      <c r="FK3" s="2">
        <f>Inventory!FK1</f>
        <v>44495</v>
      </c>
      <c r="FL3" s="2">
        <f>Inventory!FL1</f>
        <v>44496</v>
      </c>
      <c r="FM3" s="2">
        <f>Inventory!FM1</f>
        <v>44497</v>
      </c>
      <c r="FN3" s="2">
        <f>Inventory!FN1</f>
        <v>44498</v>
      </c>
      <c r="FO3" s="2">
        <f>Inventory!FO1</f>
        <v>44499</v>
      </c>
      <c r="FP3" s="2">
        <f>Inventory!FP1</f>
        <v>44500</v>
      </c>
      <c r="FQ3" s="2">
        <f>Inventory!FQ1</f>
        <v>44501</v>
      </c>
      <c r="FR3" s="2">
        <f>Inventory!FR1</f>
        <v>44502</v>
      </c>
      <c r="FS3" s="2">
        <f>Inventory!FS1</f>
        <v>44503</v>
      </c>
      <c r="FT3" s="2">
        <f>Inventory!FT1</f>
        <v>44504</v>
      </c>
      <c r="FU3" s="2">
        <f>Inventory!FU1</f>
        <v>44505</v>
      </c>
    </row>
    <row r="4" spans="1:177" x14ac:dyDescent="0.25">
      <c r="A4" t="str" cm="1">
        <f t="array" ref="A4:FU10">_xlfn._xlws.FILTER(Inventory!$A$2:$FU$103, (Inventory!C2:C103="AWP"))</f>
        <v>AWP</v>
      </c>
      <c r="B4" t="str">
        <v>Atheris MW</v>
      </c>
      <c r="C4" t="str">
        <v>AWP</v>
      </c>
      <c r="D4" t="str">
        <v>Prisma</v>
      </c>
      <c r="E4">
        <v>4.3099999999999996</v>
      </c>
      <c r="F4">
        <v>4.54</v>
      </c>
      <c r="G4">
        <v>4.37</v>
      </c>
      <c r="H4">
        <v>4.41</v>
      </c>
      <c r="I4">
        <v>4.16</v>
      </c>
      <c r="J4">
        <v>4.4000000000000004</v>
      </c>
      <c r="K4">
        <v>4.7300000000000004</v>
      </c>
      <c r="L4">
        <v>4.6900000000000004</v>
      </c>
      <c r="M4">
        <v>4.54</v>
      </c>
      <c r="N4">
        <v>4.53</v>
      </c>
      <c r="O4">
        <v>4.55</v>
      </c>
      <c r="P4">
        <v>4.22</v>
      </c>
      <c r="Q4">
        <v>4.3899999999999997</v>
      </c>
      <c r="R4">
        <v>4.2300000000000004</v>
      </c>
      <c r="S4">
        <v>4.0599999999999996</v>
      </c>
      <c r="T4">
        <v>4.2300000000000004</v>
      </c>
      <c r="U4">
        <v>4.62</v>
      </c>
      <c r="V4">
        <v>4.07</v>
      </c>
      <c r="W4">
        <v>4.3</v>
      </c>
      <c r="X4">
        <v>4.2300000000000004</v>
      </c>
      <c r="Y4">
        <v>4.21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</row>
    <row r="5" spans="1:177" x14ac:dyDescent="0.25">
      <c r="A5" t="str">
        <v>AWP</v>
      </c>
      <c r="B5" t="str">
        <v>Neo-Noir FN</v>
      </c>
      <c r="C5" t="str">
        <v>AWP</v>
      </c>
      <c r="D5" t="str">
        <v>Danger Zone</v>
      </c>
      <c r="E5">
        <v>47</v>
      </c>
      <c r="F5">
        <v>45.93</v>
      </c>
      <c r="G5">
        <v>44.54</v>
      </c>
      <c r="H5">
        <v>45.51</v>
      </c>
      <c r="I5">
        <v>46.05</v>
      </c>
      <c r="J5">
        <v>46.08</v>
      </c>
      <c r="K5">
        <v>46.57</v>
      </c>
      <c r="L5">
        <v>47.69</v>
      </c>
      <c r="M5">
        <v>44.11</v>
      </c>
      <c r="N5">
        <v>44.01</v>
      </c>
      <c r="O5">
        <v>45.22</v>
      </c>
      <c r="P5">
        <v>46.55</v>
      </c>
      <c r="Q5">
        <v>46.98</v>
      </c>
      <c r="R5">
        <v>43.94</v>
      </c>
      <c r="S5">
        <v>46.39</v>
      </c>
      <c r="T5">
        <v>46.37</v>
      </c>
      <c r="U5">
        <v>47.84</v>
      </c>
      <c r="V5">
        <v>44.88</v>
      </c>
      <c r="W5">
        <v>48.07</v>
      </c>
      <c r="X5">
        <v>48.33</v>
      </c>
      <c r="Y5">
        <v>47.69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</row>
    <row r="6" spans="1:177" x14ac:dyDescent="0.25">
      <c r="A6" t="str">
        <v>AWP</v>
      </c>
      <c r="B6" t="str">
        <v>Boom MW</v>
      </c>
      <c r="C6" t="str">
        <v>AWP</v>
      </c>
      <c r="D6" t="str">
        <v>eSports 2013</v>
      </c>
      <c r="E6">
        <v>52.57</v>
      </c>
      <c r="F6">
        <v>50.84</v>
      </c>
      <c r="G6">
        <v>61.12</v>
      </c>
      <c r="H6">
        <v>54.92</v>
      </c>
      <c r="I6">
        <v>54.99</v>
      </c>
      <c r="J6">
        <v>52.25</v>
      </c>
      <c r="K6">
        <v>56.03</v>
      </c>
      <c r="L6">
        <v>55.57</v>
      </c>
      <c r="M6">
        <v>54.76</v>
      </c>
      <c r="N6">
        <v>54.99</v>
      </c>
      <c r="O6">
        <v>54.7</v>
      </c>
      <c r="P6">
        <v>52.32</v>
      </c>
      <c r="Q6">
        <v>54.62</v>
      </c>
      <c r="R6">
        <v>55.38</v>
      </c>
      <c r="S6">
        <v>53.77</v>
      </c>
      <c r="T6">
        <v>56.08</v>
      </c>
      <c r="U6">
        <v>56.08</v>
      </c>
      <c r="V6">
        <v>57.36</v>
      </c>
      <c r="W6">
        <v>55.4</v>
      </c>
      <c r="X6">
        <v>55.27</v>
      </c>
      <c r="Y6">
        <v>54.17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</row>
    <row r="7" spans="1:177" x14ac:dyDescent="0.25">
      <c r="A7" t="str">
        <v>AWP</v>
      </c>
      <c r="B7" t="str">
        <v>Mortis MW</v>
      </c>
      <c r="C7" t="str">
        <v>AWP</v>
      </c>
      <c r="D7" t="str">
        <v>Clutch</v>
      </c>
      <c r="E7">
        <v>3.23</v>
      </c>
      <c r="F7">
        <v>3.14</v>
      </c>
      <c r="G7">
        <v>3.5</v>
      </c>
      <c r="H7">
        <v>3.27</v>
      </c>
      <c r="I7">
        <v>3.28</v>
      </c>
      <c r="J7">
        <v>3.41</v>
      </c>
      <c r="K7">
        <v>3.47</v>
      </c>
      <c r="L7">
        <v>3.16</v>
      </c>
      <c r="M7">
        <v>3.26</v>
      </c>
      <c r="N7">
        <v>3.28</v>
      </c>
      <c r="O7">
        <v>3.29</v>
      </c>
      <c r="P7">
        <v>3.38</v>
      </c>
      <c r="Q7">
        <v>3.25</v>
      </c>
      <c r="R7">
        <v>3.26</v>
      </c>
      <c r="S7">
        <v>3.19</v>
      </c>
      <c r="T7">
        <v>3.39</v>
      </c>
      <c r="U7">
        <v>3.14</v>
      </c>
      <c r="V7">
        <v>3.14</v>
      </c>
      <c r="W7">
        <v>3.13</v>
      </c>
      <c r="X7">
        <v>2.92</v>
      </c>
      <c r="Y7">
        <v>3.15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</row>
    <row r="8" spans="1:177" x14ac:dyDescent="0.25">
      <c r="A8" t="str">
        <v>AWP</v>
      </c>
      <c r="B8" t="str">
        <v>StatTrak Hyper Beast FT</v>
      </c>
      <c r="C8" t="str">
        <v>AWP</v>
      </c>
      <c r="D8" t="str">
        <v>Falchion</v>
      </c>
      <c r="E8">
        <v>74.08</v>
      </c>
      <c r="F8">
        <v>71.31</v>
      </c>
      <c r="G8">
        <v>71.88</v>
      </c>
      <c r="H8">
        <v>71.23</v>
      </c>
      <c r="I8">
        <v>70.58</v>
      </c>
      <c r="J8">
        <v>65.36</v>
      </c>
      <c r="K8">
        <v>73.31</v>
      </c>
      <c r="L8">
        <v>73.31</v>
      </c>
      <c r="M8">
        <v>72.87</v>
      </c>
      <c r="N8">
        <v>84.58</v>
      </c>
      <c r="O8">
        <v>84.44</v>
      </c>
      <c r="P8">
        <v>75.84</v>
      </c>
      <c r="Q8">
        <v>76.16</v>
      </c>
      <c r="R8">
        <v>69.569999999999993</v>
      </c>
      <c r="S8">
        <v>74.78</v>
      </c>
      <c r="T8">
        <v>75.67</v>
      </c>
      <c r="U8">
        <v>83.34</v>
      </c>
      <c r="V8">
        <v>78.56</v>
      </c>
      <c r="W8">
        <v>78.23</v>
      </c>
      <c r="X8">
        <v>78.48</v>
      </c>
      <c r="Y8">
        <v>76.790000000000006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</row>
    <row r="9" spans="1:177" x14ac:dyDescent="0.25">
      <c r="A9" t="str">
        <v>AWP</v>
      </c>
      <c r="B9" t="str">
        <v>Elite Build FT</v>
      </c>
      <c r="C9" t="str">
        <v>AWP</v>
      </c>
      <c r="D9" t="str">
        <v>Wildfire</v>
      </c>
      <c r="E9">
        <v>6.81</v>
      </c>
      <c r="F9">
        <v>7.26</v>
      </c>
      <c r="G9">
        <v>7.22</v>
      </c>
      <c r="H9">
        <v>6.73</v>
      </c>
      <c r="I9">
        <v>6.71</v>
      </c>
      <c r="J9">
        <v>6.73</v>
      </c>
      <c r="K9">
        <v>6.97</v>
      </c>
      <c r="L9">
        <v>7.34</v>
      </c>
      <c r="M9">
        <v>7.18</v>
      </c>
      <c r="N9">
        <v>6.93</v>
      </c>
      <c r="O9">
        <v>6.5</v>
      </c>
      <c r="P9">
        <v>6.4</v>
      </c>
      <c r="Q9">
        <v>7.28</v>
      </c>
      <c r="R9">
        <v>7.32</v>
      </c>
      <c r="S9">
        <v>7.71</v>
      </c>
      <c r="T9">
        <v>7.27</v>
      </c>
      <c r="U9">
        <v>7.36</v>
      </c>
      <c r="V9">
        <v>7.14</v>
      </c>
      <c r="W9">
        <v>7.32</v>
      </c>
      <c r="X9">
        <v>7.2</v>
      </c>
      <c r="Y9">
        <v>7.6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</row>
    <row r="10" spans="1:177" x14ac:dyDescent="0.25">
      <c r="A10" t="str">
        <v>AWP</v>
      </c>
      <c r="B10" t="str">
        <v>Fever Dream MW</v>
      </c>
      <c r="C10" t="str">
        <v>AWP</v>
      </c>
      <c r="D10" t="str">
        <v>Spectrum</v>
      </c>
      <c r="E10">
        <v>7.47</v>
      </c>
      <c r="F10">
        <v>7.52</v>
      </c>
      <c r="G10">
        <v>7.36</v>
      </c>
      <c r="H10">
        <v>7.24</v>
      </c>
      <c r="I10">
        <v>7.42</v>
      </c>
      <c r="J10">
        <v>7.21</v>
      </c>
      <c r="K10">
        <v>7.03</v>
      </c>
      <c r="L10">
        <v>7.44</v>
      </c>
      <c r="M10">
        <v>7.33</v>
      </c>
      <c r="N10">
        <v>6.98</v>
      </c>
      <c r="O10">
        <v>6.95</v>
      </c>
      <c r="P10">
        <v>6.92</v>
      </c>
      <c r="Q10">
        <v>7.05</v>
      </c>
      <c r="R10">
        <v>6.62</v>
      </c>
      <c r="S10">
        <v>6.71</v>
      </c>
      <c r="T10">
        <v>7.14</v>
      </c>
      <c r="U10">
        <v>6.86</v>
      </c>
      <c r="V10">
        <v>7.3</v>
      </c>
      <c r="W10">
        <v>7.04</v>
      </c>
      <c r="X10">
        <v>6.9</v>
      </c>
      <c r="Y10">
        <v>7.02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</row>
    <row r="13" spans="1:177" x14ac:dyDescent="0.25">
      <c r="D13" s="1" t="s">
        <v>186</v>
      </c>
      <c r="E13">
        <f>SUM(E4:E10)</f>
        <v>195.47</v>
      </c>
      <c r="F13">
        <f t="shared" ref="F13:BQ13" si="0">SUM(F4:F10)</f>
        <v>190.54</v>
      </c>
      <c r="G13">
        <f t="shared" si="0"/>
        <v>199.99</v>
      </c>
      <c r="H13">
        <f t="shared" si="0"/>
        <v>193.31</v>
      </c>
      <c r="I13">
        <f t="shared" si="0"/>
        <v>193.19</v>
      </c>
      <c r="J13">
        <f t="shared" si="0"/>
        <v>185.44</v>
      </c>
      <c r="K13">
        <f t="shared" si="0"/>
        <v>198.11</v>
      </c>
      <c r="L13">
        <f t="shared" si="0"/>
        <v>199.2</v>
      </c>
      <c r="M13">
        <f t="shared" si="0"/>
        <v>194.05000000000004</v>
      </c>
      <c r="N13">
        <f t="shared" si="0"/>
        <v>205.29999999999998</v>
      </c>
      <c r="O13">
        <f t="shared" si="0"/>
        <v>205.64999999999998</v>
      </c>
      <c r="P13">
        <f t="shared" si="0"/>
        <v>195.63</v>
      </c>
      <c r="Q13">
        <f t="shared" si="0"/>
        <v>199.73</v>
      </c>
      <c r="R13">
        <f t="shared" si="0"/>
        <v>190.32</v>
      </c>
      <c r="S13">
        <f t="shared" si="0"/>
        <v>196.61</v>
      </c>
      <c r="T13">
        <f t="shared" si="0"/>
        <v>200.15</v>
      </c>
      <c r="U13">
        <f t="shared" si="0"/>
        <v>209.24</v>
      </c>
      <c r="V13">
        <f t="shared" si="0"/>
        <v>202.45</v>
      </c>
      <c r="W13">
        <f t="shared" si="0"/>
        <v>203.48999999999998</v>
      </c>
      <c r="X13">
        <f t="shared" si="0"/>
        <v>203.33</v>
      </c>
      <c r="Y13">
        <f t="shared" si="0"/>
        <v>200.63</v>
      </c>
      <c r="Z13">
        <f t="shared" si="0"/>
        <v>0</v>
      </c>
      <c r="AA13">
        <f t="shared" si="0"/>
        <v>0</v>
      </c>
      <c r="AB13">
        <f t="shared" si="0"/>
        <v>0</v>
      </c>
      <c r="AC13">
        <f t="shared" si="0"/>
        <v>0</v>
      </c>
      <c r="AD13">
        <f t="shared" si="0"/>
        <v>0</v>
      </c>
      <c r="AE13">
        <f t="shared" si="0"/>
        <v>0</v>
      </c>
      <c r="AF13">
        <f t="shared" si="0"/>
        <v>0</v>
      </c>
      <c r="AG13">
        <f t="shared" si="0"/>
        <v>0</v>
      </c>
      <c r="AH13">
        <f t="shared" si="0"/>
        <v>0</v>
      </c>
      <c r="AI13">
        <f t="shared" si="0"/>
        <v>0</v>
      </c>
      <c r="AJ13">
        <f t="shared" si="0"/>
        <v>0</v>
      </c>
      <c r="AK13">
        <f t="shared" si="0"/>
        <v>0</v>
      </c>
      <c r="AL13">
        <f t="shared" si="0"/>
        <v>0</v>
      </c>
      <c r="AM13">
        <f t="shared" si="0"/>
        <v>0</v>
      </c>
      <c r="AN13">
        <f t="shared" si="0"/>
        <v>0</v>
      </c>
      <c r="AO13">
        <f t="shared" si="0"/>
        <v>0</v>
      </c>
      <c r="AP13">
        <f t="shared" si="0"/>
        <v>0</v>
      </c>
      <c r="AQ13">
        <f t="shared" si="0"/>
        <v>0</v>
      </c>
      <c r="AR13">
        <f t="shared" si="0"/>
        <v>0</v>
      </c>
      <c r="AS13">
        <f t="shared" si="0"/>
        <v>0</v>
      </c>
      <c r="AT13">
        <f t="shared" si="0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  <c r="BB13">
        <f t="shared" si="0"/>
        <v>0</v>
      </c>
      <c r="BC13">
        <f t="shared" si="0"/>
        <v>0</v>
      </c>
      <c r="BD13">
        <f t="shared" si="0"/>
        <v>0</v>
      </c>
      <c r="BE13">
        <f t="shared" si="0"/>
        <v>0</v>
      </c>
      <c r="BF13">
        <f t="shared" si="0"/>
        <v>0</v>
      </c>
      <c r="BG13">
        <f t="shared" si="0"/>
        <v>0</v>
      </c>
      <c r="BH13">
        <f t="shared" si="0"/>
        <v>0</v>
      </c>
      <c r="BI13">
        <f t="shared" si="0"/>
        <v>0</v>
      </c>
      <c r="BJ13">
        <f t="shared" si="0"/>
        <v>0</v>
      </c>
      <c r="BK13">
        <f t="shared" si="0"/>
        <v>0</v>
      </c>
      <c r="BL13">
        <f t="shared" si="0"/>
        <v>0</v>
      </c>
      <c r="BM13">
        <f t="shared" si="0"/>
        <v>0</v>
      </c>
      <c r="BN13">
        <f t="shared" si="0"/>
        <v>0</v>
      </c>
      <c r="BO13">
        <f t="shared" si="0"/>
        <v>0</v>
      </c>
      <c r="BP13">
        <f t="shared" si="0"/>
        <v>0</v>
      </c>
      <c r="BQ13">
        <f t="shared" si="0"/>
        <v>0</v>
      </c>
      <c r="BR13">
        <f t="shared" ref="BR13:EC13" si="1">SUM(BR4:BR10)</f>
        <v>0</v>
      </c>
      <c r="BS13">
        <f t="shared" si="1"/>
        <v>0</v>
      </c>
      <c r="BT13">
        <f t="shared" si="1"/>
        <v>0</v>
      </c>
      <c r="BU13">
        <f t="shared" si="1"/>
        <v>0</v>
      </c>
      <c r="BV13">
        <f t="shared" si="1"/>
        <v>0</v>
      </c>
      <c r="BW13">
        <f t="shared" si="1"/>
        <v>0</v>
      </c>
      <c r="BX13">
        <f t="shared" si="1"/>
        <v>0</v>
      </c>
      <c r="BY13">
        <f t="shared" si="1"/>
        <v>0</v>
      </c>
      <c r="BZ13">
        <f t="shared" si="1"/>
        <v>0</v>
      </c>
      <c r="CA13">
        <f t="shared" si="1"/>
        <v>0</v>
      </c>
      <c r="CB13">
        <f t="shared" si="1"/>
        <v>0</v>
      </c>
      <c r="CC13">
        <f t="shared" si="1"/>
        <v>0</v>
      </c>
      <c r="CD13">
        <f t="shared" si="1"/>
        <v>0</v>
      </c>
      <c r="CE13">
        <f t="shared" si="1"/>
        <v>0</v>
      </c>
      <c r="CF13">
        <f t="shared" si="1"/>
        <v>0</v>
      </c>
      <c r="CG13">
        <f t="shared" si="1"/>
        <v>0</v>
      </c>
      <c r="CH13">
        <f t="shared" si="1"/>
        <v>0</v>
      </c>
      <c r="CI13">
        <f t="shared" si="1"/>
        <v>0</v>
      </c>
      <c r="CJ13">
        <f t="shared" si="1"/>
        <v>0</v>
      </c>
      <c r="CK13">
        <f t="shared" si="1"/>
        <v>0</v>
      </c>
      <c r="CL13">
        <f t="shared" si="1"/>
        <v>0</v>
      </c>
      <c r="CM13">
        <f t="shared" si="1"/>
        <v>0</v>
      </c>
      <c r="CN13">
        <f t="shared" si="1"/>
        <v>0</v>
      </c>
      <c r="CO13">
        <f t="shared" si="1"/>
        <v>0</v>
      </c>
      <c r="CP13">
        <f t="shared" si="1"/>
        <v>0</v>
      </c>
      <c r="CQ13">
        <f t="shared" si="1"/>
        <v>0</v>
      </c>
      <c r="CR13">
        <f t="shared" si="1"/>
        <v>0</v>
      </c>
      <c r="CS13">
        <f t="shared" si="1"/>
        <v>0</v>
      </c>
      <c r="CT13">
        <f t="shared" si="1"/>
        <v>0</v>
      </c>
      <c r="CU13">
        <f t="shared" si="1"/>
        <v>0</v>
      </c>
      <c r="CV13">
        <f t="shared" si="1"/>
        <v>0</v>
      </c>
      <c r="CW13">
        <f t="shared" si="1"/>
        <v>0</v>
      </c>
      <c r="CX13">
        <f t="shared" si="1"/>
        <v>0</v>
      </c>
      <c r="CY13">
        <f t="shared" si="1"/>
        <v>0</v>
      </c>
      <c r="CZ13">
        <f t="shared" si="1"/>
        <v>0</v>
      </c>
      <c r="DA13">
        <f t="shared" si="1"/>
        <v>0</v>
      </c>
      <c r="DB13">
        <f t="shared" si="1"/>
        <v>0</v>
      </c>
      <c r="DC13">
        <f t="shared" si="1"/>
        <v>0</v>
      </c>
      <c r="DD13">
        <f t="shared" si="1"/>
        <v>0</v>
      </c>
      <c r="DE13">
        <f t="shared" si="1"/>
        <v>0</v>
      </c>
      <c r="DF13">
        <f t="shared" si="1"/>
        <v>0</v>
      </c>
      <c r="DG13">
        <f t="shared" si="1"/>
        <v>0</v>
      </c>
      <c r="DH13">
        <f t="shared" si="1"/>
        <v>0</v>
      </c>
      <c r="DI13">
        <f t="shared" si="1"/>
        <v>0</v>
      </c>
      <c r="DJ13">
        <f t="shared" si="1"/>
        <v>0</v>
      </c>
      <c r="DK13">
        <f t="shared" si="1"/>
        <v>0</v>
      </c>
      <c r="DL13">
        <f t="shared" si="1"/>
        <v>0</v>
      </c>
      <c r="DM13">
        <f t="shared" si="1"/>
        <v>0</v>
      </c>
      <c r="DN13">
        <f t="shared" si="1"/>
        <v>0</v>
      </c>
      <c r="DO13">
        <f t="shared" si="1"/>
        <v>0</v>
      </c>
      <c r="DP13">
        <f t="shared" si="1"/>
        <v>0</v>
      </c>
      <c r="DQ13">
        <f t="shared" si="1"/>
        <v>0</v>
      </c>
      <c r="DR13">
        <f t="shared" si="1"/>
        <v>0</v>
      </c>
      <c r="DS13">
        <f t="shared" si="1"/>
        <v>0</v>
      </c>
      <c r="DT13">
        <f t="shared" si="1"/>
        <v>0</v>
      </c>
      <c r="DU13">
        <f t="shared" si="1"/>
        <v>0</v>
      </c>
      <c r="DV13">
        <f t="shared" si="1"/>
        <v>0</v>
      </c>
      <c r="DW13">
        <f t="shared" si="1"/>
        <v>0</v>
      </c>
      <c r="DX13">
        <f t="shared" si="1"/>
        <v>0</v>
      </c>
      <c r="DY13">
        <f t="shared" si="1"/>
        <v>0</v>
      </c>
      <c r="DZ13">
        <f t="shared" si="1"/>
        <v>0</v>
      </c>
      <c r="EA13">
        <f t="shared" si="1"/>
        <v>0</v>
      </c>
      <c r="EB13">
        <f t="shared" si="1"/>
        <v>0</v>
      </c>
      <c r="EC13">
        <f t="shared" si="1"/>
        <v>0</v>
      </c>
      <c r="ED13">
        <f t="shared" ref="ED13:FU13" si="2">SUM(ED4:ED10)</f>
        <v>0</v>
      </c>
      <c r="EE13">
        <f t="shared" si="2"/>
        <v>0</v>
      </c>
      <c r="EF13">
        <f t="shared" si="2"/>
        <v>0</v>
      </c>
      <c r="EG13">
        <f t="shared" si="2"/>
        <v>0</v>
      </c>
      <c r="EH13">
        <f t="shared" si="2"/>
        <v>0</v>
      </c>
      <c r="EI13">
        <f t="shared" si="2"/>
        <v>0</v>
      </c>
      <c r="EJ13">
        <f t="shared" si="2"/>
        <v>0</v>
      </c>
      <c r="EK13">
        <f t="shared" si="2"/>
        <v>0</v>
      </c>
      <c r="EL13">
        <f t="shared" si="2"/>
        <v>0</v>
      </c>
      <c r="EM13">
        <f t="shared" si="2"/>
        <v>0</v>
      </c>
      <c r="EN13">
        <f t="shared" si="2"/>
        <v>0</v>
      </c>
      <c r="EO13">
        <f t="shared" si="2"/>
        <v>0</v>
      </c>
      <c r="EP13">
        <f t="shared" si="2"/>
        <v>0</v>
      </c>
      <c r="EQ13">
        <f t="shared" si="2"/>
        <v>0</v>
      </c>
      <c r="ER13">
        <f t="shared" si="2"/>
        <v>0</v>
      </c>
      <c r="ES13">
        <f t="shared" si="2"/>
        <v>0</v>
      </c>
      <c r="ET13">
        <f t="shared" si="2"/>
        <v>0</v>
      </c>
      <c r="EU13">
        <f t="shared" si="2"/>
        <v>0</v>
      </c>
      <c r="EV13">
        <f t="shared" si="2"/>
        <v>0</v>
      </c>
      <c r="EW13">
        <f t="shared" si="2"/>
        <v>0</v>
      </c>
      <c r="EX13">
        <f t="shared" si="2"/>
        <v>0</v>
      </c>
      <c r="EY13">
        <f t="shared" si="2"/>
        <v>0</v>
      </c>
      <c r="EZ13">
        <f t="shared" si="2"/>
        <v>0</v>
      </c>
      <c r="FA13">
        <f t="shared" si="2"/>
        <v>0</v>
      </c>
      <c r="FB13">
        <f t="shared" si="2"/>
        <v>0</v>
      </c>
      <c r="FC13">
        <f t="shared" si="2"/>
        <v>0</v>
      </c>
      <c r="FD13">
        <f t="shared" si="2"/>
        <v>0</v>
      </c>
      <c r="FE13">
        <f t="shared" si="2"/>
        <v>0</v>
      </c>
      <c r="FF13">
        <f t="shared" si="2"/>
        <v>0</v>
      </c>
      <c r="FG13">
        <f t="shared" si="2"/>
        <v>0</v>
      </c>
      <c r="FH13">
        <f t="shared" si="2"/>
        <v>0</v>
      </c>
      <c r="FI13">
        <f t="shared" si="2"/>
        <v>0</v>
      </c>
      <c r="FJ13">
        <f t="shared" si="2"/>
        <v>0</v>
      </c>
      <c r="FK13">
        <f t="shared" si="2"/>
        <v>0</v>
      </c>
      <c r="FL13">
        <f t="shared" si="2"/>
        <v>0</v>
      </c>
      <c r="FM13">
        <f t="shared" si="2"/>
        <v>0</v>
      </c>
      <c r="FN13">
        <f t="shared" si="2"/>
        <v>0</v>
      </c>
      <c r="FO13">
        <f t="shared" si="2"/>
        <v>0</v>
      </c>
      <c r="FP13">
        <f t="shared" si="2"/>
        <v>0</v>
      </c>
      <c r="FQ13">
        <f t="shared" si="2"/>
        <v>0</v>
      </c>
      <c r="FR13">
        <f t="shared" si="2"/>
        <v>0</v>
      </c>
      <c r="FS13">
        <f t="shared" si="2"/>
        <v>0</v>
      </c>
      <c r="FT13">
        <f t="shared" si="2"/>
        <v>0</v>
      </c>
      <c r="FU13">
        <f t="shared" si="2"/>
        <v>0</v>
      </c>
    </row>
    <row r="18" spans="1:177" x14ac:dyDescent="0.25">
      <c r="A18" s="1" t="str">
        <f>A3</f>
        <v>Weapon</v>
      </c>
      <c r="B18" s="1" t="str">
        <f t="shared" ref="B18:D18" si="3">B3</f>
        <v>Skin</v>
      </c>
      <c r="C18" s="1" t="str">
        <f t="shared" si="3"/>
        <v>Type</v>
      </c>
      <c r="D18" s="1" t="str">
        <f t="shared" si="3"/>
        <v>Collection</v>
      </c>
      <c r="E18" s="2">
        <f>E3</f>
        <v>44331</v>
      </c>
      <c r="F18" s="2">
        <f t="shared" ref="F18:BQ18" si="4">F3</f>
        <v>44332</v>
      </c>
      <c r="G18" s="2">
        <f t="shared" si="4"/>
        <v>44334</v>
      </c>
      <c r="H18" s="2">
        <f t="shared" si="4"/>
        <v>44336</v>
      </c>
      <c r="I18" s="2">
        <f t="shared" si="4"/>
        <v>44337</v>
      </c>
      <c r="J18" s="2">
        <f t="shared" si="4"/>
        <v>44338</v>
      </c>
      <c r="K18" s="2">
        <f t="shared" si="4"/>
        <v>44339</v>
      </c>
      <c r="L18" s="2">
        <f t="shared" si="4"/>
        <v>44340</v>
      </c>
      <c r="M18" s="2">
        <f t="shared" si="4"/>
        <v>44341</v>
      </c>
      <c r="N18" s="2">
        <f t="shared" si="4"/>
        <v>44342</v>
      </c>
      <c r="O18" s="2">
        <f t="shared" si="4"/>
        <v>44343</v>
      </c>
      <c r="P18" s="2">
        <f t="shared" si="4"/>
        <v>44344</v>
      </c>
      <c r="Q18" s="2">
        <f t="shared" si="4"/>
        <v>44345</v>
      </c>
      <c r="R18" s="2">
        <f t="shared" si="4"/>
        <v>44346</v>
      </c>
      <c r="S18" s="2">
        <f t="shared" si="4"/>
        <v>44347</v>
      </c>
      <c r="T18" s="2">
        <f t="shared" si="4"/>
        <v>44348</v>
      </c>
      <c r="U18" s="2">
        <f t="shared" si="4"/>
        <v>44349</v>
      </c>
      <c r="V18" s="2">
        <f t="shared" si="4"/>
        <v>44350</v>
      </c>
      <c r="W18" s="2">
        <f t="shared" si="4"/>
        <v>44351</v>
      </c>
      <c r="X18" s="2">
        <f t="shared" si="4"/>
        <v>44352</v>
      </c>
      <c r="Y18" s="2">
        <f t="shared" si="4"/>
        <v>44353</v>
      </c>
      <c r="Z18" s="2">
        <f t="shared" si="4"/>
        <v>44354</v>
      </c>
      <c r="AA18" s="2">
        <f t="shared" si="4"/>
        <v>44355</v>
      </c>
      <c r="AB18" s="2">
        <f t="shared" si="4"/>
        <v>44356</v>
      </c>
      <c r="AC18" s="2">
        <f t="shared" si="4"/>
        <v>44357</v>
      </c>
      <c r="AD18" s="2">
        <f t="shared" si="4"/>
        <v>44358</v>
      </c>
      <c r="AE18" s="2">
        <f t="shared" si="4"/>
        <v>44359</v>
      </c>
      <c r="AF18" s="2">
        <f t="shared" si="4"/>
        <v>44360</v>
      </c>
      <c r="AG18" s="2">
        <f t="shared" si="4"/>
        <v>44361</v>
      </c>
      <c r="AH18" s="2">
        <f t="shared" si="4"/>
        <v>44362</v>
      </c>
      <c r="AI18" s="2">
        <f t="shared" si="4"/>
        <v>44363</v>
      </c>
      <c r="AJ18" s="2">
        <f t="shared" si="4"/>
        <v>44364</v>
      </c>
      <c r="AK18" s="2">
        <f t="shared" si="4"/>
        <v>44365</v>
      </c>
      <c r="AL18" s="2">
        <f t="shared" si="4"/>
        <v>44366</v>
      </c>
      <c r="AM18" s="2">
        <f t="shared" si="4"/>
        <v>44367</v>
      </c>
      <c r="AN18" s="2">
        <f t="shared" si="4"/>
        <v>44368</v>
      </c>
      <c r="AO18" s="2">
        <f t="shared" si="4"/>
        <v>44369</v>
      </c>
      <c r="AP18" s="2">
        <f t="shared" si="4"/>
        <v>44370</v>
      </c>
      <c r="AQ18" s="2">
        <f t="shared" si="4"/>
        <v>44371</v>
      </c>
      <c r="AR18" s="2">
        <f t="shared" si="4"/>
        <v>44372</v>
      </c>
      <c r="AS18" s="2">
        <f t="shared" si="4"/>
        <v>44373</v>
      </c>
      <c r="AT18" s="2">
        <f t="shared" si="4"/>
        <v>44374</v>
      </c>
      <c r="AU18" s="2">
        <f t="shared" si="4"/>
        <v>44375</v>
      </c>
      <c r="AV18" s="2">
        <f t="shared" si="4"/>
        <v>44376</v>
      </c>
      <c r="AW18" s="2">
        <f t="shared" si="4"/>
        <v>44377</v>
      </c>
      <c r="AX18" s="2">
        <f t="shared" si="4"/>
        <v>44378</v>
      </c>
      <c r="AY18" s="2">
        <f t="shared" si="4"/>
        <v>44379</v>
      </c>
      <c r="AZ18" s="2">
        <f t="shared" si="4"/>
        <v>44380</v>
      </c>
      <c r="BA18" s="2">
        <f t="shared" si="4"/>
        <v>44381</v>
      </c>
      <c r="BB18" s="2">
        <f t="shared" si="4"/>
        <v>44382</v>
      </c>
      <c r="BC18" s="2">
        <f t="shared" si="4"/>
        <v>44383</v>
      </c>
      <c r="BD18" s="2">
        <f t="shared" si="4"/>
        <v>44384</v>
      </c>
      <c r="BE18" s="2">
        <f t="shared" si="4"/>
        <v>44385</v>
      </c>
      <c r="BF18" s="2">
        <f t="shared" si="4"/>
        <v>44386</v>
      </c>
      <c r="BG18" s="2">
        <f t="shared" si="4"/>
        <v>44387</v>
      </c>
      <c r="BH18" s="2">
        <f t="shared" si="4"/>
        <v>44388</v>
      </c>
      <c r="BI18" s="2">
        <f t="shared" si="4"/>
        <v>44389</v>
      </c>
      <c r="BJ18" s="2">
        <f t="shared" si="4"/>
        <v>44390</v>
      </c>
      <c r="BK18" s="2">
        <f t="shared" si="4"/>
        <v>44391</v>
      </c>
      <c r="BL18" s="2">
        <f t="shared" si="4"/>
        <v>44392</v>
      </c>
      <c r="BM18" s="2">
        <f t="shared" si="4"/>
        <v>44393</v>
      </c>
      <c r="BN18" s="2">
        <f t="shared" si="4"/>
        <v>44394</v>
      </c>
      <c r="BO18" s="2">
        <f t="shared" si="4"/>
        <v>44395</v>
      </c>
      <c r="BP18" s="2">
        <f t="shared" si="4"/>
        <v>44396</v>
      </c>
      <c r="BQ18" s="2">
        <f t="shared" si="4"/>
        <v>44397</v>
      </c>
      <c r="BR18" s="2">
        <f t="shared" ref="BR18:EC18" si="5">BR3</f>
        <v>44398</v>
      </c>
      <c r="BS18" s="2">
        <f t="shared" si="5"/>
        <v>44399</v>
      </c>
      <c r="BT18" s="2">
        <f t="shared" si="5"/>
        <v>44400</v>
      </c>
      <c r="BU18" s="2">
        <f t="shared" si="5"/>
        <v>44401</v>
      </c>
      <c r="BV18" s="2">
        <f t="shared" si="5"/>
        <v>44402</v>
      </c>
      <c r="BW18" s="2">
        <f t="shared" si="5"/>
        <v>44403</v>
      </c>
      <c r="BX18" s="2">
        <f t="shared" si="5"/>
        <v>44404</v>
      </c>
      <c r="BY18" s="2">
        <f t="shared" si="5"/>
        <v>44405</v>
      </c>
      <c r="BZ18" s="2">
        <f t="shared" si="5"/>
        <v>44406</v>
      </c>
      <c r="CA18" s="2">
        <f t="shared" si="5"/>
        <v>44407</v>
      </c>
      <c r="CB18" s="2">
        <f t="shared" si="5"/>
        <v>44408</v>
      </c>
      <c r="CC18" s="2">
        <f t="shared" si="5"/>
        <v>44409</v>
      </c>
      <c r="CD18" s="2">
        <f t="shared" si="5"/>
        <v>44410</v>
      </c>
      <c r="CE18" s="2">
        <f t="shared" si="5"/>
        <v>44411</v>
      </c>
      <c r="CF18" s="2">
        <f t="shared" si="5"/>
        <v>44412</v>
      </c>
      <c r="CG18" s="2">
        <f t="shared" si="5"/>
        <v>44413</v>
      </c>
      <c r="CH18" s="2">
        <f t="shared" si="5"/>
        <v>44414</v>
      </c>
      <c r="CI18" s="2">
        <f t="shared" si="5"/>
        <v>44415</v>
      </c>
      <c r="CJ18" s="2">
        <f t="shared" si="5"/>
        <v>44416</v>
      </c>
      <c r="CK18" s="2">
        <f t="shared" si="5"/>
        <v>44417</v>
      </c>
      <c r="CL18" s="2">
        <f t="shared" si="5"/>
        <v>44418</v>
      </c>
      <c r="CM18" s="2">
        <f t="shared" si="5"/>
        <v>44419</v>
      </c>
      <c r="CN18" s="2">
        <f t="shared" si="5"/>
        <v>44420</v>
      </c>
      <c r="CO18" s="2">
        <f t="shared" si="5"/>
        <v>44421</v>
      </c>
      <c r="CP18" s="2">
        <f t="shared" si="5"/>
        <v>44422</v>
      </c>
      <c r="CQ18" s="2">
        <f t="shared" si="5"/>
        <v>44423</v>
      </c>
      <c r="CR18" s="2">
        <f t="shared" si="5"/>
        <v>44424</v>
      </c>
      <c r="CS18" s="2">
        <f t="shared" si="5"/>
        <v>44425</v>
      </c>
      <c r="CT18" s="2">
        <f t="shared" si="5"/>
        <v>44426</v>
      </c>
      <c r="CU18" s="2">
        <f t="shared" si="5"/>
        <v>44427</v>
      </c>
      <c r="CV18" s="2">
        <f t="shared" si="5"/>
        <v>44428</v>
      </c>
      <c r="CW18" s="2">
        <f t="shared" si="5"/>
        <v>44429</v>
      </c>
      <c r="CX18" s="2">
        <f t="shared" si="5"/>
        <v>44430</v>
      </c>
      <c r="CY18" s="2">
        <f t="shared" si="5"/>
        <v>44431</v>
      </c>
      <c r="CZ18" s="2">
        <f t="shared" si="5"/>
        <v>44432</v>
      </c>
      <c r="DA18" s="2">
        <f t="shared" si="5"/>
        <v>44433</v>
      </c>
      <c r="DB18" s="2">
        <f t="shared" si="5"/>
        <v>44434</v>
      </c>
      <c r="DC18" s="2">
        <f t="shared" si="5"/>
        <v>44435</v>
      </c>
      <c r="DD18" s="2">
        <f t="shared" si="5"/>
        <v>44436</v>
      </c>
      <c r="DE18" s="2">
        <f t="shared" si="5"/>
        <v>44437</v>
      </c>
      <c r="DF18" s="2">
        <f t="shared" si="5"/>
        <v>44438</v>
      </c>
      <c r="DG18" s="2">
        <f t="shared" si="5"/>
        <v>44439</v>
      </c>
      <c r="DH18" s="2">
        <f t="shared" si="5"/>
        <v>44440</v>
      </c>
      <c r="DI18" s="2">
        <f t="shared" si="5"/>
        <v>44441</v>
      </c>
      <c r="DJ18" s="2">
        <f t="shared" si="5"/>
        <v>44442</v>
      </c>
      <c r="DK18" s="2">
        <f t="shared" si="5"/>
        <v>44443</v>
      </c>
      <c r="DL18" s="2">
        <f t="shared" si="5"/>
        <v>44444</v>
      </c>
      <c r="DM18" s="2">
        <f t="shared" si="5"/>
        <v>44445</v>
      </c>
      <c r="DN18" s="2">
        <f t="shared" si="5"/>
        <v>44446</v>
      </c>
      <c r="DO18" s="2">
        <f t="shared" si="5"/>
        <v>44447</v>
      </c>
      <c r="DP18" s="2">
        <f t="shared" si="5"/>
        <v>44448</v>
      </c>
      <c r="DQ18" s="2">
        <f t="shared" si="5"/>
        <v>44449</v>
      </c>
      <c r="DR18" s="2">
        <f t="shared" si="5"/>
        <v>44450</v>
      </c>
      <c r="DS18" s="2">
        <f t="shared" si="5"/>
        <v>44451</v>
      </c>
      <c r="DT18" s="2">
        <f t="shared" si="5"/>
        <v>44452</v>
      </c>
      <c r="DU18" s="2">
        <f t="shared" si="5"/>
        <v>44453</v>
      </c>
      <c r="DV18" s="2">
        <f t="shared" si="5"/>
        <v>44454</v>
      </c>
      <c r="DW18" s="2">
        <f t="shared" si="5"/>
        <v>44455</v>
      </c>
      <c r="DX18" s="2">
        <f t="shared" si="5"/>
        <v>44456</v>
      </c>
      <c r="DY18" s="2">
        <f t="shared" si="5"/>
        <v>44457</v>
      </c>
      <c r="DZ18" s="2">
        <f t="shared" si="5"/>
        <v>44458</v>
      </c>
      <c r="EA18" s="2">
        <f t="shared" si="5"/>
        <v>44459</v>
      </c>
      <c r="EB18" s="2">
        <f t="shared" si="5"/>
        <v>44460</v>
      </c>
      <c r="EC18" s="2">
        <f t="shared" si="5"/>
        <v>44461</v>
      </c>
      <c r="ED18" s="2">
        <f t="shared" ref="ED18:FU18" si="6">ED3</f>
        <v>44462</v>
      </c>
      <c r="EE18" s="2">
        <f t="shared" si="6"/>
        <v>44463</v>
      </c>
      <c r="EF18" s="2">
        <f t="shared" si="6"/>
        <v>44464</v>
      </c>
      <c r="EG18" s="2">
        <f t="shared" si="6"/>
        <v>44465</v>
      </c>
      <c r="EH18" s="2">
        <f t="shared" si="6"/>
        <v>44466</v>
      </c>
      <c r="EI18" s="2">
        <f t="shared" si="6"/>
        <v>44467</v>
      </c>
      <c r="EJ18" s="2">
        <f t="shared" si="6"/>
        <v>44468</v>
      </c>
      <c r="EK18" s="2">
        <f t="shared" si="6"/>
        <v>44469</v>
      </c>
      <c r="EL18" s="2">
        <f t="shared" si="6"/>
        <v>44470</v>
      </c>
      <c r="EM18" s="2">
        <f t="shared" si="6"/>
        <v>44471</v>
      </c>
      <c r="EN18" s="2">
        <f t="shared" si="6"/>
        <v>44472</v>
      </c>
      <c r="EO18" s="2">
        <f t="shared" si="6"/>
        <v>44473</v>
      </c>
      <c r="EP18" s="2">
        <f t="shared" si="6"/>
        <v>44474</v>
      </c>
      <c r="EQ18" s="2">
        <f t="shared" si="6"/>
        <v>44475</v>
      </c>
      <c r="ER18" s="2">
        <f t="shared" si="6"/>
        <v>44476</v>
      </c>
      <c r="ES18" s="2">
        <f t="shared" si="6"/>
        <v>44477</v>
      </c>
      <c r="ET18" s="2">
        <f t="shared" si="6"/>
        <v>44478</v>
      </c>
      <c r="EU18" s="2">
        <f t="shared" si="6"/>
        <v>44479</v>
      </c>
      <c r="EV18" s="2">
        <f t="shared" si="6"/>
        <v>44480</v>
      </c>
      <c r="EW18" s="2">
        <f t="shared" si="6"/>
        <v>44481</v>
      </c>
      <c r="EX18" s="2">
        <f t="shared" si="6"/>
        <v>44482</v>
      </c>
      <c r="EY18" s="2">
        <f t="shared" si="6"/>
        <v>44483</v>
      </c>
      <c r="EZ18" s="2">
        <f t="shared" si="6"/>
        <v>44484</v>
      </c>
      <c r="FA18" s="2">
        <f t="shared" si="6"/>
        <v>44485</v>
      </c>
      <c r="FB18" s="2">
        <f t="shared" si="6"/>
        <v>44486</v>
      </c>
      <c r="FC18" s="2">
        <f t="shared" si="6"/>
        <v>44487</v>
      </c>
      <c r="FD18" s="2">
        <f t="shared" si="6"/>
        <v>44488</v>
      </c>
      <c r="FE18" s="2">
        <f t="shared" si="6"/>
        <v>44489</v>
      </c>
      <c r="FF18" s="2">
        <f t="shared" si="6"/>
        <v>44490</v>
      </c>
      <c r="FG18" s="2">
        <f t="shared" si="6"/>
        <v>44491</v>
      </c>
      <c r="FH18" s="2">
        <f t="shared" si="6"/>
        <v>44492</v>
      </c>
      <c r="FI18" s="2">
        <f t="shared" si="6"/>
        <v>44493</v>
      </c>
      <c r="FJ18" s="2">
        <f t="shared" si="6"/>
        <v>44494</v>
      </c>
      <c r="FK18" s="2">
        <f t="shared" si="6"/>
        <v>44495</v>
      </c>
      <c r="FL18" s="2">
        <f t="shared" si="6"/>
        <v>44496</v>
      </c>
      <c r="FM18" s="2">
        <f t="shared" si="6"/>
        <v>44497</v>
      </c>
      <c r="FN18" s="2">
        <f t="shared" si="6"/>
        <v>44498</v>
      </c>
      <c r="FO18" s="2">
        <f t="shared" si="6"/>
        <v>44499</v>
      </c>
      <c r="FP18" s="2">
        <f t="shared" si="6"/>
        <v>44500</v>
      </c>
      <c r="FQ18" s="2">
        <f t="shared" si="6"/>
        <v>44501</v>
      </c>
      <c r="FR18" s="2">
        <f t="shared" si="6"/>
        <v>44502</v>
      </c>
      <c r="FS18" s="2">
        <f t="shared" si="6"/>
        <v>44503</v>
      </c>
      <c r="FT18" s="2">
        <f t="shared" si="6"/>
        <v>44504</v>
      </c>
      <c r="FU18" s="2">
        <f t="shared" si="6"/>
        <v>44505</v>
      </c>
    </row>
    <row r="19" spans="1:177" x14ac:dyDescent="0.25">
      <c r="A19" t="str">
        <f t="shared" ref="A19:D19" si="7">A4</f>
        <v>AWP</v>
      </c>
      <c r="B19" t="str">
        <f t="shared" si="7"/>
        <v>Atheris MW</v>
      </c>
      <c r="C19" t="str">
        <f t="shared" si="7"/>
        <v>AWP</v>
      </c>
      <c r="D19" t="str">
        <f t="shared" si="7"/>
        <v>Prisma</v>
      </c>
      <c r="E19">
        <f>E4-ROUNDUP(E4*0.3,2)</f>
        <v>3.01</v>
      </c>
      <c r="F19">
        <f t="shared" ref="F19:BQ20" si="8">F4-ROUNDUP(F4*0.3,2)</f>
        <v>3.17</v>
      </c>
      <c r="G19">
        <f t="shared" si="8"/>
        <v>3.05</v>
      </c>
      <c r="H19">
        <f t="shared" si="8"/>
        <v>3.08</v>
      </c>
      <c r="I19">
        <f t="shared" si="8"/>
        <v>2.91</v>
      </c>
      <c r="J19">
        <f t="shared" si="8"/>
        <v>3.08</v>
      </c>
      <c r="K19">
        <f t="shared" si="8"/>
        <v>3.3100000000000005</v>
      </c>
      <c r="L19">
        <f t="shared" si="8"/>
        <v>3.2800000000000002</v>
      </c>
      <c r="M19">
        <f t="shared" si="8"/>
        <v>3.17</v>
      </c>
      <c r="N19">
        <f t="shared" si="8"/>
        <v>3.17</v>
      </c>
      <c r="O19">
        <f t="shared" si="8"/>
        <v>3.1799999999999997</v>
      </c>
      <c r="P19">
        <f t="shared" si="8"/>
        <v>2.9499999999999997</v>
      </c>
      <c r="Q19">
        <f t="shared" si="8"/>
        <v>3.0699999999999994</v>
      </c>
      <c r="R19">
        <f t="shared" si="8"/>
        <v>2.9600000000000004</v>
      </c>
      <c r="S19">
        <f t="shared" si="8"/>
        <v>2.84</v>
      </c>
      <c r="T19">
        <f t="shared" si="8"/>
        <v>2.9600000000000004</v>
      </c>
      <c r="U19">
        <f t="shared" si="8"/>
        <v>3.2300000000000004</v>
      </c>
      <c r="V19">
        <f t="shared" si="8"/>
        <v>2.8400000000000003</v>
      </c>
      <c r="W19">
        <f t="shared" si="8"/>
        <v>3.01</v>
      </c>
      <c r="X19">
        <f t="shared" si="8"/>
        <v>2.9600000000000004</v>
      </c>
      <c r="Y19">
        <f t="shared" si="8"/>
        <v>2.94</v>
      </c>
      <c r="Z19">
        <f t="shared" si="8"/>
        <v>0</v>
      </c>
      <c r="AA19">
        <f t="shared" si="8"/>
        <v>0</v>
      </c>
      <c r="AB19">
        <f t="shared" si="8"/>
        <v>0</v>
      </c>
      <c r="AC19">
        <f t="shared" si="8"/>
        <v>0</v>
      </c>
      <c r="AD19">
        <f t="shared" si="8"/>
        <v>0</v>
      </c>
      <c r="AE19">
        <f t="shared" si="8"/>
        <v>0</v>
      </c>
      <c r="AF19">
        <f t="shared" si="8"/>
        <v>0</v>
      </c>
      <c r="AG19">
        <f t="shared" si="8"/>
        <v>0</v>
      </c>
      <c r="AH19">
        <f t="shared" si="8"/>
        <v>0</v>
      </c>
      <c r="AI19">
        <f t="shared" si="8"/>
        <v>0</v>
      </c>
      <c r="AJ19">
        <f t="shared" si="8"/>
        <v>0</v>
      </c>
      <c r="AK19">
        <f t="shared" si="8"/>
        <v>0</v>
      </c>
      <c r="AL19">
        <f t="shared" si="8"/>
        <v>0</v>
      </c>
      <c r="AM19">
        <f t="shared" si="8"/>
        <v>0</v>
      </c>
      <c r="AN19">
        <f t="shared" si="8"/>
        <v>0</v>
      </c>
      <c r="AO19">
        <f t="shared" si="8"/>
        <v>0</v>
      </c>
      <c r="AP19">
        <f t="shared" si="8"/>
        <v>0</v>
      </c>
      <c r="AQ19">
        <f t="shared" si="8"/>
        <v>0</v>
      </c>
      <c r="AR19">
        <f t="shared" si="8"/>
        <v>0</v>
      </c>
      <c r="AS19">
        <f t="shared" si="8"/>
        <v>0</v>
      </c>
      <c r="AT19">
        <f t="shared" si="8"/>
        <v>0</v>
      </c>
      <c r="AU19">
        <f t="shared" si="8"/>
        <v>0</v>
      </c>
      <c r="AV19">
        <f t="shared" si="8"/>
        <v>0</v>
      </c>
      <c r="AW19">
        <f t="shared" si="8"/>
        <v>0</v>
      </c>
      <c r="AX19">
        <f t="shared" si="8"/>
        <v>0</v>
      </c>
      <c r="AY19">
        <f t="shared" si="8"/>
        <v>0</v>
      </c>
      <c r="AZ19">
        <f t="shared" si="8"/>
        <v>0</v>
      </c>
      <c r="BA19">
        <f t="shared" si="8"/>
        <v>0</v>
      </c>
      <c r="BB19">
        <f t="shared" si="8"/>
        <v>0</v>
      </c>
      <c r="BC19">
        <f t="shared" si="8"/>
        <v>0</v>
      </c>
      <c r="BD19">
        <f t="shared" si="8"/>
        <v>0</v>
      </c>
      <c r="BE19">
        <f t="shared" si="8"/>
        <v>0</v>
      </c>
      <c r="BF19">
        <f t="shared" si="8"/>
        <v>0</v>
      </c>
      <c r="BG19">
        <f t="shared" si="8"/>
        <v>0</v>
      </c>
      <c r="BH19">
        <f t="shared" si="8"/>
        <v>0</v>
      </c>
      <c r="BI19">
        <f t="shared" si="8"/>
        <v>0</v>
      </c>
      <c r="BJ19">
        <f t="shared" si="8"/>
        <v>0</v>
      </c>
      <c r="BK19">
        <f t="shared" si="8"/>
        <v>0</v>
      </c>
      <c r="BL19">
        <f t="shared" si="8"/>
        <v>0</v>
      </c>
      <c r="BM19">
        <f t="shared" si="8"/>
        <v>0</v>
      </c>
      <c r="BN19">
        <f t="shared" si="8"/>
        <v>0</v>
      </c>
      <c r="BO19">
        <f t="shared" si="8"/>
        <v>0</v>
      </c>
      <c r="BP19">
        <f t="shared" si="8"/>
        <v>0</v>
      </c>
      <c r="BQ19">
        <f t="shared" si="8"/>
        <v>0</v>
      </c>
      <c r="BR19">
        <f t="shared" ref="BR19:EC22" si="9">BR4-ROUNDUP(BR4*0.3,2)</f>
        <v>0</v>
      </c>
      <c r="BS19">
        <f t="shared" si="9"/>
        <v>0</v>
      </c>
      <c r="BT19">
        <f t="shared" si="9"/>
        <v>0</v>
      </c>
      <c r="BU19">
        <f t="shared" si="9"/>
        <v>0</v>
      </c>
      <c r="BV19">
        <f t="shared" si="9"/>
        <v>0</v>
      </c>
      <c r="BW19">
        <f t="shared" si="9"/>
        <v>0</v>
      </c>
      <c r="BX19">
        <f t="shared" si="9"/>
        <v>0</v>
      </c>
      <c r="BY19">
        <f t="shared" si="9"/>
        <v>0</v>
      </c>
      <c r="BZ19">
        <f t="shared" si="9"/>
        <v>0</v>
      </c>
      <c r="CA19">
        <f t="shared" si="9"/>
        <v>0</v>
      </c>
      <c r="CB19">
        <f t="shared" si="9"/>
        <v>0</v>
      </c>
      <c r="CC19">
        <f t="shared" si="9"/>
        <v>0</v>
      </c>
      <c r="CD19">
        <f t="shared" si="9"/>
        <v>0</v>
      </c>
      <c r="CE19">
        <f t="shared" si="9"/>
        <v>0</v>
      </c>
      <c r="CF19">
        <f t="shared" si="9"/>
        <v>0</v>
      </c>
      <c r="CG19">
        <f t="shared" si="9"/>
        <v>0</v>
      </c>
      <c r="CH19">
        <f t="shared" si="9"/>
        <v>0</v>
      </c>
      <c r="CI19">
        <f t="shared" si="9"/>
        <v>0</v>
      </c>
      <c r="CJ19">
        <f t="shared" si="9"/>
        <v>0</v>
      </c>
      <c r="CK19">
        <f t="shared" si="9"/>
        <v>0</v>
      </c>
      <c r="CL19">
        <f t="shared" si="9"/>
        <v>0</v>
      </c>
      <c r="CM19">
        <f t="shared" si="9"/>
        <v>0</v>
      </c>
      <c r="CN19">
        <f t="shared" si="9"/>
        <v>0</v>
      </c>
      <c r="CO19">
        <f t="shared" si="9"/>
        <v>0</v>
      </c>
      <c r="CP19">
        <f t="shared" si="9"/>
        <v>0</v>
      </c>
      <c r="CQ19">
        <f t="shared" si="9"/>
        <v>0</v>
      </c>
      <c r="CR19">
        <f t="shared" si="9"/>
        <v>0</v>
      </c>
      <c r="CS19">
        <f t="shared" si="9"/>
        <v>0</v>
      </c>
      <c r="CT19">
        <f t="shared" si="9"/>
        <v>0</v>
      </c>
      <c r="CU19">
        <f t="shared" si="9"/>
        <v>0</v>
      </c>
      <c r="CV19">
        <f t="shared" si="9"/>
        <v>0</v>
      </c>
      <c r="CW19">
        <f t="shared" si="9"/>
        <v>0</v>
      </c>
      <c r="CX19">
        <f t="shared" si="9"/>
        <v>0</v>
      </c>
      <c r="CY19">
        <f t="shared" si="9"/>
        <v>0</v>
      </c>
      <c r="CZ19">
        <f t="shared" si="9"/>
        <v>0</v>
      </c>
      <c r="DA19">
        <f t="shared" si="9"/>
        <v>0</v>
      </c>
      <c r="DB19">
        <f t="shared" si="9"/>
        <v>0</v>
      </c>
      <c r="DC19">
        <f t="shared" si="9"/>
        <v>0</v>
      </c>
      <c r="DD19">
        <f t="shared" si="9"/>
        <v>0</v>
      </c>
      <c r="DE19">
        <f t="shared" si="9"/>
        <v>0</v>
      </c>
      <c r="DF19">
        <f t="shared" si="9"/>
        <v>0</v>
      </c>
      <c r="DG19">
        <f t="shared" si="9"/>
        <v>0</v>
      </c>
      <c r="DH19">
        <f t="shared" si="9"/>
        <v>0</v>
      </c>
      <c r="DI19">
        <f t="shared" si="9"/>
        <v>0</v>
      </c>
      <c r="DJ19">
        <f t="shared" si="9"/>
        <v>0</v>
      </c>
      <c r="DK19">
        <f t="shared" si="9"/>
        <v>0</v>
      </c>
      <c r="DL19">
        <f t="shared" si="9"/>
        <v>0</v>
      </c>
      <c r="DM19">
        <f t="shared" si="9"/>
        <v>0</v>
      </c>
      <c r="DN19">
        <f t="shared" si="9"/>
        <v>0</v>
      </c>
      <c r="DO19">
        <f t="shared" si="9"/>
        <v>0</v>
      </c>
      <c r="DP19">
        <f t="shared" si="9"/>
        <v>0</v>
      </c>
      <c r="DQ19">
        <f t="shared" si="9"/>
        <v>0</v>
      </c>
      <c r="DR19">
        <f t="shared" si="9"/>
        <v>0</v>
      </c>
      <c r="DS19">
        <f t="shared" si="9"/>
        <v>0</v>
      </c>
      <c r="DT19">
        <f t="shared" si="9"/>
        <v>0</v>
      </c>
      <c r="DU19">
        <f t="shared" si="9"/>
        <v>0</v>
      </c>
      <c r="DV19">
        <f t="shared" si="9"/>
        <v>0</v>
      </c>
      <c r="DW19">
        <f t="shared" si="9"/>
        <v>0</v>
      </c>
      <c r="DX19">
        <f t="shared" si="9"/>
        <v>0</v>
      </c>
      <c r="DY19">
        <f t="shared" si="9"/>
        <v>0</v>
      </c>
      <c r="DZ19">
        <f t="shared" si="9"/>
        <v>0</v>
      </c>
      <c r="EA19">
        <f t="shared" si="9"/>
        <v>0</v>
      </c>
      <c r="EB19">
        <f t="shared" si="9"/>
        <v>0</v>
      </c>
      <c r="EC19">
        <f t="shared" si="9"/>
        <v>0</v>
      </c>
      <c r="ED19">
        <f t="shared" ref="ED19:FU21" si="10">ED4-ROUNDUP(ED4*0.3,2)</f>
        <v>0</v>
      </c>
      <c r="EE19">
        <f t="shared" si="10"/>
        <v>0</v>
      </c>
      <c r="EF19">
        <f t="shared" si="10"/>
        <v>0</v>
      </c>
      <c r="EG19">
        <f t="shared" si="10"/>
        <v>0</v>
      </c>
      <c r="EH19">
        <f t="shared" si="10"/>
        <v>0</v>
      </c>
      <c r="EI19">
        <f t="shared" si="10"/>
        <v>0</v>
      </c>
      <c r="EJ19">
        <f t="shared" si="10"/>
        <v>0</v>
      </c>
      <c r="EK19">
        <f t="shared" si="10"/>
        <v>0</v>
      </c>
      <c r="EL19">
        <f t="shared" si="10"/>
        <v>0</v>
      </c>
      <c r="EM19">
        <f t="shared" si="10"/>
        <v>0</v>
      </c>
      <c r="EN19">
        <f t="shared" si="10"/>
        <v>0</v>
      </c>
      <c r="EO19">
        <f t="shared" si="10"/>
        <v>0</v>
      </c>
      <c r="EP19">
        <f t="shared" si="10"/>
        <v>0</v>
      </c>
      <c r="EQ19">
        <f t="shared" si="10"/>
        <v>0</v>
      </c>
      <c r="ER19">
        <f t="shared" si="10"/>
        <v>0</v>
      </c>
      <c r="ES19">
        <f t="shared" si="10"/>
        <v>0</v>
      </c>
      <c r="ET19">
        <f t="shared" si="10"/>
        <v>0</v>
      </c>
      <c r="EU19">
        <f t="shared" si="10"/>
        <v>0</v>
      </c>
      <c r="EV19">
        <f t="shared" si="10"/>
        <v>0</v>
      </c>
      <c r="EW19">
        <f t="shared" si="10"/>
        <v>0</v>
      </c>
      <c r="EX19">
        <f t="shared" si="10"/>
        <v>0</v>
      </c>
      <c r="EY19">
        <f t="shared" si="10"/>
        <v>0</v>
      </c>
      <c r="EZ19">
        <f t="shared" si="10"/>
        <v>0</v>
      </c>
      <c r="FA19">
        <f t="shared" si="10"/>
        <v>0</v>
      </c>
      <c r="FB19">
        <f t="shared" si="10"/>
        <v>0</v>
      </c>
      <c r="FC19">
        <f t="shared" si="10"/>
        <v>0</v>
      </c>
      <c r="FD19">
        <f t="shared" si="10"/>
        <v>0</v>
      </c>
      <c r="FE19">
        <f t="shared" si="10"/>
        <v>0</v>
      </c>
      <c r="FF19">
        <f t="shared" si="10"/>
        <v>0</v>
      </c>
      <c r="FG19">
        <f t="shared" si="10"/>
        <v>0</v>
      </c>
      <c r="FH19">
        <f t="shared" si="10"/>
        <v>0</v>
      </c>
      <c r="FI19">
        <f t="shared" si="10"/>
        <v>0</v>
      </c>
      <c r="FJ19">
        <f t="shared" si="10"/>
        <v>0</v>
      </c>
      <c r="FK19">
        <f t="shared" si="10"/>
        <v>0</v>
      </c>
      <c r="FL19">
        <f t="shared" si="10"/>
        <v>0</v>
      </c>
      <c r="FM19">
        <f t="shared" si="10"/>
        <v>0</v>
      </c>
      <c r="FN19">
        <f t="shared" si="10"/>
        <v>0</v>
      </c>
      <c r="FO19">
        <f t="shared" si="10"/>
        <v>0</v>
      </c>
      <c r="FP19">
        <f t="shared" si="10"/>
        <v>0</v>
      </c>
      <c r="FQ19">
        <f t="shared" si="10"/>
        <v>0</v>
      </c>
      <c r="FR19">
        <f t="shared" si="10"/>
        <v>0</v>
      </c>
      <c r="FS19">
        <f t="shared" si="10"/>
        <v>0</v>
      </c>
      <c r="FT19">
        <f t="shared" si="10"/>
        <v>0</v>
      </c>
      <c r="FU19">
        <f t="shared" si="10"/>
        <v>0</v>
      </c>
    </row>
    <row r="20" spans="1:177" x14ac:dyDescent="0.25">
      <c r="A20" t="str">
        <f t="shared" ref="A20:D20" si="11">A5</f>
        <v>AWP</v>
      </c>
      <c r="B20" t="str">
        <f t="shared" si="11"/>
        <v>Neo-Noir FN</v>
      </c>
      <c r="C20" t="str">
        <f t="shared" si="11"/>
        <v>AWP</v>
      </c>
      <c r="D20" t="str">
        <f t="shared" si="11"/>
        <v>Danger Zone</v>
      </c>
      <c r="E20">
        <f t="shared" ref="E20:T25" si="12">E5-ROUNDUP(E5*0.3,2)</f>
        <v>32.9</v>
      </c>
      <c r="F20">
        <f t="shared" si="12"/>
        <v>32.15</v>
      </c>
      <c r="G20">
        <f t="shared" si="12"/>
        <v>31.17</v>
      </c>
      <c r="H20">
        <f t="shared" si="12"/>
        <v>31.849999999999998</v>
      </c>
      <c r="I20">
        <f t="shared" si="12"/>
        <v>32.229999999999997</v>
      </c>
      <c r="J20">
        <f t="shared" si="12"/>
        <v>32.25</v>
      </c>
      <c r="K20">
        <f t="shared" si="12"/>
        <v>32.590000000000003</v>
      </c>
      <c r="L20">
        <f t="shared" si="12"/>
        <v>33.379999999999995</v>
      </c>
      <c r="M20">
        <f t="shared" si="12"/>
        <v>30.869999999999997</v>
      </c>
      <c r="N20">
        <f t="shared" si="12"/>
        <v>30.799999999999997</v>
      </c>
      <c r="O20">
        <f t="shared" si="12"/>
        <v>31.65</v>
      </c>
      <c r="P20">
        <f t="shared" si="12"/>
        <v>32.58</v>
      </c>
      <c r="Q20">
        <f t="shared" si="12"/>
        <v>32.879999999999995</v>
      </c>
      <c r="R20">
        <f t="shared" si="12"/>
        <v>30.75</v>
      </c>
      <c r="S20">
        <f t="shared" si="12"/>
        <v>32.47</v>
      </c>
      <c r="T20">
        <f t="shared" si="12"/>
        <v>32.449999999999996</v>
      </c>
      <c r="U20">
        <f t="shared" si="8"/>
        <v>33.480000000000004</v>
      </c>
      <c r="V20">
        <f t="shared" si="8"/>
        <v>31.410000000000004</v>
      </c>
      <c r="W20">
        <f t="shared" si="8"/>
        <v>33.64</v>
      </c>
      <c r="X20">
        <f t="shared" si="8"/>
        <v>33.83</v>
      </c>
      <c r="Y20">
        <f t="shared" si="8"/>
        <v>33.379999999999995</v>
      </c>
      <c r="Z20">
        <f t="shared" si="8"/>
        <v>0</v>
      </c>
      <c r="AA20">
        <f t="shared" si="8"/>
        <v>0</v>
      </c>
      <c r="AB20">
        <f t="shared" si="8"/>
        <v>0</v>
      </c>
      <c r="AC20">
        <f t="shared" si="8"/>
        <v>0</v>
      </c>
      <c r="AD20">
        <f t="shared" si="8"/>
        <v>0</v>
      </c>
      <c r="AE20">
        <f t="shared" si="8"/>
        <v>0</v>
      </c>
      <c r="AF20">
        <f t="shared" si="8"/>
        <v>0</v>
      </c>
      <c r="AG20">
        <f t="shared" si="8"/>
        <v>0</v>
      </c>
      <c r="AH20">
        <f t="shared" si="8"/>
        <v>0</v>
      </c>
      <c r="AI20">
        <f t="shared" si="8"/>
        <v>0</v>
      </c>
      <c r="AJ20">
        <f t="shared" si="8"/>
        <v>0</v>
      </c>
      <c r="AK20">
        <f t="shared" si="8"/>
        <v>0</v>
      </c>
      <c r="AL20">
        <f t="shared" si="8"/>
        <v>0</v>
      </c>
      <c r="AM20">
        <f t="shared" si="8"/>
        <v>0</v>
      </c>
      <c r="AN20">
        <f t="shared" si="8"/>
        <v>0</v>
      </c>
      <c r="AO20">
        <f t="shared" si="8"/>
        <v>0</v>
      </c>
      <c r="AP20">
        <f t="shared" si="8"/>
        <v>0</v>
      </c>
      <c r="AQ20">
        <f t="shared" si="8"/>
        <v>0</v>
      </c>
      <c r="AR20">
        <f t="shared" si="8"/>
        <v>0</v>
      </c>
      <c r="AS20">
        <f t="shared" si="8"/>
        <v>0</v>
      </c>
      <c r="AT20">
        <f t="shared" si="8"/>
        <v>0</v>
      </c>
      <c r="AU20">
        <f t="shared" si="8"/>
        <v>0</v>
      </c>
      <c r="AV20">
        <f t="shared" si="8"/>
        <v>0</v>
      </c>
      <c r="AW20">
        <f t="shared" si="8"/>
        <v>0</v>
      </c>
      <c r="AX20">
        <f t="shared" si="8"/>
        <v>0</v>
      </c>
      <c r="AY20">
        <f t="shared" si="8"/>
        <v>0</v>
      </c>
      <c r="AZ20">
        <f t="shared" si="8"/>
        <v>0</v>
      </c>
      <c r="BA20">
        <f t="shared" si="8"/>
        <v>0</v>
      </c>
      <c r="BB20">
        <f t="shared" si="8"/>
        <v>0</v>
      </c>
      <c r="BC20">
        <f t="shared" si="8"/>
        <v>0</v>
      </c>
      <c r="BD20">
        <f t="shared" si="8"/>
        <v>0</v>
      </c>
      <c r="BE20">
        <f t="shared" si="8"/>
        <v>0</v>
      </c>
      <c r="BF20">
        <f t="shared" si="8"/>
        <v>0</v>
      </c>
      <c r="BG20">
        <f t="shared" si="8"/>
        <v>0</v>
      </c>
      <c r="BH20">
        <f t="shared" si="8"/>
        <v>0</v>
      </c>
      <c r="BI20">
        <f t="shared" si="8"/>
        <v>0</v>
      </c>
      <c r="BJ20">
        <f t="shared" si="8"/>
        <v>0</v>
      </c>
      <c r="BK20">
        <f t="shared" si="8"/>
        <v>0</v>
      </c>
      <c r="BL20">
        <f t="shared" si="8"/>
        <v>0</v>
      </c>
      <c r="BM20">
        <f t="shared" si="8"/>
        <v>0</v>
      </c>
      <c r="BN20">
        <f t="shared" si="8"/>
        <v>0</v>
      </c>
      <c r="BO20">
        <f t="shared" si="8"/>
        <v>0</v>
      </c>
      <c r="BP20">
        <f t="shared" si="8"/>
        <v>0</v>
      </c>
      <c r="BQ20">
        <f t="shared" si="8"/>
        <v>0</v>
      </c>
      <c r="BR20">
        <f t="shared" si="9"/>
        <v>0</v>
      </c>
      <c r="BS20">
        <f t="shared" si="9"/>
        <v>0</v>
      </c>
      <c r="BT20">
        <f t="shared" si="9"/>
        <v>0</v>
      </c>
      <c r="BU20">
        <f t="shared" si="9"/>
        <v>0</v>
      </c>
      <c r="BV20">
        <f t="shared" si="9"/>
        <v>0</v>
      </c>
      <c r="BW20">
        <f t="shared" si="9"/>
        <v>0</v>
      </c>
      <c r="BX20">
        <f t="shared" si="9"/>
        <v>0</v>
      </c>
      <c r="BY20">
        <f t="shared" si="9"/>
        <v>0</v>
      </c>
      <c r="BZ20">
        <f t="shared" si="9"/>
        <v>0</v>
      </c>
      <c r="CA20">
        <f t="shared" si="9"/>
        <v>0</v>
      </c>
      <c r="CB20">
        <f t="shared" si="9"/>
        <v>0</v>
      </c>
      <c r="CC20">
        <f t="shared" si="9"/>
        <v>0</v>
      </c>
      <c r="CD20">
        <f t="shared" si="9"/>
        <v>0</v>
      </c>
      <c r="CE20">
        <f t="shared" si="9"/>
        <v>0</v>
      </c>
      <c r="CF20">
        <f t="shared" si="9"/>
        <v>0</v>
      </c>
      <c r="CG20">
        <f t="shared" si="9"/>
        <v>0</v>
      </c>
      <c r="CH20">
        <f t="shared" si="9"/>
        <v>0</v>
      </c>
      <c r="CI20">
        <f t="shared" si="9"/>
        <v>0</v>
      </c>
      <c r="CJ20">
        <f t="shared" si="9"/>
        <v>0</v>
      </c>
      <c r="CK20">
        <f t="shared" si="9"/>
        <v>0</v>
      </c>
      <c r="CL20">
        <f t="shared" si="9"/>
        <v>0</v>
      </c>
      <c r="CM20">
        <f t="shared" si="9"/>
        <v>0</v>
      </c>
      <c r="CN20">
        <f t="shared" si="9"/>
        <v>0</v>
      </c>
      <c r="CO20">
        <f t="shared" si="9"/>
        <v>0</v>
      </c>
      <c r="CP20">
        <f t="shared" si="9"/>
        <v>0</v>
      </c>
      <c r="CQ20">
        <f t="shared" si="9"/>
        <v>0</v>
      </c>
      <c r="CR20">
        <f t="shared" si="9"/>
        <v>0</v>
      </c>
      <c r="CS20">
        <f t="shared" si="9"/>
        <v>0</v>
      </c>
      <c r="CT20">
        <f t="shared" si="9"/>
        <v>0</v>
      </c>
      <c r="CU20">
        <f t="shared" si="9"/>
        <v>0</v>
      </c>
      <c r="CV20">
        <f t="shared" si="9"/>
        <v>0</v>
      </c>
      <c r="CW20">
        <f t="shared" si="9"/>
        <v>0</v>
      </c>
      <c r="CX20">
        <f t="shared" si="9"/>
        <v>0</v>
      </c>
      <c r="CY20">
        <f t="shared" si="9"/>
        <v>0</v>
      </c>
      <c r="CZ20">
        <f t="shared" si="9"/>
        <v>0</v>
      </c>
      <c r="DA20">
        <f t="shared" si="9"/>
        <v>0</v>
      </c>
      <c r="DB20">
        <f t="shared" si="9"/>
        <v>0</v>
      </c>
      <c r="DC20">
        <f t="shared" si="9"/>
        <v>0</v>
      </c>
      <c r="DD20">
        <f t="shared" si="9"/>
        <v>0</v>
      </c>
      <c r="DE20">
        <f t="shared" si="9"/>
        <v>0</v>
      </c>
      <c r="DF20">
        <f t="shared" si="9"/>
        <v>0</v>
      </c>
      <c r="DG20">
        <f t="shared" si="9"/>
        <v>0</v>
      </c>
      <c r="DH20">
        <f t="shared" si="9"/>
        <v>0</v>
      </c>
      <c r="DI20">
        <f t="shared" si="9"/>
        <v>0</v>
      </c>
      <c r="DJ20">
        <f t="shared" si="9"/>
        <v>0</v>
      </c>
      <c r="DK20">
        <f t="shared" si="9"/>
        <v>0</v>
      </c>
      <c r="DL20">
        <f t="shared" si="9"/>
        <v>0</v>
      </c>
      <c r="DM20">
        <f t="shared" si="9"/>
        <v>0</v>
      </c>
      <c r="DN20">
        <f t="shared" si="9"/>
        <v>0</v>
      </c>
      <c r="DO20">
        <f t="shared" si="9"/>
        <v>0</v>
      </c>
      <c r="DP20">
        <f t="shared" si="9"/>
        <v>0</v>
      </c>
      <c r="DQ20">
        <f t="shared" si="9"/>
        <v>0</v>
      </c>
      <c r="DR20">
        <f t="shared" si="9"/>
        <v>0</v>
      </c>
      <c r="DS20">
        <f t="shared" si="9"/>
        <v>0</v>
      </c>
      <c r="DT20">
        <f t="shared" si="9"/>
        <v>0</v>
      </c>
      <c r="DU20">
        <f t="shared" si="9"/>
        <v>0</v>
      </c>
      <c r="DV20">
        <f t="shared" si="9"/>
        <v>0</v>
      </c>
      <c r="DW20">
        <f t="shared" si="9"/>
        <v>0</v>
      </c>
      <c r="DX20">
        <f t="shared" si="9"/>
        <v>0</v>
      </c>
      <c r="DY20">
        <f t="shared" si="9"/>
        <v>0</v>
      </c>
      <c r="DZ20">
        <f t="shared" si="9"/>
        <v>0</v>
      </c>
      <c r="EA20">
        <f t="shared" si="9"/>
        <v>0</v>
      </c>
      <c r="EB20">
        <f t="shared" si="9"/>
        <v>0</v>
      </c>
      <c r="EC20">
        <f t="shared" si="9"/>
        <v>0</v>
      </c>
      <c r="ED20">
        <f t="shared" si="10"/>
        <v>0</v>
      </c>
      <c r="EE20">
        <f t="shared" si="10"/>
        <v>0</v>
      </c>
      <c r="EF20">
        <f t="shared" si="10"/>
        <v>0</v>
      </c>
      <c r="EG20">
        <f t="shared" si="10"/>
        <v>0</v>
      </c>
      <c r="EH20">
        <f t="shared" si="10"/>
        <v>0</v>
      </c>
      <c r="EI20">
        <f t="shared" si="10"/>
        <v>0</v>
      </c>
      <c r="EJ20">
        <f t="shared" si="10"/>
        <v>0</v>
      </c>
      <c r="EK20">
        <f t="shared" si="10"/>
        <v>0</v>
      </c>
      <c r="EL20">
        <f t="shared" si="10"/>
        <v>0</v>
      </c>
      <c r="EM20">
        <f t="shared" si="10"/>
        <v>0</v>
      </c>
      <c r="EN20">
        <f t="shared" si="10"/>
        <v>0</v>
      </c>
      <c r="EO20">
        <f t="shared" si="10"/>
        <v>0</v>
      </c>
      <c r="EP20">
        <f t="shared" si="10"/>
        <v>0</v>
      </c>
      <c r="EQ20">
        <f t="shared" si="10"/>
        <v>0</v>
      </c>
      <c r="ER20">
        <f t="shared" si="10"/>
        <v>0</v>
      </c>
      <c r="ES20">
        <f t="shared" si="10"/>
        <v>0</v>
      </c>
      <c r="ET20">
        <f t="shared" si="10"/>
        <v>0</v>
      </c>
      <c r="EU20">
        <f t="shared" si="10"/>
        <v>0</v>
      </c>
      <c r="EV20">
        <f t="shared" si="10"/>
        <v>0</v>
      </c>
      <c r="EW20">
        <f t="shared" si="10"/>
        <v>0</v>
      </c>
      <c r="EX20">
        <f t="shared" si="10"/>
        <v>0</v>
      </c>
      <c r="EY20">
        <f t="shared" si="10"/>
        <v>0</v>
      </c>
      <c r="EZ20">
        <f t="shared" si="10"/>
        <v>0</v>
      </c>
      <c r="FA20">
        <f t="shared" si="10"/>
        <v>0</v>
      </c>
      <c r="FB20">
        <f t="shared" si="10"/>
        <v>0</v>
      </c>
      <c r="FC20">
        <f t="shared" si="10"/>
        <v>0</v>
      </c>
      <c r="FD20">
        <f t="shared" si="10"/>
        <v>0</v>
      </c>
      <c r="FE20">
        <f t="shared" si="10"/>
        <v>0</v>
      </c>
      <c r="FF20">
        <f t="shared" si="10"/>
        <v>0</v>
      </c>
      <c r="FG20">
        <f t="shared" si="10"/>
        <v>0</v>
      </c>
      <c r="FH20">
        <f t="shared" si="10"/>
        <v>0</v>
      </c>
      <c r="FI20">
        <f t="shared" si="10"/>
        <v>0</v>
      </c>
      <c r="FJ20">
        <f t="shared" si="10"/>
        <v>0</v>
      </c>
      <c r="FK20">
        <f t="shared" si="10"/>
        <v>0</v>
      </c>
      <c r="FL20">
        <f t="shared" si="10"/>
        <v>0</v>
      </c>
      <c r="FM20">
        <f t="shared" si="10"/>
        <v>0</v>
      </c>
      <c r="FN20">
        <f t="shared" si="10"/>
        <v>0</v>
      </c>
      <c r="FO20">
        <f t="shared" si="10"/>
        <v>0</v>
      </c>
      <c r="FP20">
        <f t="shared" si="10"/>
        <v>0</v>
      </c>
      <c r="FQ20">
        <f t="shared" si="10"/>
        <v>0</v>
      </c>
      <c r="FR20">
        <f t="shared" si="10"/>
        <v>0</v>
      </c>
      <c r="FS20">
        <f t="shared" si="10"/>
        <v>0</v>
      </c>
      <c r="FT20">
        <f t="shared" si="10"/>
        <v>0</v>
      </c>
      <c r="FU20">
        <f t="shared" si="10"/>
        <v>0</v>
      </c>
    </row>
    <row r="21" spans="1:177" x14ac:dyDescent="0.25">
      <c r="A21" t="str">
        <f t="shared" ref="A21:D21" si="13">A6</f>
        <v>AWP</v>
      </c>
      <c r="B21" t="str">
        <f t="shared" si="13"/>
        <v>Boom MW</v>
      </c>
      <c r="C21" t="str">
        <f t="shared" si="13"/>
        <v>AWP</v>
      </c>
      <c r="D21" t="str">
        <f t="shared" si="13"/>
        <v>eSports 2013</v>
      </c>
      <c r="E21">
        <f t="shared" si="12"/>
        <v>36.79</v>
      </c>
      <c r="F21">
        <f t="shared" ref="F21:BQ24" si="14">F6-ROUNDUP(F6*0.3,2)</f>
        <v>35.580000000000005</v>
      </c>
      <c r="G21">
        <f t="shared" si="14"/>
        <v>42.78</v>
      </c>
      <c r="H21">
        <f t="shared" si="14"/>
        <v>38.44</v>
      </c>
      <c r="I21">
        <f t="shared" si="14"/>
        <v>38.49</v>
      </c>
      <c r="J21">
        <f t="shared" si="14"/>
        <v>36.57</v>
      </c>
      <c r="K21">
        <f t="shared" si="14"/>
        <v>39.22</v>
      </c>
      <c r="L21">
        <f t="shared" si="14"/>
        <v>38.89</v>
      </c>
      <c r="M21">
        <f t="shared" si="14"/>
        <v>38.33</v>
      </c>
      <c r="N21">
        <f t="shared" si="14"/>
        <v>38.49</v>
      </c>
      <c r="O21">
        <f t="shared" si="14"/>
        <v>38.290000000000006</v>
      </c>
      <c r="P21">
        <f t="shared" si="14"/>
        <v>36.620000000000005</v>
      </c>
      <c r="Q21">
        <f t="shared" si="14"/>
        <v>38.229999999999997</v>
      </c>
      <c r="R21">
        <f t="shared" si="14"/>
        <v>38.760000000000005</v>
      </c>
      <c r="S21">
        <f t="shared" si="14"/>
        <v>37.630000000000003</v>
      </c>
      <c r="T21">
        <f t="shared" si="14"/>
        <v>39.25</v>
      </c>
      <c r="U21">
        <f t="shared" si="14"/>
        <v>39.25</v>
      </c>
      <c r="V21">
        <f t="shared" si="14"/>
        <v>40.15</v>
      </c>
      <c r="W21">
        <f t="shared" si="14"/>
        <v>38.78</v>
      </c>
      <c r="X21">
        <f t="shared" si="14"/>
        <v>38.680000000000007</v>
      </c>
      <c r="Y21">
        <f t="shared" si="14"/>
        <v>37.909999999999997</v>
      </c>
      <c r="Z21">
        <f t="shared" si="14"/>
        <v>0</v>
      </c>
      <c r="AA21">
        <f t="shared" si="14"/>
        <v>0</v>
      </c>
      <c r="AB21">
        <f t="shared" si="14"/>
        <v>0</v>
      </c>
      <c r="AC21">
        <f t="shared" si="14"/>
        <v>0</v>
      </c>
      <c r="AD21">
        <f t="shared" si="14"/>
        <v>0</v>
      </c>
      <c r="AE21">
        <f t="shared" si="14"/>
        <v>0</v>
      </c>
      <c r="AF21">
        <f t="shared" si="14"/>
        <v>0</v>
      </c>
      <c r="AG21">
        <f t="shared" si="14"/>
        <v>0</v>
      </c>
      <c r="AH21">
        <f t="shared" si="14"/>
        <v>0</v>
      </c>
      <c r="AI21">
        <f t="shared" si="14"/>
        <v>0</v>
      </c>
      <c r="AJ21">
        <f t="shared" si="14"/>
        <v>0</v>
      </c>
      <c r="AK21">
        <f t="shared" si="14"/>
        <v>0</v>
      </c>
      <c r="AL21">
        <f t="shared" si="14"/>
        <v>0</v>
      </c>
      <c r="AM21">
        <f t="shared" si="14"/>
        <v>0</v>
      </c>
      <c r="AN21">
        <f t="shared" si="14"/>
        <v>0</v>
      </c>
      <c r="AO21">
        <f t="shared" si="14"/>
        <v>0</v>
      </c>
      <c r="AP21">
        <f t="shared" si="14"/>
        <v>0</v>
      </c>
      <c r="AQ21">
        <f t="shared" si="14"/>
        <v>0</v>
      </c>
      <c r="AR21">
        <f t="shared" si="14"/>
        <v>0</v>
      </c>
      <c r="AS21">
        <f t="shared" si="14"/>
        <v>0</v>
      </c>
      <c r="AT21">
        <f t="shared" si="14"/>
        <v>0</v>
      </c>
      <c r="AU21">
        <f t="shared" si="14"/>
        <v>0</v>
      </c>
      <c r="AV21">
        <f t="shared" si="14"/>
        <v>0</v>
      </c>
      <c r="AW21">
        <f t="shared" si="14"/>
        <v>0</v>
      </c>
      <c r="AX21">
        <f t="shared" si="14"/>
        <v>0</v>
      </c>
      <c r="AY21">
        <f t="shared" si="14"/>
        <v>0</v>
      </c>
      <c r="AZ21">
        <f t="shared" si="14"/>
        <v>0</v>
      </c>
      <c r="BA21">
        <f t="shared" si="14"/>
        <v>0</v>
      </c>
      <c r="BB21">
        <f t="shared" si="14"/>
        <v>0</v>
      </c>
      <c r="BC21">
        <f t="shared" si="14"/>
        <v>0</v>
      </c>
      <c r="BD21">
        <f t="shared" si="14"/>
        <v>0</v>
      </c>
      <c r="BE21">
        <f t="shared" si="14"/>
        <v>0</v>
      </c>
      <c r="BF21">
        <f t="shared" si="14"/>
        <v>0</v>
      </c>
      <c r="BG21">
        <f t="shared" si="14"/>
        <v>0</v>
      </c>
      <c r="BH21">
        <f t="shared" si="14"/>
        <v>0</v>
      </c>
      <c r="BI21">
        <f t="shared" si="14"/>
        <v>0</v>
      </c>
      <c r="BJ21">
        <f t="shared" si="14"/>
        <v>0</v>
      </c>
      <c r="BK21">
        <f t="shared" si="14"/>
        <v>0</v>
      </c>
      <c r="BL21">
        <f t="shared" si="14"/>
        <v>0</v>
      </c>
      <c r="BM21">
        <f t="shared" si="14"/>
        <v>0</v>
      </c>
      <c r="BN21">
        <f t="shared" si="14"/>
        <v>0</v>
      </c>
      <c r="BO21">
        <f t="shared" si="14"/>
        <v>0</v>
      </c>
      <c r="BP21">
        <f t="shared" si="14"/>
        <v>0</v>
      </c>
      <c r="BQ21">
        <f t="shared" si="14"/>
        <v>0</v>
      </c>
      <c r="BR21">
        <f t="shared" si="9"/>
        <v>0</v>
      </c>
      <c r="BS21">
        <f t="shared" si="9"/>
        <v>0</v>
      </c>
      <c r="BT21">
        <f t="shared" si="9"/>
        <v>0</v>
      </c>
      <c r="BU21">
        <f t="shared" si="9"/>
        <v>0</v>
      </c>
      <c r="BV21">
        <f t="shared" si="9"/>
        <v>0</v>
      </c>
      <c r="BW21">
        <f t="shared" si="9"/>
        <v>0</v>
      </c>
      <c r="BX21">
        <f t="shared" si="9"/>
        <v>0</v>
      </c>
      <c r="BY21">
        <f t="shared" si="9"/>
        <v>0</v>
      </c>
      <c r="BZ21">
        <f t="shared" si="9"/>
        <v>0</v>
      </c>
      <c r="CA21">
        <f t="shared" si="9"/>
        <v>0</v>
      </c>
      <c r="CB21">
        <f t="shared" si="9"/>
        <v>0</v>
      </c>
      <c r="CC21">
        <f t="shared" si="9"/>
        <v>0</v>
      </c>
      <c r="CD21">
        <f t="shared" si="9"/>
        <v>0</v>
      </c>
      <c r="CE21">
        <f t="shared" si="9"/>
        <v>0</v>
      </c>
      <c r="CF21">
        <f t="shared" si="9"/>
        <v>0</v>
      </c>
      <c r="CG21">
        <f t="shared" si="9"/>
        <v>0</v>
      </c>
      <c r="CH21">
        <f t="shared" si="9"/>
        <v>0</v>
      </c>
      <c r="CI21">
        <f t="shared" si="9"/>
        <v>0</v>
      </c>
      <c r="CJ21">
        <f t="shared" si="9"/>
        <v>0</v>
      </c>
      <c r="CK21">
        <f t="shared" si="9"/>
        <v>0</v>
      </c>
      <c r="CL21">
        <f t="shared" si="9"/>
        <v>0</v>
      </c>
      <c r="CM21">
        <f t="shared" si="9"/>
        <v>0</v>
      </c>
      <c r="CN21">
        <f t="shared" si="9"/>
        <v>0</v>
      </c>
      <c r="CO21">
        <f t="shared" si="9"/>
        <v>0</v>
      </c>
      <c r="CP21">
        <f t="shared" si="9"/>
        <v>0</v>
      </c>
      <c r="CQ21">
        <f t="shared" si="9"/>
        <v>0</v>
      </c>
      <c r="CR21">
        <f t="shared" si="9"/>
        <v>0</v>
      </c>
      <c r="CS21">
        <f t="shared" si="9"/>
        <v>0</v>
      </c>
      <c r="CT21">
        <f t="shared" si="9"/>
        <v>0</v>
      </c>
      <c r="CU21">
        <f t="shared" si="9"/>
        <v>0</v>
      </c>
      <c r="CV21">
        <f t="shared" si="9"/>
        <v>0</v>
      </c>
      <c r="CW21">
        <f t="shared" si="9"/>
        <v>0</v>
      </c>
      <c r="CX21">
        <f t="shared" si="9"/>
        <v>0</v>
      </c>
      <c r="CY21">
        <f t="shared" si="9"/>
        <v>0</v>
      </c>
      <c r="CZ21">
        <f t="shared" si="9"/>
        <v>0</v>
      </c>
      <c r="DA21">
        <f t="shared" si="9"/>
        <v>0</v>
      </c>
      <c r="DB21">
        <f t="shared" si="9"/>
        <v>0</v>
      </c>
      <c r="DC21">
        <f t="shared" si="9"/>
        <v>0</v>
      </c>
      <c r="DD21">
        <f t="shared" si="9"/>
        <v>0</v>
      </c>
      <c r="DE21">
        <f t="shared" si="9"/>
        <v>0</v>
      </c>
      <c r="DF21">
        <f t="shared" si="9"/>
        <v>0</v>
      </c>
      <c r="DG21">
        <f t="shared" si="9"/>
        <v>0</v>
      </c>
      <c r="DH21">
        <f t="shared" si="9"/>
        <v>0</v>
      </c>
      <c r="DI21">
        <f t="shared" si="9"/>
        <v>0</v>
      </c>
      <c r="DJ21">
        <f t="shared" si="9"/>
        <v>0</v>
      </c>
      <c r="DK21">
        <f t="shared" si="9"/>
        <v>0</v>
      </c>
      <c r="DL21">
        <f t="shared" si="9"/>
        <v>0</v>
      </c>
      <c r="DM21">
        <f t="shared" si="9"/>
        <v>0</v>
      </c>
      <c r="DN21">
        <f t="shared" si="9"/>
        <v>0</v>
      </c>
      <c r="DO21">
        <f t="shared" si="9"/>
        <v>0</v>
      </c>
      <c r="DP21">
        <f t="shared" si="9"/>
        <v>0</v>
      </c>
      <c r="DQ21">
        <f t="shared" si="9"/>
        <v>0</v>
      </c>
      <c r="DR21">
        <f t="shared" si="9"/>
        <v>0</v>
      </c>
      <c r="DS21">
        <f t="shared" si="9"/>
        <v>0</v>
      </c>
      <c r="DT21">
        <f t="shared" si="9"/>
        <v>0</v>
      </c>
      <c r="DU21">
        <f t="shared" si="9"/>
        <v>0</v>
      </c>
      <c r="DV21">
        <f t="shared" si="9"/>
        <v>0</v>
      </c>
      <c r="DW21">
        <f t="shared" si="9"/>
        <v>0</v>
      </c>
      <c r="DX21">
        <f t="shared" si="9"/>
        <v>0</v>
      </c>
      <c r="DY21">
        <f t="shared" si="9"/>
        <v>0</v>
      </c>
      <c r="DZ21">
        <f t="shared" si="9"/>
        <v>0</v>
      </c>
      <c r="EA21">
        <f t="shared" si="9"/>
        <v>0</v>
      </c>
      <c r="EB21">
        <f t="shared" si="9"/>
        <v>0</v>
      </c>
      <c r="EC21">
        <f t="shared" si="9"/>
        <v>0</v>
      </c>
      <c r="ED21">
        <f t="shared" si="10"/>
        <v>0</v>
      </c>
      <c r="EE21">
        <f t="shared" si="10"/>
        <v>0</v>
      </c>
      <c r="EF21">
        <f t="shared" si="10"/>
        <v>0</v>
      </c>
      <c r="EG21">
        <f t="shared" si="10"/>
        <v>0</v>
      </c>
      <c r="EH21">
        <f t="shared" si="10"/>
        <v>0</v>
      </c>
      <c r="EI21">
        <f t="shared" si="10"/>
        <v>0</v>
      </c>
      <c r="EJ21">
        <f t="shared" si="10"/>
        <v>0</v>
      </c>
      <c r="EK21">
        <f t="shared" si="10"/>
        <v>0</v>
      </c>
      <c r="EL21">
        <f t="shared" si="10"/>
        <v>0</v>
      </c>
      <c r="EM21">
        <f t="shared" si="10"/>
        <v>0</v>
      </c>
      <c r="EN21">
        <f t="shared" si="10"/>
        <v>0</v>
      </c>
      <c r="EO21">
        <f t="shared" si="10"/>
        <v>0</v>
      </c>
      <c r="EP21">
        <f t="shared" si="10"/>
        <v>0</v>
      </c>
      <c r="EQ21">
        <f t="shared" si="10"/>
        <v>0</v>
      </c>
      <c r="ER21">
        <f t="shared" si="10"/>
        <v>0</v>
      </c>
      <c r="ES21">
        <f t="shared" si="10"/>
        <v>0</v>
      </c>
      <c r="ET21">
        <f t="shared" si="10"/>
        <v>0</v>
      </c>
      <c r="EU21">
        <f t="shared" si="10"/>
        <v>0</v>
      </c>
      <c r="EV21">
        <f t="shared" si="10"/>
        <v>0</v>
      </c>
      <c r="EW21">
        <f t="shared" si="10"/>
        <v>0</v>
      </c>
      <c r="EX21">
        <f t="shared" si="10"/>
        <v>0</v>
      </c>
      <c r="EY21">
        <f t="shared" si="10"/>
        <v>0</v>
      </c>
      <c r="EZ21">
        <f t="shared" si="10"/>
        <v>0</v>
      </c>
      <c r="FA21">
        <f t="shared" si="10"/>
        <v>0</v>
      </c>
      <c r="FB21">
        <f t="shared" si="10"/>
        <v>0</v>
      </c>
      <c r="FC21">
        <f t="shared" si="10"/>
        <v>0</v>
      </c>
      <c r="FD21">
        <f t="shared" si="10"/>
        <v>0</v>
      </c>
      <c r="FE21">
        <f t="shared" si="10"/>
        <v>0</v>
      </c>
      <c r="FF21">
        <f t="shared" si="10"/>
        <v>0</v>
      </c>
      <c r="FG21">
        <f t="shared" si="10"/>
        <v>0</v>
      </c>
      <c r="FH21">
        <f t="shared" si="10"/>
        <v>0</v>
      </c>
      <c r="FI21">
        <f t="shared" si="10"/>
        <v>0</v>
      </c>
      <c r="FJ21">
        <f t="shared" si="10"/>
        <v>0</v>
      </c>
      <c r="FK21">
        <f t="shared" si="10"/>
        <v>0</v>
      </c>
      <c r="FL21">
        <f t="shared" si="10"/>
        <v>0</v>
      </c>
      <c r="FM21">
        <f t="shared" si="10"/>
        <v>0</v>
      </c>
      <c r="FN21">
        <f t="shared" si="10"/>
        <v>0</v>
      </c>
      <c r="FO21">
        <f t="shared" si="10"/>
        <v>0</v>
      </c>
      <c r="FP21">
        <f t="shared" si="10"/>
        <v>0</v>
      </c>
      <c r="FQ21">
        <f t="shared" si="10"/>
        <v>0</v>
      </c>
      <c r="FR21">
        <f t="shared" si="10"/>
        <v>0</v>
      </c>
      <c r="FS21">
        <f t="shared" si="10"/>
        <v>0</v>
      </c>
      <c r="FT21">
        <f t="shared" si="10"/>
        <v>0</v>
      </c>
      <c r="FU21">
        <f t="shared" si="10"/>
        <v>0</v>
      </c>
    </row>
    <row r="22" spans="1:177" x14ac:dyDescent="0.25">
      <c r="A22" t="str">
        <f t="shared" ref="A22:D22" si="15">A7</f>
        <v>AWP</v>
      </c>
      <c r="B22" t="str">
        <f t="shared" si="15"/>
        <v>Mortis MW</v>
      </c>
      <c r="C22" t="str">
        <f t="shared" si="15"/>
        <v>AWP</v>
      </c>
      <c r="D22" t="str">
        <f t="shared" si="15"/>
        <v>Clutch</v>
      </c>
      <c r="E22">
        <f t="shared" si="12"/>
        <v>2.2599999999999998</v>
      </c>
      <c r="F22">
        <f t="shared" si="14"/>
        <v>2.1900000000000004</v>
      </c>
      <c r="G22">
        <f t="shared" si="14"/>
        <v>2.4500000000000002</v>
      </c>
      <c r="H22">
        <f t="shared" si="14"/>
        <v>2.2800000000000002</v>
      </c>
      <c r="I22">
        <f t="shared" si="14"/>
        <v>2.29</v>
      </c>
      <c r="J22">
        <f t="shared" si="14"/>
        <v>2.38</v>
      </c>
      <c r="K22">
        <f t="shared" si="14"/>
        <v>2.42</v>
      </c>
      <c r="L22">
        <f t="shared" si="14"/>
        <v>2.21</v>
      </c>
      <c r="M22">
        <f t="shared" si="14"/>
        <v>2.2799999999999998</v>
      </c>
      <c r="N22">
        <f t="shared" si="14"/>
        <v>2.29</v>
      </c>
      <c r="O22">
        <f t="shared" si="14"/>
        <v>2.2999999999999998</v>
      </c>
      <c r="P22">
        <f t="shared" si="14"/>
        <v>2.36</v>
      </c>
      <c r="Q22">
        <f t="shared" si="14"/>
        <v>2.27</v>
      </c>
      <c r="R22">
        <f t="shared" si="14"/>
        <v>2.2799999999999998</v>
      </c>
      <c r="S22">
        <f t="shared" si="14"/>
        <v>2.23</v>
      </c>
      <c r="T22">
        <f t="shared" si="14"/>
        <v>2.37</v>
      </c>
      <c r="U22">
        <f t="shared" si="14"/>
        <v>2.1900000000000004</v>
      </c>
      <c r="V22">
        <f t="shared" si="14"/>
        <v>2.1900000000000004</v>
      </c>
      <c r="W22">
        <f t="shared" si="14"/>
        <v>2.19</v>
      </c>
      <c r="X22">
        <f t="shared" si="14"/>
        <v>2.04</v>
      </c>
      <c r="Y22">
        <f t="shared" si="14"/>
        <v>2.2000000000000002</v>
      </c>
      <c r="Z22">
        <f t="shared" si="14"/>
        <v>0</v>
      </c>
      <c r="AA22">
        <f t="shared" si="14"/>
        <v>0</v>
      </c>
      <c r="AB22">
        <f t="shared" si="14"/>
        <v>0</v>
      </c>
      <c r="AC22">
        <f t="shared" si="14"/>
        <v>0</v>
      </c>
      <c r="AD22">
        <f t="shared" si="14"/>
        <v>0</v>
      </c>
      <c r="AE22">
        <f t="shared" si="14"/>
        <v>0</v>
      </c>
      <c r="AF22">
        <f t="shared" si="14"/>
        <v>0</v>
      </c>
      <c r="AG22">
        <f t="shared" si="14"/>
        <v>0</v>
      </c>
      <c r="AH22">
        <f t="shared" si="14"/>
        <v>0</v>
      </c>
      <c r="AI22">
        <f t="shared" si="14"/>
        <v>0</v>
      </c>
      <c r="AJ22">
        <f t="shared" si="14"/>
        <v>0</v>
      </c>
      <c r="AK22">
        <f t="shared" si="14"/>
        <v>0</v>
      </c>
      <c r="AL22">
        <f t="shared" si="14"/>
        <v>0</v>
      </c>
      <c r="AM22">
        <f t="shared" si="14"/>
        <v>0</v>
      </c>
      <c r="AN22">
        <f t="shared" si="14"/>
        <v>0</v>
      </c>
      <c r="AO22">
        <f t="shared" si="14"/>
        <v>0</v>
      </c>
      <c r="AP22">
        <f t="shared" si="14"/>
        <v>0</v>
      </c>
      <c r="AQ22">
        <f t="shared" si="14"/>
        <v>0</v>
      </c>
      <c r="AR22">
        <f t="shared" si="14"/>
        <v>0</v>
      </c>
      <c r="AS22">
        <f t="shared" si="14"/>
        <v>0</v>
      </c>
      <c r="AT22">
        <f t="shared" si="14"/>
        <v>0</v>
      </c>
      <c r="AU22">
        <f t="shared" si="14"/>
        <v>0</v>
      </c>
      <c r="AV22">
        <f t="shared" si="14"/>
        <v>0</v>
      </c>
      <c r="AW22">
        <f t="shared" si="14"/>
        <v>0</v>
      </c>
      <c r="AX22">
        <f t="shared" si="14"/>
        <v>0</v>
      </c>
      <c r="AY22">
        <f t="shared" si="14"/>
        <v>0</v>
      </c>
      <c r="AZ22">
        <f t="shared" si="14"/>
        <v>0</v>
      </c>
      <c r="BA22">
        <f t="shared" si="14"/>
        <v>0</v>
      </c>
      <c r="BB22">
        <f t="shared" si="14"/>
        <v>0</v>
      </c>
      <c r="BC22">
        <f t="shared" si="14"/>
        <v>0</v>
      </c>
      <c r="BD22">
        <f t="shared" si="14"/>
        <v>0</v>
      </c>
      <c r="BE22">
        <f t="shared" si="14"/>
        <v>0</v>
      </c>
      <c r="BF22">
        <f t="shared" si="14"/>
        <v>0</v>
      </c>
      <c r="BG22">
        <f t="shared" si="14"/>
        <v>0</v>
      </c>
      <c r="BH22">
        <f t="shared" si="14"/>
        <v>0</v>
      </c>
      <c r="BI22">
        <f t="shared" si="14"/>
        <v>0</v>
      </c>
      <c r="BJ22">
        <f t="shared" si="14"/>
        <v>0</v>
      </c>
      <c r="BK22">
        <f t="shared" si="14"/>
        <v>0</v>
      </c>
      <c r="BL22">
        <f t="shared" si="14"/>
        <v>0</v>
      </c>
      <c r="BM22">
        <f t="shared" si="14"/>
        <v>0</v>
      </c>
      <c r="BN22">
        <f t="shared" si="14"/>
        <v>0</v>
      </c>
      <c r="BO22">
        <f t="shared" si="14"/>
        <v>0</v>
      </c>
      <c r="BP22">
        <f t="shared" si="14"/>
        <v>0</v>
      </c>
      <c r="BQ22">
        <f t="shared" si="14"/>
        <v>0</v>
      </c>
      <c r="BR22">
        <f t="shared" si="9"/>
        <v>0</v>
      </c>
      <c r="BS22">
        <f t="shared" si="9"/>
        <v>0</v>
      </c>
      <c r="BT22">
        <f t="shared" si="9"/>
        <v>0</v>
      </c>
      <c r="BU22">
        <f t="shared" si="9"/>
        <v>0</v>
      </c>
      <c r="BV22">
        <f t="shared" si="9"/>
        <v>0</v>
      </c>
      <c r="BW22">
        <f t="shared" si="9"/>
        <v>0</v>
      </c>
      <c r="BX22">
        <f t="shared" si="9"/>
        <v>0</v>
      </c>
      <c r="BY22">
        <f t="shared" si="9"/>
        <v>0</v>
      </c>
      <c r="BZ22">
        <f t="shared" si="9"/>
        <v>0</v>
      </c>
      <c r="CA22">
        <f t="shared" si="9"/>
        <v>0</v>
      </c>
      <c r="CB22">
        <f t="shared" si="9"/>
        <v>0</v>
      </c>
      <c r="CC22">
        <f t="shared" si="9"/>
        <v>0</v>
      </c>
      <c r="CD22">
        <f t="shared" si="9"/>
        <v>0</v>
      </c>
      <c r="CE22">
        <f t="shared" si="9"/>
        <v>0</v>
      </c>
      <c r="CF22">
        <f t="shared" si="9"/>
        <v>0</v>
      </c>
      <c r="CG22">
        <f t="shared" si="9"/>
        <v>0</v>
      </c>
      <c r="CH22">
        <f t="shared" si="9"/>
        <v>0</v>
      </c>
      <c r="CI22">
        <f t="shared" si="9"/>
        <v>0</v>
      </c>
      <c r="CJ22">
        <f t="shared" si="9"/>
        <v>0</v>
      </c>
      <c r="CK22">
        <f t="shared" si="9"/>
        <v>0</v>
      </c>
      <c r="CL22">
        <f t="shared" si="9"/>
        <v>0</v>
      </c>
      <c r="CM22">
        <f t="shared" si="9"/>
        <v>0</v>
      </c>
      <c r="CN22">
        <f t="shared" si="9"/>
        <v>0</v>
      </c>
      <c r="CO22">
        <f t="shared" si="9"/>
        <v>0</v>
      </c>
      <c r="CP22">
        <f t="shared" si="9"/>
        <v>0</v>
      </c>
      <c r="CQ22">
        <f t="shared" si="9"/>
        <v>0</v>
      </c>
      <c r="CR22">
        <f t="shared" si="9"/>
        <v>0</v>
      </c>
      <c r="CS22">
        <f t="shared" si="9"/>
        <v>0</v>
      </c>
      <c r="CT22">
        <f t="shared" si="9"/>
        <v>0</v>
      </c>
      <c r="CU22">
        <f t="shared" si="9"/>
        <v>0</v>
      </c>
      <c r="CV22">
        <f t="shared" si="9"/>
        <v>0</v>
      </c>
      <c r="CW22">
        <f t="shared" si="9"/>
        <v>0</v>
      </c>
      <c r="CX22">
        <f t="shared" si="9"/>
        <v>0</v>
      </c>
      <c r="CY22">
        <f t="shared" si="9"/>
        <v>0</v>
      </c>
      <c r="CZ22">
        <f t="shared" si="9"/>
        <v>0</v>
      </c>
      <c r="DA22">
        <f t="shared" si="9"/>
        <v>0</v>
      </c>
      <c r="DB22">
        <f t="shared" si="9"/>
        <v>0</v>
      </c>
      <c r="DC22">
        <f t="shared" si="9"/>
        <v>0</v>
      </c>
      <c r="DD22">
        <f t="shared" si="9"/>
        <v>0</v>
      </c>
      <c r="DE22">
        <f t="shared" si="9"/>
        <v>0</v>
      </c>
      <c r="DF22">
        <f t="shared" si="9"/>
        <v>0</v>
      </c>
      <c r="DG22">
        <f t="shared" si="9"/>
        <v>0</v>
      </c>
      <c r="DH22">
        <f t="shared" si="9"/>
        <v>0</v>
      </c>
      <c r="DI22">
        <f t="shared" si="9"/>
        <v>0</v>
      </c>
      <c r="DJ22">
        <f t="shared" si="9"/>
        <v>0</v>
      </c>
      <c r="DK22">
        <f t="shared" si="9"/>
        <v>0</v>
      </c>
      <c r="DL22">
        <f t="shared" si="9"/>
        <v>0</v>
      </c>
      <c r="DM22">
        <f t="shared" si="9"/>
        <v>0</v>
      </c>
      <c r="DN22">
        <f t="shared" si="9"/>
        <v>0</v>
      </c>
      <c r="DO22">
        <f t="shared" si="9"/>
        <v>0</v>
      </c>
      <c r="DP22">
        <f t="shared" si="9"/>
        <v>0</v>
      </c>
      <c r="DQ22">
        <f t="shared" si="9"/>
        <v>0</v>
      </c>
      <c r="DR22">
        <f t="shared" si="9"/>
        <v>0</v>
      </c>
      <c r="DS22">
        <f t="shared" si="9"/>
        <v>0</v>
      </c>
      <c r="DT22">
        <f t="shared" si="9"/>
        <v>0</v>
      </c>
      <c r="DU22">
        <f t="shared" si="9"/>
        <v>0</v>
      </c>
      <c r="DV22">
        <f t="shared" si="9"/>
        <v>0</v>
      </c>
      <c r="DW22">
        <f t="shared" si="9"/>
        <v>0</v>
      </c>
      <c r="DX22">
        <f t="shared" si="9"/>
        <v>0</v>
      </c>
      <c r="DY22">
        <f t="shared" si="9"/>
        <v>0</v>
      </c>
      <c r="DZ22">
        <f t="shared" si="9"/>
        <v>0</v>
      </c>
      <c r="EA22">
        <f t="shared" si="9"/>
        <v>0</v>
      </c>
      <c r="EB22">
        <f t="shared" si="9"/>
        <v>0</v>
      </c>
      <c r="EC22">
        <f t="shared" ref="EC22:FU25" si="16">EC7-ROUNDUP(EC7*0.3,2)</f>
        <v>0</v>
      </c>
      <c r="ED22">
        <f t="shared" si="16"/>
        <v>0</v>
      </c>
      <c r="EE22">
        <f t="shared" si="16"/>
        <v>0</v>
      </c>
      <c r="EF22">
        <f t="shared" si="16"/>
        <v>0</v>
      </c>
      <c r="EG22">
        <f t="shared" si="16"/>
        <v>0</v>
      </c>
      <c r="EH22">
        <f t="shared" si="16"/>
        <v>0</v>
      </c>
      <c r="EI22">
        <f t="shared" si="16"/>
        <v>0</v>
      </c>
      <c r="EJ22">
        <f t="shared" si="16"/>
        <v>0</v>
      </c>
      <c r="EK22">
        <f t="shared" si="16"/>
        <v>0</v>
      </c>
      <c r="EL22">
        <f t="shared" si="16"/>
        <v>0</v>
      </c>
      <c r="EM22">
        <f t="shared" si="16"/>
        <v>0</v>
      </c>
      <c r="EN22">
        <f t="shared" si="16"/>
        <v>0</v>
      </c>
      <c r="EO22">
        <f t="shared" si="16"/>
        <v>0</v>
      </c>
      <c r="EP22">
        <f t="shared" si="16"/>
        <v>0</v>
      </c>
      <c r="EQ22">
        <f t="shared" si="16"/>
        <v>0</v>
      </c>
      <c r="ER22">
        <f t="shared" si="16"/>
        <v>0</v>
      </c>
      <c r="ES22">
        <f t="shared" si="16"/>
        <v>0</v>
      </c>
      <c r="ET22">
        <f t="shared" si="16"/>
        <v>0</v>
      </c>
      <c r="EU22">
        <f t="shared" si="16"/>
        <v>0</v>
      </c>
      <c r="EV22">
        <f t="shared" si="16"/>
        <v>0</v>
      </c>
      <c r="EW22">
        <f t="shared" si="16"/>
        <v>0</v>
      </c>
      <c r="EX22">
        <f t="shared" si="16"/>
        <v>0</v>
      </c>
      <c r="EY22">
        <f t="shared" si="16"/>
        <v>0</v>
      </c>
      <c r="EZ22">
        <f t="shared" si="16"/>
        <v>0</v>
      </c>
      <c r="FA22">
        <f t="shared" si="16"/>
        <v>0</v>
      </c>
      <c r="FB22">
        <f t="shared" si="16"/>
        <v>0</v>
      </c>
      <c r="FC22">
        <f t="shared" si="16"/>
        <v>0</v>
      </c>
      <c r="FD22">
        <f t="shared" si="16"/>
        <v>0</v>
      </c>
      <c r="FE22">
        <f t="shared" si="16"/>
        <v>0</v>
      </c>
      <c r="FF22">
        <f t="shared" si="16"/>
        <v>0</v>
      </c>
      <c r="FG22">
        <f t="shared" si="16"/>
        <v>0</v>
      </c>
      <c r="FH22">
        <f t="shared" si="16"/>
        <v>0</v>
      </c>
      <c r="FI22">
        <f t="shared" si="16"/>
        <v>0</v>
      </c>
      <c r="FJ22">
        <f t="shared" si="16"/>
        <v>0</v>
      </c>
      <c r="FK22">
        <f t="shared" si="16"/>
        <v>0</v>
      </c>
      <c r="FL22">
        <f t="shared" si="16"/>
        <v>0</v>
      </c>
      <c r="FM22">
        <f t="shared" si="16"/>
        <v>0</v>
      </c>
      <c r="FN22">
        <f t="shared" si="16"/>
        <v>0</v>
      </c>
      <c r="FO22">
        <f t="shared" si="16"/>
        <v>0</v>
      </c>
      <c r="FP22">
        <f t="shared" si="16"/>
        <v>0</v>
      </c>
      <c r="FQ22">
        <f t="shared" si="16"/>
        <v>0</v>
      </c>
      <c r="FR22">
        <f t="shared" si="16"/>
        <v>0</v>
      </c>
      <c r="FS22">
        <f t="shared" si="16"/>
        <v>0</v>
      </c>
      <c r="FT22">
        <f t="shared" si="16"/>
        <v>0</v>
      </c>
      <c r="FU22">
        <f t="shared" si="16"/>
        <v>0</v>
      </c>
    </row>
    <row r="23" spans="1:177" x14ac:dyDescent="0.25">
      <c r="A23" t="str">
        <f t="shared" ref="A23:D23" si="17">A8</f>
        <v>AWP</v>
      </c>
      <c r="B23" t="str">
        <f t="shared" si="17"/>
        <v>StatTrak Hyper Beast FT</v>
      </c>
      <c r="C23" t="str">
        <f t="shared" si="17"/>
        <v>AWP</v>
      </c>
      <c r="D23" t="str">
        <f t="shared" si="17"/>
        <v>Falchion</v>
      </c>
      <c r="E23">
        <f t="shared" si="12"/>
        <v>51.849999999999994</v>
      </c>
      <c r="F23">
        <f t="shared" si="14"/>
        <v>49.91</v>
      </c>
      <c r="G23">
        <f t="shared" si="14"/>
        <v>50.309999999999995</v>
      </c>
      <c r="H23">
        <f t="shared" si="14"/>
        <v>49.86</v>
      </c>
      <c r="I23">
        <f t="shared" si="14"/>
        <v>49.399999999999991</v>
      </c>
      <c r="J23">
        <f t="shared" si="14"/>
        <v>45.75</v>
      </c>
      <c r="K23">
        <f t="shared" si="14"/>
        <v>51.31</v>
      </c>
      <c r="L23">
        <f t="shared" si="14"/>
        <v>51.31</v>
      </c>
      <c r="M23">
        <f t="shared" si="14"/>
        <v>51</v>
      </c>
      <c r="N23">
        <f t="shared" si="14"/>
        <v>59.199999999999996</v>
      </c>
      <c r="O23">
        <f t="shared" si="14"/>
        <v>59.099999999999994</v>
      </c>
      <c r="P23">
        <f t="shared" si="14"/>
        <v>53.08</v>
      </c>
      <c r="Q23">
        <f t="shared" si="14"/>
        <v>53.309999999999995</v>
      </c>
      <c r="R23">
        <f t="shared" si="14"/>
        <v>48.689999999999991</v>
      </c>
      <c r="S23">
        <f t="shared" si="14"/>
        <v>52.34</v>
      </c>
      <c r="T23">
        <f t="shared" si="14"/>
        <v>52.96</v>
      </c>
      <c r="U23">
        <f t="shared" si="14"/>
        <v>58.33</v>
      </c>
      <c r="V23">
        <f t="shared" si="14"/>
        <v>54.99</v>
      </c>
      <c r="W23">
        <f t="shared" si="14"/>
        <v>54.760000000000005</v>
      </c>
      <c r="X23">
        <f t="shared" si="14"/>
        <v>54.930000000000007</v>
      </c>
      <c r="Y23">
        <f t="shared" si="14"/>
        <v>53.75</v>
      </c>
      <c r="Z23">
        <f t="shared" si="14"/>
        <v>0</v>
      </c>
      <c r="AA23">
        <f t="shared" si="14"/>
        <v>0</v>
      </c>
      <c r="AB23">
        <f t="shared" si="14"/>
        <v>0</v>
      </c>
      <c r="AC23">
        <f t="shared" si="14"/>
        <v>0</v>
      </c>
      <c r="AD23">
        <f t="shared" si="14"/>
        <v>0</v>
      </c>
      <c r="AE23">
        <f t="shared" si="14"/>
        <v>0</v>
      </c>
      <c r="AF23">
        <f t="shared" si="14"/>
        <v>0</v>
      </c>
      <c r="AG23">
        <f t="shared" si="14"/>
        <v>0</v>
      </c>
      <c r="AH23">
        <f t="shared" si="14"/>
        <v>0</v>
      </c>
      <c r="AI23">
        <f t="shared" si="14"/>
        <v>0</v>
      </c>
      <c r="AJ23">
        <f t="shared" si="14"/>
        <v>0</v>
      </c>
      <c r="AK23">
        <f t="shared" si="14"/>
        <v>0</v>
      </c>
      <c r="AL23">
        <f t="shared" si="14"/>
        <v>0</v>
      </c>
      <c r="AM23">
        <f t="shared" si="14"/>
        <v>0</v>
      </c>
      <c r="AN23">
        <f t="shared" si="14"/>
        <v>0</v>
      </c>
      <c r="AO23">
        <f t="shared" si="14"/>
        <v>0</v>
      </c>
      <c r="AP23">
        <f t="shared" si="14"/>
        <v>0</v>
      </c>
      <c r="AQ23">
        <f t="shared" si="14"/>
        <v>0</v>
      </c>
      <c r="AR23">
        <f t="shared" si="14"/>
        <v>0</v>
      </c>
      <c r="AS23">
        <f t="shared" si="14"/>
        <v>0</v>
      </c>
      <c r="AT23">
        <f t="shared" si="14"/>
        <v>0</v>
      </c>
      <c r="AU23">
        <f t="shared" si="14"/>
        <v>0</v>
      </c>
      <c r="AV23">
        <f t="shared" si="14"/>
        <v>0</v>
      </c>
      <c r="AW23">
        <f t="shared" si="14"/>
        <v>0</v>
      </c>
      <c r="AX23">
        <f t="shared" si="14"/>
        <v>0</v>
      </c>
      <c r="AY23">
        <f t="shared" si="14"/>
        <v>0</v>
      </c>
      <c r="AZ23">
        <f t="shared" si="14"/>
        <v>0</v>
      </c>
      <c r="BA23">
        <f t="shared" si="14"/>
        <v>0</v>
      </c>
      <c r="BB23">
        <f t="shared" si="14"/>
        <v>0</v>
      </c>
      <c r="BC23">
        <f t="shared" si="14"/>
        <v>0</v>
      </c>
      <c r="BD23">
        <f t="shared" si="14"/>
        <v>0</v>
      </c>
      <c r="BE23">
        <f t="shared" si="14"/>
        <v>0</v>
      </c>
      <c r="BF23">
        <f t="shared" si="14"/>
        <v>0</v>
      </c>
      <c r="BG23">
        <f t="shared" si="14"/>
        <v>0</v>
      </c>
      <c r="BH23">
        <f t="shared" si="14"/>
        <v>0</v>
      </c>
      <c r="BI23">
        <f t="shared" si="14"/>
        <v>0</v>
      </c>
      <c r="BJ23">
        <f t="shared" si="14"/>
        <v>0</v>
      </c>
      <c r="BK23">
        <f t="shared" si="14"/>
        <v>0</v>
      </c>
      <c r="BL23">
        <f t="shared" si="14"/>
        <v>0</v>
      </c>
      <c r="BM23">
        <f t="shared" si="14"/>
        <v>0</v>
      </c>
      <c r="BN23">
        <f t="shared" si="14"/>
        <v>0</v>
      </c>
      <c r="BO23">
        <f t="shared" si="14"/>
        <v>0</v>
      </c>
      <c r="BP23">
        <f t="shared" si="14"/>
        <v>0</v>
      </c>
      <c r="BQ23">
        <f t="shared" si="14"/>
        <v>0</v>
      </c>
      <c r="BR23">
        <f t="shared" ref="BR23:EC25" si="18">BR8-ROUNDUP(BR8*0.3,2)</f>
        <v>0</v>
      </c>
      <c r="BS23">
        <f t="shared" si="18"/>
        <v>0</v>
      </c>
      <c r="BT23">
        <f t="shared" si="18"/>
        <v>0</v>
      </c>
      <c r="BU23">
        <f t="shared" si="18"/>
        <v>0</v>
      </c>
      <c r="BV23">
        <f t="shared" si="18"/>
        <v>0</v>
      </c>
      <c r="BW23">
        <f t="shared" si="18"/>
        <v>0</v>
      </c>
      <c r="BX23">
        <f t="shared" si="18"/>
        <v>0</v>
      </c>
      <c r="BY23">
        <f t="shared" si="18"/>
        <v>0</v>
      </c>
      <c r="BZ23">
        <f t="shared" si="18"/>
        <v>0</v>
      </c>
      <c r="CA23">
        <f t="shared" si="18"/>
        <v>0</v>
      </c>
      <c r="CB23">
        <f t="shared" si="18"/>
        <v>0</v>
      </c>
      <c r="CC23">
        <f t="shared" si="18"/>
        <v>0</v>
      </c>
      <c r="CD23">
        <f t="shared" si="18"/>
        <v>0</v>
      </c>
      <c r="CE23">
        <f t="shared" si="18"/>
        <v>0</v>
      </c>
      <c r="CF23">
        <f t="shared" si="18"/>
        <v>0</v>
      </c>
      <c r="CG23">
        <f t="shared" si="18"/>
        <v>0</v>
      </c>
      <c r="CH23">
        <f t="shared" si="18"/>
        <v>0</v>
      </c>
      <c r="CI23">
        <f t="shared" si="18"/>
        <v>0</v>
      </c>
      <c r="CJ23">
        <f t="shared" si="18"/>
        <v>0</v>
      </c>
      <c r="CK23">
        <f t="shared" si="18"/>
        <v>0</v>
      </c>
      <c r="CL23">
        <f t="shared" si="18"/>
        <v>0</v>
      </c>
      <c r="CM23">
        <f t="shared" si="18"/>
        <v>0</v>
      </c>
      <c r="CN23">
        <f t="shared" si="18"/>
        <v>0</v>
      </c>
      <c r="CO23">
        <f t="shared" si="18"/>
        <v>0</v>
      </c>
      <c r="CP23">
        <f t="shared" si="18"/>
        <v>0</v>
      </c>
      <c r="CQ23">
        <f t="shared" si="18"/>
        <v>0</v>
      </c>
      <c r="CR23">
        <f t="shared" si="18"/>
        <v>0</v>
      </c>
      <c r="CS23">
        <f t="shared" si="18"/>
        <v>0</v>
      </c>
      <c r="CT23">
        <f t="shared" si="18"/>
        <v>0</v>
      </c>
      <c r="CU23">
        <f t="shared" si="18"/>
        <v>0</v>
      </c>
      <c r="CV23">
        <f t="shared" si="18"/>
        <v>0</v>
      </c>
      <c r="CW23">
        <f t="shared" si="18"/>
        <v>0</v>
      </c>
      <c r="CX23">
        <f t="shared" si="18"/>
        <v>0</v>
      </c>
      <c r="CY23">
        <f t="shared" si="18"/>
        <v>0</v>
      </c>
      <c r="CZ23">
        <f t="shared" si="18"/>
        <v>0</v>
      </c>
      <c r="DA23">
        <f t="shared" si="18"/>
        <v>0</v>
      </c>
      <c r="DB23">
        <f t="shared" si="18"/>
        <v>0</v>
      </c>
      <c r="DC23">
        <f t="shared" si="18"/>
        <v>0</v>
      </c>
      <c r="DD23">
        <f t="shared" si="18"/>
        <v>0</v>
      </c>
      <c r="DE23">
        <f t="shared" si="18"/>
        <v>0</v>
      </c>
      <c r="DF23">
        <f t="shared" si="18"/>
        <v>0</v>
      </c>
      <c r="DG23">
        <f t="shared" si="18"/>
        <v>0</v>
      </c>
      <c r="DH23">
        <f t="shared" si="18"/>
        <v>0</v>
      </c>
      <c r="DI23">
        <f t="shared" si="18"/>
        <v>0</v>
      </c>
      <c r="DJ23">
        <f t="shared" si="18"/>
        <v>0</v>
      </c>
      <c r="DK23">
        <f t="shared" si="18"/>
        <v>0</v>
      </c>
      <c r="DL23">
        <f t="shared" si="18"/>
        <v>0</v>
      </c>
      <c r="DM23">
        <f t="shared" si="18"/>
        <v>0</v>
      </c>
      <c r="DN23">
        <f t="shared" si="18"/>
        <v>0</v>
      </c>
      <c r="DO23">
        <f t="shared" si="18"/>
        <v>0</v>
      </c>
      <c r="DP23">
        <f t="shared" si="18"/>
        <v>0</v>
      </c>
      <c r="DQ23">
        <f t="shared" si="18"/>
        <v>0</v>
      </c>
      <c r="DR23">
        <f t="shared" si="18"/>
        <v>0</v>
      </c>
      <c r="DS23">
        <f t="shared" si="18"/>
        <v>0</v>
      </c>
      <c r="DT23">
        <f t="shared" si="18"/>
        <v>0</v>
      </c>
      <c r="DU23">
        <f t="shared" si="18"/>
        <v>0</v>
      </c>
      <c r="DV23">
        <f t="shared" si="18"/>
        <v>0</v>
      </c>
      <c r="DW23">
        <f t="shared" si="18"/>
        <v>0</v>
      </c>
      <c r="DX23">
        <f t="shared" si="18"/>
        <v>0</v>
      </c>
      <c r="DY23">
        <f t="shared" si="18"/>
        <v>0</v>
      </c>
      <c r="DZ23">
        <f t="shared" si="18"/>
        <v>0</v>
      </c>
      <c r="EA23">
        <f t="shared" si="18"/>
        <v>0</v>
      </c>
      <c r="EB23">
        <f t="shared" si="18"/>
        <v>0</v>
      </c>
      <c r="EC23">
        <f t="shared" si="18"/>
        <v>0</v>
      </c>
      <c r="ED23">
        <f t="shared" si="16"/>
        <v>0</v>
      </c>
      <c r="EE23">
        <f t="shared" si="16"/>
        <v>0</v>
      </c>
      <c r="EF23">
        <f t="shared" si="16"/>
        <v>0</v>
      </c>
      <c r="EG23">
        <f t="shared" si="16"/>
        <v>0</v>
      </c>
      <c r="EH23">
        <f t="shared" si="16"/>
        <v>0</v>
      </c>
      <c r="EI23">
        <f t="shared" si="16"/>
        <v>0</v>
      </c>
      <c r="EJ23">
        <f t="shared" si="16"/>
        <v>0</v>
      </c>
      <c r="EK23">
        <f t="shared" si="16"/>
        <v>0</v>
      </c>
      <c r="EL23">
        <f t="shared" si="16"/>
        <v>0</v>
      </c>
      <c r="EM23">
        <f t="shared" si="16"/>
        <v>0</v>
      </c>
      <c r="EN23">
        <f t="shared" si="16"/>
        <v>0</v>
      </c>
      <c r="EO23">
        <f t="shared" si="16"/>
        <v>0</v>
      </c>
      <c r="EP23">
        <f t="shared" si="16"/>
        <v>0</v>
      </c>
      <c r="EQ23">
        <f t="shared" si="16"/>
        <v>0</v>
      </c>
      <c r="ER23">
        <f t="shared" si="16"/>
        <v>0</v>
      </c>
      <c r="ES23">
        <f t="shared" si="16"/>
        <v>0</v>
      </c>
      <c r="ET23">
        <f t="shared" si="16"/>
        <v>0</v>
      </c>
      <c r="EU23">
        <f t="shared" si="16"/>
        <v>0</v>
      </c>
      <c r="EV23">
        <f t="shared" si="16"/>
        <v>0</v>
      </c>
      <c r="EW23">
        <f t="shared" si="16"/>
        <v>0</v>
      </c>
      <c r="EX23">
        <f t="shared" si="16"/>
        <v>0</v>
      </c>
      <c r="EY23">
        <f t="shared" si="16"/>
        <v>0</v>
      </c>
      <c r="EZ23">
        <f t="shared" si="16"/>
        <v>0</v>
      </c>
      <c r="FA23">
        <f t="shared" si="16"/>
        <v>0</v>
      </c>
      <c r="FB23">
        <f t="shared" si="16"/>
        <v>0</v>
      </c>
      <c r="FC23">
        <f t="shared" si="16"/>
        <v>0</v>
      </c>
      <c r="FD23">
        <f t="shared" si="16"/>
        <v>0</v>
      </c>
      <c r="FE23">
        <f t="shared" si="16"/>
        <v>0</v>
      </c>
      <c r="FF23">
        <f t="shared" si="16"/>
        <v>0</v>
      </c>
      <c r="FG23">
        <f t="shared" si="16"/>
        <v>0</v>
      </c>
      <c r="FH23">
        <f t="shared" si="16"/>
        <v>0</v>
      </c>
      <c r="FI23">
        <f t="shared" si="16"/>
        <v>0</v>
      </c>
      <c r="FJ23">
        <f t="shared" si="16"/>
        <v>0</v>
      </c>
      <c r="FK23">
        <f t="shared" si="16"/>
        <v>0</v>
      </c>
      <c r="FL23">
        <f t="shared" si="16"/>
        <v>0</v>
      </c>
      <c r="FM23">
        <f t="shared" si="16"/>
        <v>0</v>
      </c>
      <c r="FN23">
        <f t="shared" si="16"/>
        <v>0</v>
      </c>
      <c r="FO23">
        <f t="shared" si="16"/>
        <v>0</v>
      </c>
      <c r="FP23">
        <f t="shared" si="16"/>
        <v>0</v>
      </c>
      <c r="FQ23">
        <f t="shared" si="16"/>
        <v>0</v>
      </c>
      <c r="FR23">
        <f t="shared" si="16"/>
        <v>0</v>
      </c>
      <c r="FS23">
        <f t="shared" si="16"/>
        <v>0</v>
      </c>
      <c r="FT23">
        <f t="shared" si="16"/>
        <v>0</v>
      </c>
      <c r="FU23">
        <f t="shared" si="16"/>
        <v>0</v>
      </c>
    </row>
    <row r="24" spans="1:177" x14ac:dyDescent="0.25">
      <c r="A24" t="str">
        <f t="shared" ref="A24:D24" si="19">A9</f>
        <v>AWP</v>
      </c>
      <c r="B24" t="str">
        <f t="shared" si="19"/>
        <v>Elite Build FT</v>
      </c>
      <c r="C24" t="str">
        <f t="shared" si="19"/>
        <v>AWP</v>
      </c>
      <c r="D24" t="str">
        <f t="shared" si="19"/>
        <v>Wildfire</v>
      </c>
      <c r="E24">
        <f t="shared" si="12"/>
        <v>4.76</v>
      </c>
      <c r="F24">
        <f t="shared" si="14"/>
        <v>5.08</v>
      </c>
      <c r="G24">
        <f t="shared" si="14"/>
        <v>5.05</v>
      </c>
      <c r="H24">
        <f t="shared" si="14"/>
        <v>4.7100000000000009</v>
      </c>
      <c r="I24">
        <f t="shared" si="14"/>
        <v>4.6900000000000004</v>
      </c>
      <c r="J24">
        <f t="shared" si="14"/>
        <v>4.7100000000000009</v>
      </c>
      <c r="K24">
        <f t="shared" si="14"/>
        <v>4.87</v>
      </c>
      <c r="L24">
        <f t="shared" si="14"/>
        <v>5.13</v>
      </c>
      <c r="M24">
        <f t="shared" si="14"/>
        <v>5.0199999999999996</v>
      </c>
      <c r="N24">
        <f t="shared" si="14"/>
        <v>4.8499999999999996</v>
      </c>
      <c r="O24">
        <f t="shared" si="14"/>
        <v>4.55</v>
      </c>
      <c r="P24">
        <f t="shared" si="14"/>
        <v>4.4800000000000004</v>
      </c>
      <c r="Q24">
        <f t="shared" si="14"/>
        <v>5.09</v>
      </c>
      <c r="R24">
        <f t="shared" si="14"/>
        <v>5.120000000000001</v>
      </c>
      <c r="S24">
        <f t="shared" si="14"/>
        <v>5.3900000000000006</v>
      </c>
      <c r="T24">
        <f t="shared" si="14"/>
        <v>5.08</v>
      </c>
      <c r="U24">
        <f t="shared" si="14"/>
        <v>5.15</v>
      </c>
      <c r="V24">
        <f t="shared" si="14"/>
        <v>4.99</v>
      </c>
      <c r="W24">
        <f t="shared" si="14"/>
        <v>5.120000000000001</v>
      </c>
      <c r="X24">
        <f t="shared" si="14"/>
        <v>5.04</v>
      </c>
      <c r="Y24">
        <f t="shared" si="14"/>
        <v>5.32</v>
      </c>
      <c r="Z24">
        <f t="shared" si="14"/>
        <v>0</v>
      </c>
      <c r="AA24">
        <f t="shared" si="14"/>
        <v>0</v>
      </c>
      <c r="AB24">
        <f t="shared" si="14"/>
        <v>0</v>
      </c>
      <c r="AC24">
        <f t="shared" si="14"/>
        <v>0</v>
      </c>
      <c r="AD24">
        <f t="shared" si="14"/>
        <v>0</v>
      </c>
      <c r="AE24">
        <f t="shared" si="14"/>
        <v>0</v>
      </c>
      <c r="AF24">
        <f t="shared" si="14"/>
        <v>0</v>
      </c>
      <c r="AG24">
        <f t="shared" si="14"/>
        <v>0</v>
      </c>
      <c r="AH24">
        <f t="shared" si="14"/>
        <v>0</v>
      </c>
      <c r="AI24">
        <f t="shared" si="14"/>
        <v>0</v>
      </c>
      <c r="AJ24">
        <f t="shared" si="14"/>
        <v>0</v>
      </c>
      <c r="AK24">
        <f t="shared" si="14"/>
        <v>0</v>
      </c>
      <c r="AL24">
        <f t="shared" si="14"/>
        <v>0</v>
      </c>
      <c r="AM24">
        <f t="shared" si="14"/>
        <v>0</v>
      </c>
      <c r="AN24">
        <f t="shared" si="14"/>
        <v>0</v>
      </c>
      <c r="AO24">
        <f t="shared" si="14"/>
        <v>0</v>
      </c>
      <c r="AP24">
        <f t="shared" si="14"/>
        <v>0</v>
      </c>
      <c r="AQ24">
        <f t="shared" si="14"/>
        <v>0</v>
      </c>
      <c r="AR24">
        <f t="shared" si="14"/>
        <v>0</v>
      </c>
      <c r="AS24">
        <f t="shared" si="14"/>
        <v>0</v>
      </c>
      <c r="AT24">
        <f t="shared" si="14"/>
        <v>0</v>
      </c>
      <c r="AU24">
        <f t="shared" si="14"/>
        <v>0</v>
      </c>
      <c r="AV24">
        <f t="shared" si="14"/>
        <v>0</v>
      </c>
      <c r="AW24">
        <f t="shared" si="14"/>
        <v>0</v>
      </c>
      <c r="AX24">
        <f t="shared" si="14"/>
        <v>0</v>
      </c>
      <c r="AY24">
        <f t="shared" si="14"/>
        <v>0</v>
      </c>
      <c r="AZ24">
        <f t="shared" si="14"/>
        <v>0</v>
      </c>
      <c r="BA24">
        <f t="shared" si="14"/>
        <v>0</v>
      </c>
      <c r="BB24">
        <f t="shared" si="14"/>
        <v>0</v>
      </c>
      <c r="BC24">
        <f t="shared" si="14"/>
        <v>0</v>
      </c>
      <c r="BD24">
        <f t="shared" si="14"/>
        <v>0</v>
      </c>
      <c r="BE24">
        <f t="shared" si="14"/>
        <v>0</v>
      </c>
      <c r="BF24">
        <f t="shared" si="14"/>
        <v>0</v>
      </c>
      <c r="BG24">
        <f t="shared" si="14"/>
        <v>0</v>
      </c>
      <c r="BH24">
        <f t="shared" si="14"/>
        <v>0</v>
      </c>
      <c r="BI24">
        <f t="shared" si="14"/>
        <v>0</v>
      </c>
      <c r="BJ24">
        <f t="shared" si="14"/>
        <v>0</v>
      </c>
      <c r="BK24">
        <f t="shared" si="14"/>
        <v>0</v>
      </c>
      <c r="BL24">
        <f t="shared" si="14"/>
        <v>0</v>
      </c>
      <c r="BM24">
        <f t="shared" si="14"/>
        <v>0</v>
      </c>
      <c r="BN24">
        <f t="shared" si="14"/>
        <v>0</v>
      </c>
      <c r="BO24">
        <f t="shared" si="14"/>
        <v>0</v>
      </c>
      <c r="BP24">
        <f t="shared" si="14"/>
        <v>0</v>
      </c>
      <c r="BQ24">
        <f t="shared" ref="BQ24:EB25" si="20">BQ9-ROUNDUP(BQ9*0.3,2)</f>
        <v>0</v>
      </c>
      <c r="BR24">
        <f t="shared" si="20"/>
        <v>0</v>
      </c>
      <c r="BS24">
        <f t="shared" si="20"/>
        <v>0</v>
      </c>
      <c r="BT24">
        <f t="shared" si="20"/>
        <v>0</v>
      </c>
      <c r="BU24">
        <f t="shared" si="20"/>
        <v>0</v>
      </c>
      <c r="BV24">
        <f t="shared" si="20"/>
        <v>0</v>
      </c>
      <c r="BW24">
        <f t="shared" si="20"/>
        <v>0</v>
      </c>
      <c r="BX24">
        <f t="shared" si="20"/>
        <v>0</v>
      </c>
      <c r="BY24">
        <f t="shared" si="20"/>
        <v>0</v>
      </c>
      <c r="BZ24">
        <f t="shared" si="20"/>
        <v>0</v>
      </c>
      <c r="CA24">
        <f t="shared" si="20"/>
        <v>0</v>
      </c>
      <c r="CB24">
        <f t="shared" si="20"/>
        <v>0</v>
      </c>
      <c r="CC24">
        <f t="shared" si="20"/>
        <v>0</v>
      </c>
      <c r="CD24">
        <f t="shared" si="20"/>
        <v>0</v>
      </c>
      <c r="CE24">
        <f t="shared" si="20"/>
        <v>0</v>
      </c>
      <c r="CF24">
        <f t="shared" si="20"/>
        <v>0</v>
      </c>
      <c r="CG24">
        <f t="shared" si="20"/>
        <v>0</v>
      </c>
      <c r="CH24">
        <f t="shared" si="20"/>
        <v>0</v>
      </c>
      <c r="CI24">
        <f t="shared" si="20"/>
        <v>0</v>
      </c>
      <c r="CJ24">
        <f t="shared" si="20"/>
        <v>0</v>
      </c>
      <c r="CK24">
        <f t="shared" si="20"/>
        <v>0</v>
      </c>
      <c r="CL24">
        <f t="shared" si="20"/>
        <v>0</v>
      </c>
      <c r="CM24">
        <f t="shared" si="20"/>
        <v>0</v>
      </c>
      <c r="CN24">
        <f t="shared" si="20"/>
        <v>0</v>
      </c>
      <c r="CO24">
        <f t="shared" si="20"/>
        <v>0</v>
      </c>
      <c r="CP24">
        <f t="shared" si="20"/>
        <v>0</v>
      </c>
      <c r="CQ24">
        <f t="shared" si="20"/>
        <v>0</v>
      </c>
      <c r="CR24">
        <f t="shared" si="20"/>
        <v>0</v>
      </c>
      <c r="CS24">
        <f t="shared" si="20"/>
        <v>0</v>
      </c>
      <c r="CT24">
        <f t="shared" si="20"/>
        <v>0</v>
      </c>
      <c r="CU24">
        <f t="shared" si="20"/>
        <v>0</v>
      </c>
      <c r="CV24">
        <f t="shared" si="20"/>
        <v>0</v>
      </c>
      <c r="CW24">
        <f t="shared" si="20"/>
        <v>0</v>
      </c>
      <c r="CX24">
        <f t="shared" si="20"/>
        <v>0</v>
      </c>
      <c r="CY24">
        <f t="shared" si="20"/>
        <v>0</v>
      </c>
      <c r="CZ24">
        <f t="shared" si="20"/>
        <v>0</v>
      </c>
      <c r="DA24">
        <f t="shared" si="20"/>
        <v>0</v>
      </c>
      <c r="DB24">
        <f t="shared" si="20"/>
        <v>0</v>
      </c>
      <c r="DC24">
        <f t="shared" si="20"/>
        <v>0</v>
      </c>
      <c r="DD24">
        <f t="shared" si="20"/>
        <v>0</v>
      </c>
      <c r="DE24">
        <f t="shared" si="20"/>
        <v>0</v>
      </c>
      <c r="DF24">
        <f t="shared" si="20"/>
        <v>0</v>
      </c>
      <c r="DG24">
        <f t="shared" si="20"/>
        <v>0</v>
      </c>
      <c r="DH24">
        <f t="shared" si="20"/>
        <v>0</v>
      </c>
      <c r="DI24">
        <f t="shared" si="20"/>
        <v>0</v>
      </c>
      <c r="DJ24">
        <f t="shared" si="20"/>
        <v>0</v>
      </c>
      <c r="DK24">
        <f t="shared" si="20"/>
        <v>0</v>
      </c>
      <c r="DL24">
        <f t="shared" si="20"/>
        <v>0</v>
      </c>
      <c r="DM24">
        <f t="shared" si="20"/>
        <v>0</v>
      </c>
      <c r="DN24">
        <f t="shared" si="20"/>
        <v>0</v>
      </c>
      <c r="DO24">
        <f t="shared" si="20"/>
        <v>0</v>
      </c>
      <c r="DP24">
        <f t="shared" si="20"/>
        <v>0</v>
      </c>
      <c r="DQ24">
        <f t="shared" si="20"/>
        <v>0</v>
      </c>
      <c r="DR24">
        <f t="shared" si="20"/>
        <v>0</v>
      </c>
      <c r="DS24">
        <f t="shared" si="20"/>
        <v>0</v>
      </c>
      <c r="DT24">
        <f t="shared" si="20"/>
        <v>0</v>
      </c>
      <c r="DU24">
        <f t="shared" si="20"/>
        <v>0</v>
      </c>
      <c r="DV24">
        <f t="shared" si="20"/>
        <v>0</v>
      </c>
      <c r="DW24">
        <f t="shared" si="20"/>
        <v>0</v>
      </c>
      <c r="DX24">
        <f t="shared" si="20"/>
        <v>0</v>
      </c>
      <c r="DY24">
        <f t="shared" si="20"/>
        <v>0</v>
      </c>
      <c r="DZ24">
        <f t="shared" si="20"/>
        <v>0</v>
      </c>
      <c r="EA24">
        <f t="shared" si="20"/>
        <v>0</v>
      </c>
      <c r="EB24">
        <f t="shared" si="20"/>
        <v>0</v>
      </c>
      <c r="EC24">
        <f t="shared" si="18"/>
        <v>0</v>
      </c>
      <c r="ED24">
        <f t="shared" si="16"/>
        <v>0</v>
      </c>
      <c r="EE24">
        <f t="shared" si="16"/>
        <v>0</v>
      </c>
      <c r="EF24">
        <f t="shared" si="16"/>
        <v>0</v>
      </c>
      <c r="EG24">
        <f t="shared" si="16"/>
        <v>0</v>
      </c>
      <c r="EH24">
        <f t="shared" si="16"/>
        <v>0</v>
      </c>
      <c r="EI24">
        <f t="shared" si="16"/>
        <v>0</v>
      </c>
      <c r="EJ24">
        <f t="shared" si="16"/>
        <v>0</v>
      </c>
      <c r="EK24">
        <f t="shared" si="16"/>
        <v>0</v>
      </c>
      <c r="EL24">
        <f t="shared" si="16"/>
        <v>0</v>
      </c>
      <c r="EM24">
        <f t="shared" si="16"/>
        <v>0</v>
      </c>
      <c r="EN24">
        <f t="shared" si="16"/>
        <v>0</v>
      </c>
      <c r="EO24">
        <f t="shared" si="16"/>
        <v>0</v>
      </c>
      <c r="EP24">
        <f t="shared" si="16"/>
        <v>0</v>
      </c>
      <c r="EQ24">
        <f t="shared" si="16"/>
        <v>0</v>
      </c>
      <c r="ER24">
        <f t="shared" si="16"/>
        <v>0</v>
      </c>
      <c r="ES24">
        <f t="shared" si="16"/>
        <v>0</v>
      </c>
      <c r="ET24">
        <f t="shared" si="16"/>
        <v>0</v>
      </c>
      <c r="EU24">
        <f t="shared" si="16"/>
        <v>0</v>
      </c>
      <c r="EV24">
        <f t="shared" si="16"/>
        <v>0</v>
      </c>
      <c r="EW24">
        <f t="shared" si="16"/>
        <v>0</v>
      </c>
      <c r="EX24">
        <f t="shared" si="16"/>
        <v>0</v>
      </c>
      <c r="EY24">
        <f t="shared" si="16"/>
        <v>0</v>
      </c>
      <c r="EZ24">
        <f t="shared" si="16"/>
        <v>0</v>
      </c>
      <c r="FA24">
        <f t="shared" si="16"/>
        <v>0</v>
      </c>
      <c r="FB24">
        <f t="shared" si="16"/>
        <v>0</v>
      </c>
      <c r="FC24">
        <f t="shared" si="16"/>
        <v>0</v>
      </c>
      <c r="FD24">
        <f t="shared" si="16"/>
        <v>0</v>
      </c>
      <c r="FE24">
        <f t="shared" si="16"/>
        <v>0</v>
      </c>
      <c r="FF24">
        <f t="shared" si="16"/>
        <v>0</v>
      </c>
      <c r="FG24">
        <f t="shared" si="16"/>
        <v>0</v>
      </c>
      <c r="FH24">
        <f t="shared" si="16"/>
        <v>0</v>
      </c>
      <c r="FI24">
        <f t="shared" si="16"/>
        <v>0</v>
      </c>
      <c r="FJ24">
        <f t="shared" si="16"/>
        <v>0</v>
      </c>
      <c r="FK24">
        <f t="shared" si="16"/>
        <v>0</v>
      </c>
      <c r="FL24">
        <f t="shared" si="16"/>
        <v>0</v>
      </c>
      <c r="FM24">
        <f t="shared" si="16"/>
        <v>0</v>
      </c>
      <c r="FN24">
        <f t="shared" si="16"/>
        <v>0</v>
      </c>
      <c r="FO24">
        <f t="shared" si="16"/>
        <v>0</v>
      </c>
      <c r="FP24">
        <f t="shared" si="16"/>
        <v>0</v>
      </c>
      <c r="FQ24">
        <f t="shared" si="16"/>
        <v>0</v>
      </c>
      <c r="FR24">
        <f t="shared" si="16"/>
        <v>0</v>
      </c>
      <c r="FS24">
        <f t="shared" si="16"/>
        <v>0</v>
      </c>
      <c r="FT24">
        <f t="shared" si="16"/>
        <v>0</v>
      </c>
      <c r="FU24">
        <f t="shared" si="16"/>
        <v>0</v>
      </c>
    </row>
    <row r="25" spans="1:177" x14ac:dyDescent="0.25">
      <c r="A25" t="str">
        <f t="shared" ref="A25:D25" si="21">A10</f>
        <v>AWP</v>
      </c>
      <c r="B25" t="str">
        <f t="shared" si="21"/>
        <v>Fever Dream MW</v>
      </c>
      <c r="C25" t="str">
        <f t="shared" si="21"/>
        <v>AWP</v>
      </c>
      <c r="D25" t="str">
        <f t="shared" si="21"/>
        <v>Spectrum</v>
      </c>
      <c r="E25">
        <f t="shared" si="12"/>
        <v>5.22</v>
      </c>
      <c r="F25">
        <f t="shared" ref="F25:BQ25" si="22">F10-ROUNDUP(F10*0.3,2)</f>
        <v>5.26</v>
      </c>
      <c r="G25">
        <f t="shared" si="22"/>
        <v>5.15</v>
      </c>
      <c r="H25">
        <f t="shared" si="22"/>
        <v>5.0600000000000005</v>
      </c>
      <c r="I25">
        <f t="shared" si="22"/>
        <v>5.1899999999999995</v>
      </c>
      <c r="J25">
        <f t="shared" si="22"/>
        <v>5.04</v>
      </c>
      <c r="K25">
        <f t="shared" si="22"/>
        <v>4.92</v>
      </c>
      <c r="L25">
        <f t="shared" si="22"/>
        <v>5.2000000000000011</v>
      </c>
      <c r="M25">
        <f t="shared" si="22"/>
        <v>5.1300000000000008</v>
      </c>
      <c r="N25">
        <f t="shared" si="22"/>
        <v>4.8800000000000008</v>
      </c>
      <c r="O25">
        <f t="shared" si="22"/>
        <v>4.8600000000000003</v>
      </c>
      <c r="P25">
        <f t="shared" si="22"/>
        <v>4.84</v>
      </c>
      <c r="Q25">
        <f t="shared" si="22"/>
        <v>4.93</v>
      </c>
      <c r="R25">
        <f t="shared" si="22"/>
        <v>4.63</v>
      </c>
      <c r="S25">
        <f t="shared" si="22"/>
        <v>4.6900000000000004</v>
      </c>
      <c r="T25">
        <f t="shared" si="22"/>
        <v>4.99</v>
      </c>
      <c r="U25">
        <f t="shared" si="22"/>
        <v>4.8000000000000007</v>
      </c>
      <c r="V25">
        <f t="shared" si="22"/>
        <v>5.1099999999999994</v>
      </c>
      <c r="W25">
        <f t="shared" si="22"/>
        <v>4.92</v>
      </c>
      <c r="X25">
        <f t="shared" si="22"/>
        <v>4.83</v>
      </c>
      <c r="Y25">
        <f t="shared" si="22"/>
        <v>4.91</v>
      </c>
      <c r="Z25">
        <f t="shared" si="22"/>
        <v>0</v>
      </c>
      <c r="AA25">
        <f t="shared" si="22"/>
        <v>0</v>
      </c>
      <c r="AB25">
        <f t="shared" si="22"/>
        <v>0</v>
      </c>
      <c r="AC25">
        <f t="shared" si="22"/>
        <v>0</v>
      </c>
      <c r="AD25">
        <f t="shared" si="22"/>
        <v>0</v>
      </c>
      <c r="AE25">
        <f t="shared" si="22"/>
        <v>0</v>
      </c>
      <c r="AF25">
        <f t="shared" si="22"/>
        <v>0</v>
      </c>
      <c r="AG25">
        <f t="shared" si="22"/>
        <v>0</v>
      </c>
      <c r="AH25">
        <f t="shared" si="22"/>
        <v>0</v>
      </c>
      <c r="AI25">
        <f t="shared" si="22"/>
        <v>0</v>
      </c>
      <c r="AJ25">
        <f t="shared" si="22"/>
        <v>0</v>
      </c>
      <c r="AK25">
        <f t="shared" si="22"/>
        <v>0</v>
      </c>
      <c r="AL25">
        <f t="shared" si="22"/>
        <v>0</v>
      </c>
      <c r="AM25">
        <f t="shared" si="22"/>
        <v>0</v>
      </c>
      <c r="AN25">
        <f t="shared" si="22"/>
        <v>0</v>
      </c>
      <c r="AO25">
        <f t="shared" si="22"/>
        <v>0</v>
      </c>
      <c r="AP25">
        <f t="shared" si="22"/>
        <v>0</v>
      </c>
      <c r="AQ25">
        <f t="shared" si="22"/>
        <v>0</v>
      </c>
      <c r="AR25">
        <f t="shared" si="22"/>
        <v>0</v>
      </c>
      <c r="AS25">
        <f t="shared" si="22"/>
        <v>0</v>
      </c>
      <c r="AT25">
        <f t="shared" si="22"/>
        <v>0</v>
      </c>
      <c r="AU25">
        <f t="shared" si="22"/>
        <v>0</v>
      </c>
      <c r="AV25">
        <f t="shared" si="22"/>
        <v>0</v>
      </c>
      <c r="AW25">
        <f t="shared" si="22"/>
        <v>0</v>
      </c>
      <c r="AX25">
        <f t="shared" si="22"/>
        <v>0</v>
      </c>
      <c r="AY25">
        <f t="shared" si="22"/>
        <v>0</v>
      </c>
      <c r="AZ25">
        <f t="shared" si="22"/>
        <v>0</v>
      </c>
      <c r="BA25">
        <f t="shared" si="22"/>
        <v>0</v>
      </c>
      <c r="BB25">
        <f t="shared" si="22"/>
        <v>0</v>
      </c>
      <c r="BC25">
        <f t="shared" si="22"/>
        <v>0</v>
      </c>
      <c r="BD25">
        <f t="shared" si="22"/>
        <v>0</v>
      </c>
      <c r="BE25">
        <f t="shared" si="22"/>
        <v>0</v>
      </c>
      <c r="BF25">
        <f t="shared" si="22"/>
        <v>0</v>
      </c>
      <c r="BG25">
        <f t="shared" si="22"/>
        <v>0</v>
      </c>
      <c r="BH25">
        <f t="shared" si="22"/>
        <v>0</v>
      </c>
      <c r="BI25">
        <f t="shared" si="22"/>
        <v>0</v>
      </c>
      <c r="BJ25">
        <f t="shared" si="22"/>
        <v>0</v>
      </c>
      <c r="BK25">
        <f t="shared" si="22"/>
        <v>0</v>
      </c>
      <c r="BL25">
        <f t="shared" si="22"/>
        <v>0</v>
      </c>
      <c r="BM25">
        <f t="shared" si="22"/>
        <v>0</v>
      </c>
      <c r="BN25">
        <f t="shared" si="22"/>
        <v>0</v>
      </c>
      <c r="BO25">
        <f t="shared" si="22"/>
        <v>0</v>
      </c>
      <c r="BP25">
        <f t="shared" si="22"/>
        <v>0</v>
      </c>
      <c r="BQ25">
        <f t="shared" si="22"/>
        <v>0</v>
      </c>
      <c r="BR25">
        <f t="shared" si="20"/>
        <v>0</v>
      </c>
      <c r="BS25">
        <f t="shared" si="20"/>
        <v>0</v>
      </c>
      <c r="BT25">
        <f t="shared" si="20"/>
        <v>0</v>
      </c>
      <c r="BU25">
        <f t="shared" si="20"/>
        <v>0</v>
      </c>
      <c r="BV25">
        <f t="shared" si="20"/>
        <v>0</v>
      </c>
      <c r="BW25">
        <f t="shared" si="20"/>
        <v>0</v>
      </c>
      <c r="BX25">
        <f t="shared" si="20"/>
        <v>0</v>
      </c>
      <c r="BY25">
        <f t="shared" si="20"/>
        <v>0</v>
      </c>
      <c r="BZ25">
        <f t="shared" si="20"/>
        <v>0</v>
      </c>
      <c r="CA25">
        <f t="shared" si="20"/>
        <v>0</v>
      </c>
      <c r="CB25">
        <f t="shared" si="20"/>
        <v>0</v>
      </c>
      <c r="CC25">
        <f t="shared" si="20"/>
        <v>0</v>
      </c>
      <c r="CD25">
        <f t="shared" si="20"/>
        <v>0</v>
      </c>
      <c r="CE25">
        <f t="shared" si="20"/>
        <v>0</v>
      </c>
      <c r="CF25">
        <f t="shared" si="20"/>
        <v>0</v>
      </c>
      <c r="CG25">
        <f t="shared" si="20"/>
        <v>0</v>
      </c>
      <c r="CH25">
        <f t="shared" si="20"/>
        <v>0</v>
      </c>
      <c r="CI25">
        <f t="shared" si="20"/>
        <v>0</v>
      </c>
      <c r="CJ25">
        <f t="shared" si="20"/>
        <v>0</v>
      </c>
      <c r="CK25">
        <f t="shared" si="20"/>
        <v>0</v>
      </c>
      <c r="CL25">
        <f t="shared" si="20"/>
        <v>0</v>
      </c>
      <c r="CM25">
        <f t="shared" si="20"/>
        <v>0</v>
      </c>
      <c r="CN25">
        <f t="shared" si="20"/>
        <v>0</v>
      </c>
      <c r="CO25">
        <f t="shared" si="20"/>
        <v>0</v>
      </c>
      <c r="CP25">
        <f t="shared" si="20"/>
        <v>0</v>
      </c>
      <c r="CQ25">
        <f t="shared" si="20"/>
        <v>0</v>
      </c>
      <c r="CR25">
        <f t="shared" si="20"/>
        <v>0</v>
      </c>
      <c r="CS25">
        <f t="shared" si="20"/>
        <v>0</v>
      </c>
      <c r="CT25">
        <f t="shared" si="20"/>
        <v>0</v>
      </c>
      <c r="CU25">
        <f t="shared" si="20"/>
        <v>0</v>
      </c>
      <c r="CV25">
        <f t="shared" si="20"/>
        <v>0</v>
      </c>
      <c r="CW25">
        <f t="shared" si="20"/>
        <v>0</v>
      </c>
      <c r="CX25">
        <f t="shared" si="20"/>
        <v>0</v>
      </c>
      <c r="CY25">
        <f t="shared" si="20"/>
        <v>0</v>
      </c>
      <c r="CZ25">
        <f t="shared" si="20"/>
        <v>0</v>
      </c>
      <c r="DA25">
        <f t="shared" si="20"/>
        <v>0</v>
      </c>
      <c r="DB25">
        <f t="shared" si="20"/>
        <v>0</v>
      </c>
      <c r="DC25">
        <f t="shared" si="20"/>
        <v>0</v>
      </c>
      <c r="DD25">
        <f t="shared" si="20"/>
        <v>0</v>
      </c>
      <c r="DE25">
        <f t="shared" si="20"/>
        <v>0</v>
      </c>
      <c r="DF25">
        <f t="shared" si="20"/>
        <v>0</v>
      </c>
      <c r="DG25">
        <f t="shared" si="20"/>
        <v>0</v>
      </c>
      <c r="DH25">
        <f t="shared" si="20"/>
        <v>0</v>
      </c>
      <c r="DI25">
        <f t="shared" si="20"/>
        <v>0</v>
      </c>
      <c r="DJ25">
        <f t="shared" si="20"/>
        <v>0</v>
      </c>
      <c r="DK25">
        <f t="shared" si="20"/>
        <v>0</v>
      </c>
      <c r="DL25">
        <f t="shared" si="20"/>
        <v>0</v>
      </c>
      <c r="DM25">
        <f t="shared" si="20"/>
        <v>0</v>
      </c>
      <c r="DN25">
        <f t="shared" si="20"/>
        <v>0</v>
      </c>
      <c r="DO25">
        <f t="shared" si="20"/>
        <v>0</v>
      </c>
      <c r="DP25">
        <f t="shared" si="20"/>
        <v>0</v>
      </c>
      <c r="DQ25">
        <f t="shared" si="20"/>
        <v>0</v>
      </c>
      <c r="DR25">
        <f t="shared" si="20"/>
        <v>0</v>
      </c>
      <c r="DS25">
        <f t="shared" si="20"/>
        <v>0</v>
      </c>
      <c r="DT25">
        <f t="shared" si="20"/>
        <v>0</v>
      </c>
      <c r="DU25">
        <f t="shared" si="20"/>
        <v>0</v>
      </c>
      <c r="DV25">
        <f t="shared" si="20"/>
        <v>0</v>
      </c>
      <c r="DW25">
        <f t="shared" si="20"/>
        <v>0</v>
      </c>
      <c r="DX25">
        <f t="shared" si="20"/>
        <v>0</v>
      </c>
      <c r="DY25">
        <f t="shared" si="20"/>
        <v>0</v>
      </c>
      <c r="DZ25">
        <f t="shared" si="20"/>
        <v>0</v>
      </c>
      <c r="EA25">
        <f t="shared" si="20"/>
        <v>0</v>
      </c>
      <c r="EB25">
        <f t="shared" si="20"/>
        <v>0</v>
      </c>
      <c r="EC25">
        <f t="shared" si="18"/>
        <v>0</v>
      </c>
      <c r="ED25">
        <f t="shared" si="16"/>
        <v>0</v>
      </c>
      <c r="EE25">
        <f t="shared" si="16"/>
        <v>0</v>
      </c>
      <c r="EF25">
        <f t="shared" si="16"/>
        <v>0</v>
      </c>
      <c r="EG25">
        <f t="shared" si="16"/>
        <v>0</v>
      </c>
      <c r="EH25">
        <f t="shared" si="16"/>
        <v>0</v>
      </c>
      <c r="EI25">
        <f t="shared" si="16"/>
        <v>0</v>
      </c>
      <c r="EJ25">
        <f t="shared" si="16"/>
        <v>0</v>
      </c>
      <c r="EK25">
        <f t="shared" si="16"/>
        <v>0</v>
      </c>
      <c r="EL25">
        <f t="shared" si="16"/>
        <v>0</v>
      </c>
      <c r="EM25">
        <f t="shared" si="16"/>
        <v>0</v>
      </c>
      <c r="EN25">
        <f t="shared" si="16"/>
        <v>0</v>
      </c>
      <c r="EO25">
        <f t="shared" si="16"/>
        <v>0</v>
      </c>
      <c r="EP25">
        <f t="shared" si="16"/>
        <v>0</v>
      </c>
      <c r="EQ25">
        <f t="shared" si="16"/>
        <v>0</v>
      </c>
      <c r="ER25">
        <f t="shared" si="16"/>
        <v>0</v>
      </c>
      <c r="ES25">
        <f t="shared" si="16"/>
        <v>0</v>
      </c>
      <c r="ET25">
        <f t="shared" si="16"/>
        <v>0</v>
      </c>
      <c r="EU25">
        <f t="shared" si="16"/>
        <v>0</v>
      </c>
      <c r="EV25">
        <f t="shared" si="16"/>
        <v>0</v>
      </c>
      <c r="EW25">
        <f t="shared" si="16"/>
        <v>0</v>
      </c>
      <c r="EX25">
        <f t="shared" si="16"/>
        <v>0</v>
      </c>
      <c r="EY25">
        <f t="shared" si="16"/>
        <v>0</v>
      </c>
      <c r="EZ25">
        <f t="shared" si="16"/>
        <v>0</v>
      </c>
      <c r="FA25">
        <f t="shared" si="16"/>
        <v>0</v>
      </c>
      <c r="FB25">
        <f t="shared" si="16"/>
        <v>0</v>
      </c>
      <c r="FC25">
        <f t="shared" si="16"/>
        <v>0</v>
      </c>
      <c r="FD25">
        <f t="shared" si="16"/>
        <v>0</v>
      </c>
      <c r="FE25">
        <f t="shared" si="16"/>
        <v>0</v>
      </c>
      <c r="FF25">
        <f t="shared" si="16"/>
        <v>0</v>
      </c>
      <c r="FG25">
        <f t="shared" si="16"/>
        <v>0</v>
      </c>
      <c r="FH25">
        <f t="shared" si="16"/>
        <v>0</v>
      </c>
      <c r="FI25">
        <f t="shared" si="16"/>
        <v>0</v>
      </c>
      <c r="FJ25">
        <f t="shared" si="16"/>
        <v>0</v>
      </c>
      <c r="FK25">
        <f t="shared" si="16"/>
        <v>0</v>
      </c>
      <c r="FL25">
        <f t="shared" si="16"/>
        <v>0</v>
      </c>
      <c r="FM25">
        <f t="shared" si="16"/>
        <v>0</v>
      </c>
      <c r="FN25">
        <f t="shared" si="16"/>
        <v>0</v>
      </c>
      <c r="FO25">
        <f t="shared" si="16"/>
        <v>0</v>
      </c>
      <c r="FP25">
        <f t="shared" si="16"/>
        <v>0</v>
      </c>
      <c r="FQ25">
        <f t="shared" si="16"/>
        <v>0</v>
      </c>
      <c r="FR25">
        <f t="shared" si="16"/>
        <v>0</v>
      </c>
      <c r="FS25">
        <f t="shared" si="16"/>
        <v>0</v>
      </c>
      <c r="FT25">
        <f t="shared" si="16"/>
        <v>0</v>
      </c>
      <c r="FU25">
        <f t="shared" si="16"/>
        <v>0</v>
      </c>
    </row>
    <row r="28" spans="1:177" x14ac:dyDescent="0.25">
      <c r="D28" s="1" t="s">
        <v>186</v>
      </c>
      <c r="E28">
        <f>SUM(E19:E25)</f>
        <v>136.79</v>
      </c>
      <c r="F28">
        <f t="shared" ref="F28:BQ28" si="23">SUM(F19:F25)</f>
        <v>133.34</v>
      </c>
      <c r="G28">
        <f t="shared" si="23"/>
        <v>139.96</v>
      </c>
      <c r="H28">
        <f t="shared" si="23"/>
        <v>135.28</v>
      </c>
      <c r="I28">
        <f t="shared" si="23"/>
        <v>135.19999999999999</v>
      </c>
      <c r="J28">
        <f t="shared" si="23"/>
        <v>129.78</v>
      </c>
      <c r="K28">
        <f t="shared" si="23"/>
        <v>138.64000000000001</v>
      </c>
      <c r="L28">
        <f t="shared" si="23"/>
        <v>139.39999999999998</v>
      </c>
      <c r="M28">
        <f t="shared" si="23"/>
        <v>135.80000000000001</v>
      </c>
      <c r="N28">
        <f t="shared" si="23"/>
        <v>143.68</v>
      </c>
      <c r="O28">
        <f t="shared" si="23"/>
        <v>143.93</v>
      </c>
      <c r="P28">
        <f t="shared" si="23"/>
        <v>136.91</v>
      </c>
      <c r="Q28">
        <f t="shared" si="23"/>
        <v>139.78</v>
      </c>
      <c r="R28">
        <f t="shared" si="23"/>
        <v>133.19</v>
      </c>
      <c r="S28">
        <f t="shared" si="23"/>
        <v>137.59</v>
      </c>
      <c r="T28">
        <f t="shared" si="23"/>
        <v>140.06000000000003</v>
      </c>
      <c r="U28">
        <f t="shared" si="23"/>
        <v>146.43000000000004</v>
      </c>
      <c r="V28">
        <f t="shared" si="23"/>
        <v>141.68</v>
      </c>
      <c r="W28">
        <f t="shared" si="23"/>
        <v>142.41999999999999</v>
      </c>
      <c r="X28">
        <f t="shared" si="23"/>
        <v>142.31</v>
      </c>
      <c r="Y28">
        <f t="shared" si="23"/>
        <v>140.41</v>
      </c>
      <c r="Z28">
        <f t="shared" si="23"/>
        <v>0</v>
      </c>
      <c r="AA28">
        <f t="shared" si="23"/>
        <v>0</v>
      </c>
      <c r="AB28">
        <f t="shared" si="23"/>
        <v>0</v>
      </c>
      <c r="AC28">
        <f t="shared" si="23"/>
        <v>0</v>
      </c>
      <c r="AD28">
        <f t="shared" si="23"/>
        <v>0</v>
      </c>
      <c r="AE28">
        <f t="shared" si="23"/>
        <v>0</v>
      </c>
      <c r="AF28">
        <f t="shared" si="23"/>
        <v>0</v>
      </c>
      <c r="AG28">
        <f t="shared" si="23"/>
        <v>0</v>
      </c>
      <c r="AH28">
        <f t="shared" si="23"/>
        <v>0</v>
      </c>
      <c r="AI28">
        <f t="shared" si="23"/>
        <v>0</v>
      </c>
      <c r="AJ28">
        <f t="shared" si="23"/>
        <v>0</v>
      </c>
      <c r="AK28">
        <f t="shared" si="23"/>
        <v>0</v>
      </c>
      <c r="AL28">
        <f t="shared" si="23"/>
        <v>0</v>
      </c>
      <c r="AM28">
        <f t="shared" si="23"/>
        <v>0</v>
      </c>
      <c r="AN28">
        <f t="shared" si="23"/>
        <v>0</v>
      </c>
      <c r="AO28">
        <f t="shared" si="23"/>
        <v>0</v>
      </c>
      <c r="AP28">
        <f t="shared" si="23"/>
        <v>0</v>
      </c>
      <c r="AQ28">
        <f t="shared" si="23"/>
        <v>0</v>
      </c>
      <c r="AR28">
        <f t="shared" si="23"/>
        <v>0</v>
      </c>
      <c r="AS28">
        <f t="shared" si="23"/>
        <v>0</v>
      </c>
      <c r="AT28">
        <f t="shared" si="23"/>
        <v>0</v>
      </c>
      <c r="AU28">
        <f t="shared" si="23"/>
        <v>0</v>
      </c>
      <c r="AV28">
        <f t="shared" si="23"/>
        <v>0</v>
      </c>
      <c r="AW28">
        <f t="shared" si="23"/>
        <v>0</v>
      </c>
      <c r="AX28">
        <f t="shared" si="23"/>
        <v>0</v>
      </c>
      <c r="AY28">
        <f t="shared" si="23"/>
        <v>0</v>
      </c>
      <c r="AZ28">
        <f t="shared" si="23"/>
        <v>0</v>
      </c>
      <c r="BA28">
        <f t="shared" si="23"/>
        <v>0</v>
      </c>
      <c r="BB28">
        <f t="shared" si="23"/>
        <v>0</v>
      </c>
      <c r="BC28">
        <f t="shared" si="23"/>
        <v>0</v>
      </c>
      <c r="BD28">
        <f t="shared" si="23"/>
        <v>0</v>
      </c>
      <c r="BE28">
        <f t="shared" si="23"/>
        <v>0</v>
      </c>
      <c r="BF28">
        <f t="shared" si="23"/>
        <v>0</v>
      </c>
      <c r="BG28">
        <f t="shared" si="23"/>
        <v>0</v>
      </c>
      <c r="BH28">
        <f t="shared" si="23"/>
        <v>0</v>
      </c>
      <c r="BI28">
        <f t="shared" si="23"/>
        <v>0</v>
      </c>
      <c r="BJ28">
        <f t="shared" si="23"/>
        <v>0</v>
      </c>
      <c r="BK28">
        <f t="shared" si="23"/>
        <v>0</v>
      </c>
      <c r="BL28">
        <f t="shared" si="23"/>
        <v>0</v>
      </c>
      <c r="BM28">
        <f t="shared" si="23"/>
        <v>0</v>
      </c>
      <c r="BN28">
        <f t="shared" si="23"/>
        <v>0</v>
      </c>
      <c r="BO28">
        <f t="shared" si="23"/>
        <v>0</v>
      </c>
      <c r="BP28">
        <f t="shared" si="23"/>
        <v>0</v>
      </c>
      <c r="BQ28">
        <f t="shared" si="23"/>
        <v>0</v>
      </c>
      <c r="BR28">
        <f t="shared" ref="BR28:EC28" si="24">SUM(BR19:BR25)</f>
        <v>0</v>
      </c>
      <c r="BS28">
        <f t="shared" si="24"/>
        <v>0</v>
      </c>
      <c r="BT28">
        <f t="shared" si="24"/>
        <v>0</v>
      </c>
      <c r="BU28">
        <f t="shared" si="24"/>
        <v>0</v>
      </c>
      <c r="BV28">
        <f t="shared" si="24"/>
        <v>0</v>
      </c>
      <c r="BW28">
        <f t="shared" si="24"/>
        <v>0</v>
      </c>
      <c r="BX28">
        <f t="shared" si="24"/>
        <v>0</v>
      </c>
      <c r="BY28">
        <f t="shared" si="24"/>
        <v>0</v>
      </c>
      <c r="BZ28">
        <f t="shared" si="24"/>
        <v>0</v>
      </c>
      <c r="CA28">
        <f t="shared" si="24"/>
        <v>0</v>
      </c>
      <c r="CB28">
        <f t="shared" si="24"/>
        <v>0</v>
      </c>
      <c r="CC28">
        <f t="shared" si="24"/>
        <v>0</v>
      </c>
      <c r="CD28">
        <f t="shared" si="24"/>
        <v>0</v>
      </c>
      <c r="CE28">
        <f t="shared" si="24"/>
        <v>0</v>
      </c>
      <c r="CF28">
        <f t="shared" si="24"/>
        <v>0</v>
      </c>
      <c r="CG28">
        <f t="shared" si="24"/>
        <v>0</v>
      </c>
      <c r="CH28">
        <f t="shared" si="24"/>
        <v>0</v>
      </c>
      <c r="CI28">
        <f t="shared" si="24"/>
        <v>0</v>
      </c>
      <c r="CJ28">
        <f t="shared" si="24"/>
        <v>0</v>
      </c>
      <c r="CK28">
        <f t="shared" si="24"/>
        <v>0</v>
      </c>
      <c r="CL28">
        <f t="shared" si="24"/>
        <v>0</v>
      </c>
      <c r="CM28">
        <f t="shared" si="24"/>
        <v>0</v>
      </c>
      <c r="CN28">
        <f t="shared" si="24"/>
        <v>0</v>
      </c>
      <c r="CO28">
        <f t="shared" si="24"/>
        <v>0</v>
      </c>
      <c r="CP28">
        <f t="shared" si="24"/>
        <v>0</v>
      </c>
      <c r="CQ28">
        <f t="shared" si="24"/>
        <v>0</v>
      </c>
      <c r="CR28">
        <f t="shared" si="24"/>
        <v>0</v>
      </c>
      <c r="CS28">
        <f t="shared" si="24"/>
        <v>0</v>
      </c>
      <c r="CT28">
        <f t="shared" si="24"/>
        <v>0</v>
      </c>
      <c r="CU28">
        <f t="shared" si="24"/>
        <v>0</v>
      </c>
      <c r="CV28">
        <f t="shared" si="24"/>
        <v>0</v>
      </c>
      <c r="CW28">
        <f t="shared" si="24"/>
        <v>0</v>
      </c>
      <c r="CX28">
        <f t="shared" si="24"/>
        <v>0</v>
      </c>
      <c r="CY28">
        <f t="shared" si="24"/>
        <v>0</v>
      </c>
      <c r="CZ28">
        <f t="shared" si="24"/>
        <v>0</v>
      </c>
      <c r="DA28">
        <f t="shared" si="24"/>
        <v>0</v>
      </c>
      <c r="DB28">
        <f t="shared" si="24"/>
        <v>0</v>
      </c>
      <c r="DC28">
        <f t="shared" si="24"/>
        <v>0</v>
      </c>
      <c r="DD28">
        <f t="shared" si="24"/>
        <v>0</v>
      </c>
      <c r="DE28">
        <f t="shared" si="24"/>
        <v>0</v>
      </c>
      <c r="DF28">
        <f t="shared" si="24"/>
        <v>0</v>
      </c>
      <c r="DG28">
        <f t="shared" si="24"/>
        <v>0</v>
      </c>
      <c r="DH28">
        <f t="shared" si="24"/>
        <v>0</v>
      </c>
      <c r="DI28">
        <f t="shared" si="24"/>
        <v>0</v>
      </c>
      <c r="DJ28">
        <f t="shared" si="24"/>
        <v>0</v>
      </c>
      <c r="DK28">
        <f t="shared" si="24"/>
        <v>0</v>
      </c>
      <c r="DL28">
        <f t="shared" si="24"/>
        <v>0</v>
      </c>
      <c r="DM28">
        <f t="shared" si="24"/>
        <v>0</v>
      </c>
      <c r="DN28">
        <f t="shared" si="24"/>
        <v>0</v>
      </c>
      <c r="DO28">
        <f t="shared" si="24"/>
        <v>0</v>
      </c>
      <c r="DP28">
        <f t="shared" si="24"/>
        <v>0</v>
      </c>
      <c r="DQ28">
        <f t="shared" si="24"/>
        <v>0</v>
      </c>
      <c r="DR28">
        <f t="shared" si="24"/>
        <v>0</v>
      </c>
      <c r="DS28">
        <f t="shared" si="24"/>
        <v>0</v>
      </c>
      <c r="DT28">
        <f t="shared" si="24"/>
        <v>0</v>
      </c>
      <c r="DU28">
        <f t="shared" si="24"/>
        <v>0</v>
      </c>
      <c r="DV28">
        <f t="shared" si="24"/>
        <v>0</v>
      </c>
      <c r="DW28">
        <f t="shared" si="24"/>
        <v>0</v>
      </c>
      <c r="DX28">
        <f t="shared" si="24"/>
        <v>0</v>
      </c>
      <c r="DY28">
        <f t="shared" si="24"/>
        <v>0</v>
      </c>
      <c r="DZ28">
        <f t="shared" si="24"/>
        <v>0</v>
      </c>
      <c r="EA28">
        <f t="shared" si="24"/>
        <v>0</v>
      </c>
      <c r="EB28">
        <f t="shared" si="24"/>
        <v>0</v>
      </c>
      <c r="EC28">
        <f t="shared" si="24"/>
        <v>0</v>
      </c>
      <c r="ED28">
        <f t="shared" ref="ED28:FU28" si="25">SUM(ED19:ED25)</f>
        <v>0</v>
      </c>
      <c r="EE28">
        <f t="shared" si="25"/>
        <v>0</v>
      </c>
      <c r="EF28">
        <f t="shared" si="25"/>
        <v>0</v>
      </c>
      <c r="EG28">
        <f t="shared" si="25"/>
        <v>0</v>
      </c>
      <c r="EH28">
        <f t="shared" si="25"/>
        <v>0</v>
      </c>
      <c r="EI28">
        <f t="shared" si="25"/>
        <v>0</v>
      </c>
      <c r="EJ28">
        <f t="shared" si="25"/>
        <v>0</v>
      </c>
      <c r="EK28">
        <f t="shared" si="25"/>
        <v>0</v>
      </c>
      <c r="EL28">
        <f t="shared" si="25"/>
        <v>0</v>
      </c>
      <c r="EM28">
        <f t="shared" si="25"/>
        <v>0</v>
      </c>
      <c r="EN28">
        <f t="shared" si="25"/>
        <v>0</v>
      </c>
      <c r="EO28">
        <f t="shared" si="25"/>
        <v>0</v>
      </c>
      <c r="EP28">
        <f t="shared" si="25"/>
        <v>0</v>
      </c>
      <c r="EQ28">
        <f t="shared" si="25"/>
        <v>0</v>
      </c>
      <c r="ER28">
        <f t="shared" si="25"/>
        <v>0</v>
      </c>
      <c r="ES28">
        <f t="shared" si="25"/>
        <v>0</v>
      </c>
      <c r="ET28">
        <f t="shared" si="25"/>
        <v>0</v>
      </c>
      <c r="EU28">
        <f t="shared" si="25"/>
        <v>0</v>
      </c>
      <c r="EV28">
        <f t="shared" si="25"/>
        <v>0</v>
      </c>
      <c r="EW28">
        <f t="shared" si="25"/>
        <v>0</v>
      </c>
      <c r="EX28">
        <f t="shared" si="25"/>
        <v>0</v>
      </c>
      <c r="EY28">
        <f t="shared" si="25"/>
        <v>0</v>
      </c>
      <c r="EZ28">
        <f t="shared" si="25"/>
        <v>0</v>
      </c>
      <c r="FA28">
        <f t="shared" si="25"/>
        <v>0</v>
      </c>
      <c r="FB28">
        <f t="shared" si="25"/>
        <v>0</v>
      </c>
      <c r="FC28">
        <f t="shared" si="25"/>
        <v>0</v>
      </c>
      <c r="FD28">
        <f t="shared" si="25"/>
        <v>0</v>
      </c>
      <c r="FE28">
        <f t="shared" si="25"/>
        <v>0</v>
      </c>
      <c r="FF28">
        <f t="shared" si="25"/>
        <v>0</v>
      </c>
      <c r="FG28">
        <f t="shared" si="25"/>
        <v>0</v>
      </c>
      <c r="FH28">
        <f t="shared" si="25"/>
        <v>0</v>
      </c>
      <c r="FI28">
        <f t="shared" si="25"/>
        <v>0</v>
      </c>
      <c r="FJ28">
        <f t="shared" si="25"/>
        <v>0</v>
      </c>
      <c r="FK28">
        <f t="shared" si="25"/>
        <v>0</v>
      </c>
      <c r="FL28">
        <f t="shared" si="25"/>
        <v>0</v>
      </c>
      <c r="FM28">
        <f t="shared" si="25"/>
        <v>0</v>
      </c>
      <c r="FN28">
        <f t="shared" si="25"/>
        <v>0</v>
      </c>
      <c r="FO28">
        <f t="shared" si="25"/>
        <v>0</v>
      </c>
      <c r="FP28">
        <f t="shared" si="25"/>
        <v>0</v>
      </c>
      <c r="FQ28">
        <f t="shared" si="25"/>
        <v>0</v>
      </c>
      <c r="FR28">
        <f t="shared" si="25"/>
        <v>0</v>
      </c>
      <c r="FS28">
        <f t="shared" si="25"/>
        <v>0</v>
      </c>
      <c r="FT28">
        <f t="shared" si="25"/>
        <v>0</v>
      </c>
      <c r="FU28">
        <f t="shared" si="25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25BB-B21F-4000-81BE-072D40C1B172}">
  <dimension ref="A1:FU26"/>
  <sheetViews>
    <sheetView workbookViewId="0">
      <pane xSplit="4" topLeftCell="E1" activePane="topRight" state="frozen"/>
      <selection pane="topRight" activeCell="M29" sqref="M29"/>
    </sheetView>
  </sheetViews>
  <sheetFormatPr defaultRowHeight="15" x14ac:dyDescent="0.25"/>
  <cols>
    <col min="1" max="1" width="8.85546875" customWidth="1"/>
    <col min="2" max="2" width="27.5703125" customWidth="1"/>
    <col min="3" max="3" width="2.85546875" hidden="1" customWidth="1"/>
    <col min="4" max="4" width="11.140625" customWidth="1"/>
    <col min="5" max="177" width="10.42578125" customWidth="1"/>
  </cols>
  <sheetData>
    <row r="1" spans="1:177" x14ac:dyDescent="0.25">
      <c r="B1" t="s">
        <v>95</v>
      </c>
    </row>
    <row r="3" spans="1:177" x14ac:dyDescent="0.25">
      <c r="A3" s="1" t="s">
        <v>0</v>
      </c>
      <c r="B3" s="1" t="s">
        <v>1</v>
      </c>
      <c r="C3" s="1" t="s">
        <v>2</v>
      </c>
      <c r="D3" s="1" t="s">
        <v>8</v>
      </c>
      <c r="E3" s="2">
        <f>Inventory!E1</f>
        <v>44331</v>
      </c>
      <c r="F3" s="2">
        <f>Inventory!F1</f>
        <v>44332</v>
      </c>
      <c r="G3" s="2">
        <f>Inventory!G1</f>
        <v>44334</v>
      </c>
      <c r="H3" s="2">
        <f>Inventory!H1</f>
        <v>44336</v>
      </c>
      <c r="I3" s="2">
        <f>Inventory!I1</f>
        <v>44337</v>
      </c>
      <c r="J3" s="2">
        <f>Inventory!J1</f>
        <v>44338</v>
      </c>
      <c r="K3" s="2">
        <f>Inventory!K1</f>
        <v>44339</v>
      </c>
      <c r="L3" s="2">
        <f>Inventory!L1</f>
        <v>44340</v>
      </c>
      <c r="M3" s="2">
        <f>Inventory!M1</f>
        <v>44341</v>
      </c>
      <c r="N3" s="2">
        <f>Inventory!N1</f>
        <v>44342</v>
      </c>
      <c r="O3" s="2">
        <f>Inventory!O1</f>
        <v>44343</v>
      </c>
      <c r="P3" s="2">
        <f>Inventory!P1</f>
        <v>44344</v>
      </c>
      <c r="Q3" s="2">
        <f>Inventory!Q1</f>
        <v>44345</v>
      </c>
      <c r="R3" s="2">
        <f>Inventory!R1</f>
        <v>44346</v>
      </c>
      <c r="S3" s="2">
        <f>Inventory!S1</f>
        <v>44347</v>
      </c>
      <c r="T3" s="2">
        <f>Inventory!T1</f>
        <v>44348</v>
      </c>
      <c r="U3" s="2">
        <f>Inventory!U1</f>
        <v>44349</v>
      </c>
      <c r="V3" s="2">
        <f>Inventory!V1</f>
        <v>44350</v>
      </c>
      <c r="W3" s="2">
        <f>Inventory!W1</f>
        <v>44351</v>
      </c>
      <c r="X3" s="2">
        <f>Inventory!X1</f>
        <v>44352</v>
      </c>
      <c r="Y3" s="2">
        <f>Inventory!Y1</f>
        <v>44353</v>
      </c>
      <c r="Z3" s="2">
        <f>Inventory!Z1</f>
        <v>44354</v>
      </c>
      <c r="AA3" s="2">
        <f>Inventory!AA1</f>
        <v>44355</v>
      </c>
      <c r="AB3" s="2">
        <f>Inventory!AB1</f>
        <v>44356</v>
      </c>
      <c r="AC3" s="2">
        <f>Inventory!AC1</f>
        <v>44357</v>
      </c>
      <c r="AD3" s="2">
        <f>Inventory!AD1</f>
        <v>44358</v>
      </c>
      <c r="AE3" s="2">
        <f>Inventory!AE1</f>
        <v>44359</v>
      </c>
      <c r="AF3" s="2">
        <f>Inventory!AF1</f>
        <v>44360</v>
      </c>
      <c r="AG3" s="2">
        <f>Inventory!AG1</f>
        <v>44361</v>
      </c>
      <c r="AH3" s="2">
        <f>Inventory!AH1</f>
        <v>44362</v>
      </c>
      <c r="AI3" s="2">
        <f>Inventory!AI1</f>
        <v>44363</v>
      </c>
      <c r="AJ3" s="2">
        <f>Inventory!AJ1</f>
        <v>44364</v>
      </c>
      <c r="AK3" s="2">
        <f>Inventory!AK1</f>
        <v>44365</v>
      </c>
      <c r="AL3" s="2">
        <f>Inventory!AL1</f>
        <v>44366</v>
      </c>
      <c r="AM3" s="2">
        <f>Inventory!AM1</f>
        <v>44367</v>
      </c>
      <c r="AN3" s="2">
        <f>Inventory!AN1</f>
        <v>44368</v>
      </c>
      <c r="AO3" s="2">
        <f>Inventory!AO1</f>
        <v>44369</v>
      </c>
      <c r="AP3" s="2">
        <f>Inventory!AP1</f>
        <v>44370</v>
      </c>
      <c r="AQ3" s="2">
        <f>Inventory!AQ1</f>
        <v>44371</v>
      </c>
      <c r="AR3" s="2">
        <f>Inventory!AR1</f>
        <v>44372</v>
      </c>
      <c r="AS3" s="2">
        <f>Inventory!AS1</f>
        <v>44373</v>
      </c>
      <c r="AT3" s="2">
        <f>Inventory!AT1</f>
        <v>44374</v>
      </c>
      <c r="AU3" s="2">
        <f>Inventory!AU1</f>
        <v>44375</v>
      </c>
      <c r="AV3" s="2">
        <f>Inventory!AV1</f>
        <v>44376</v>
      </c>
      <c r="AW3" s="2">
        <f>Inventory!AW1</f>
        <v>44377</v>
      </c>
      <c r="AX3" s="2">
        <f>Inventory!AX1</f>
        <v>44378</v>
      </c>
      <c r="AY3" s="2">
        <f>Inventory!AY1</f>
        <v>44379</v>
      </c>
      <c r="AZ3" s="2">
        <f>Inventory!AZ1</f>
        <v>44380</v>
      </c>
      <c r="BA3" s="2">
        <f>Inventory!BA1</f>
        <v>44381</v>
      </c>
      <c r="BB3" s="2">
        <f>Inventory!BB1</f>
        <v>44382</v>
      </c>
      <c r="BC3" s="2">
        <f>Inventory!BC1</f>
        <v>44383</v>
      </c>
      <c r="BD3" s="2">
        <f>Inventory!BD1</f>
        <v>44384</v>
      </c>
      <c r="BE3" s="2">
        <f>Inventory!BE1</f>
        <v>44385</v>
      </c>
      <c r="BF3" s="2">
        <f>Inventory!BF1</f>
        <v>44386</v>
      </c>
      <c r="BG3" s="2">
        <f>Inventory!BG1</f>
        <v>44387</v>
      </c>
      <c r="BH3" s="2">
        <f>Inventory!BH1</f>
        <v>44388</v>
      </c>
      <c r="BI3" s="2">
        <f>Inventory!BI1</f>
        <v>44389</v>
      </c>
      <c r="BJ3" s="2">
        <f>Inventory!BJ1</f>
        <v>44390</v>
      </c>
      <c r="BK3" s="2">
        <f>Inventory!BK1</f>
        <v>44391</v>
      </c>
      <c r="BL3" s="2">
        <f>Inventory!BL1</f>
        <v>44392</v>
      </c>
      <c r="BM3" s="2">
        <f>Inventory!BM1</f>
        <v>44393</v>
      </c>
      <c r="BN3" s="2">
        <f>Inventory!BN1</f>
        <v>44394</v>
      </c>
      <c r="BO3" s="2">
        <f>Inventory!BO1</f>
        <v>44395</v>
      </c>
      <c r="BP3" s="2">
        <f>Inventory!BP1</f>
        <v>44396</v>
      </c>
      <c r="BQ3" s="2">
        <f>Inventory!BQ1</f>
        <v>44397</v>
      </c>
      <c r="BR3" s="2">
        <f>Inventory!BR1</f>
        <v>44398</v>
      </c>
      <c r="BS3" s="2">
        <f>Inventory!BS1</f>
        <v>44399</v>
      </c>
      <c r="BT3" s="2">
        <f>Inventory!BT1</f>
        <v>44400</v>
      </c>
      <c r="BU3" s="2">
        <f>Inventory!BU1</f>
        <v>44401</v>
      </c>
      <c r="BV3" s="2">
        <f>Inventory!BV1</f>
        <v>44402</v>
      </c>
      <c r="BW3" s="2">
        <f>Inventory!BW1</f>
        <v>44403</v>
      </c>
      <c r="BX3" s="2">
        <f>Inventory!BX1</f>
        <v>44404</v>
      </c>
      <c r="BY3" s="2">
        <f>Inventory!BY1</f>
        <v>44405</v>
      </c>
      <c r="BZ3" s="2">
        <f>Inventory!BZ1</f>
        <v>44406</v>
      </c>
      <c r="CA3" s="2">
        <f>Inventory!CA1</f>
        <v>44407</v>
      </c>
      <c r="CB3" s="2">
        <f>Inventory!CB1</f>
        <v>44408</v>
      </c>
      <c r="CC3" s="2">
        <f>Inventory!CC1</f>
        <v>44409</v>
      </c>
      <c r="CD3" s="2">
        <f>Inventory!CD1</f>
        <v>44410</v>
      </c>
      <c r="CE3" s="2">
        <f>Inventory!CE1</f>
        <v>44411</v>
      </c>
      <c r="CF3" s="2">
        <f>Inventory!CF1</f>
        <v>44412</v>
      </c>
      <c r="CG3" s="2">
        <f>Inventory!CG1</f>
        <v>44413</v>
      </c>
      <c r="CH3" s="2">
        <f>Inventory!CH1</f>
        <v>44414</v>
      </c>
      <c r="CI3" s="2">
        <f>Inventory!CI1</f>
        <v>44415</v>
      </c>
      <c r="CJ3" s="2">
        <f>Inventory!CJ1</f>
        <v>44416</v>
      </c>
      <c r="CK3" s="2">
        <f>Inventory!CK1</f>
        <v>44417</v>
      </c>
      <c r="CL3" s="2">
        <f>Inventory!CL1</f>
        <v>44418</v>
      </c>
      <c r="CM3" s="2">
        <f>Inventory!CM1</f>
        <v>44419</v>
      </c>
      <c r="CN3" s="2">
        <f>Inventory!CN1</f>
        <v>44420</v>
      </c>
      <c r="CO3" s="2">
        <f>Inventory!CO1</f>
        <v>44421</v>
      </c>
      <c r="CP3" s="2">
        <f>Inventory!CP1</f>
        <v>44422</v>
      </c>
      <c r="CQ3" s="2">
        <f>Inventory!CQ1</f>
        <v>44423</v>
      </c>
      <c r="CR3" s="2">
        <f>Inventory!CR1</f>
        <v>44424</v>
      </c>
      <c r="CS3" s="2">
        <f>Inventory!CS1</f>
        <v>44425</v>
      </c>
      <c r="CT3" s="2">
        <f>Inventory!CT1</f>
        <v>44426</v>
      </c>
      <c r="CU3" s="2">
        <f>Inventory!CU1</f>
        <v>44427</v>
      </c>
      <c r="CV3" s="2">
        <f>Inventory!CV1</f>
        <v>44428</v>
      </c>
      <c r="CW3" s="2">
        <f>Inventory!CW1</f>
        <v>44429</v>
      </c>
      <c r="CX3" s="2">
        <f>Inventory!CX1</f>
        <v>44430</v>
      </c>
      <c r="CY3" s="2">
        <f>Inventory!CY1</f>
        <v>44431</v>
      </c>
      <c r="CZ3" s="2">
        <f>Inventory!CZ1</f>
        <v>44432</v>
      </c>
      <c r="DA3" s="2">
        <f>Inventory!DA1</f>
        <v>44433</v>
      </c>
      <c r="DB3" s="2">
        <f>Inventory!DB1</f>
        <v>44434</v>
      </c>
      <c r="DC3" s="2">
        <f>Inventory!DC1</f>
        <v>44435</v>
      </c>
      <c r="DD3" s="2">
        <f>Inventory!DD1</f>
        <v>44436</v>
      </c>
      <c r="DE3" s="2">
        <f>Inventory!DE1</f>
        <v>44437</v>
      </c>
      <c r="DF3" s="2">
        <f>Inventory!DF1</f>
        <v>44438</v>
      </c>
      <c r="DG3" s="2">
        <f>Inventory!DG1</f>
        <v>44439</v>
      </c>
      <c r="DH3" s="2">
        <f>Inventory!DH1</f>
        <v>44440</v>
      </c>
      <c r="DI3" s="2">
        <f>Inventory!DI1</f>
        <v>44441</v>
      </c>
      <c r="DJ3" s="2">
        <f>Inventory!DJ1</f>
        <v>44442</v>
      </c>
      <c r="DK3" s="2">
        <f>Inventory!DK1</f>
        <v>44443</v>
      </c>
      <c r="DL3" s="2">
        <f>Inventory!DL1</f>
        <v>44444</v>
      </c>
      <c r="DM3" s="2">
        <f>Inventory!DM1</f>
        <v>44445</v>
      </c>
      <c r="DN3" s="2">
        <f>Inventory!DN1</f>
        <v>44446</v>
      </c>
      <c r="DO3" s="2">
        <f>Inventory!DO1</f>
        <v>44447</v>
      </c>
      <c r="DP3" s="2">
        <f>Inventory!DP1</f>
        <v>44448</v>
      </c>
      <c r="DQ3" s="2">
        <f>Inventory!DQ1</f>
        <v>44449</v>
      </c>
      <c r="DR3" s="2">
        <f>Inventory!DR1</f>
        <v>44450</v>
      </c>
      <c r="DS3" s="2">
        <f>Inventory!DS1</f>
        <v>44451</v>
      </c>
      <c r="DT3" s="2">
        <f>Inventory!DT1</f>
        <v>44452</v>
      </c>
      <c r="DU3" s="2">
        <f>Inventory!DU1</f>
        <v>44453</v>
      </c>
      <c r="DV3" s="2">
        <f>Inventory!DV1</f>
        <v>44454</v>
      </c>
      <c r="DW3" s="2">
        <f>Inventory!DW1</f>
        <v>44455</v>
      </c>
      <c r="DX3" s="2">
        <f>Inventory!DX1</f>
        <v>44456</v>
      </c>
      <c r="DY3" s="2">
        <f>Inventory!DY1</f>
        <v>44457</v>
      </c>
      <c r="DZ3" s="2">
        <f>Inventory!DZ1</f>
        <v>44458</v>
      </c>
      <c r="EA3" s="2">
        <f>Inventory!EA1</f>
        <v>44459</v>
      </c>
      <c r="EB3" s="2">
        <f>Inventory!EB1</f>
        <v>44460</v>
      </c>
      <c r="EC3" s="2">
        <f>Inventory!EC1</f>
        <v>44461</v>
      </c>
      <c r="ED3" s="2">
        <f>Inventory!ED1</f>
        <v>44462</v>
      </c>
      <c r="EE3" s="2">
        <f>Inventory!EE1</f>
        <v>44463</v>
      </c>
      <c r="EF3" s="2">
        <f>Inventory!EF1</f>
        <v>44464</v>
      </c>
      <c r="EG3" s="2">
        <f>Inventory!EG1</f>
        <v>44465</v>
      </c>
      <c r="EH3" s="2">
        <f>Inventory!EH1</f>
        <v>44466</v>
      </c>
      <c r="EI3" s="2">
        <f>Inventory!EI1</f>
        <v>44467</v>
      </c>
      <c r="EJ3" s="2">
        <f>Inventory!EJ1</f>
        <v>44468</v>
      </c>
      <c r="EK3" s="2">
        <f>Inventory!EK1</f>
        <v>44469</v>
      </c>
      <c r="EL3" s="2">
        <f>Inventory!EL1</f>
        <v>44470</v>
      </c>
      <c r="EM3" s="2">
        <f>Inventory!EM1</f>
        <v>44471</v>
      </c>
      <c r="EN3" s="2">
        <f>Inventory!EN1</f>
        <v>44472</v>
      </c>
      <c r="EO3" s="2">
        <f>Inventory!EO1</f>
        <v>44473</v>
      </c>
      <c r="EP3" s="2">
        <f>Inventory!EP1</f>
        <v>44474</v>
      </c>
      <c r="EQ3" s="2">
        <f>Inventory!EQ1</f>
        <v>44475</v>
      </c>
      <c r="ER3" s="2">
        <f>Inventory!ER1</f>
        <v>44476</v>
      </c>
      <c r="ES3" s="2">
        <f>Inventory!ES1</f>
        <v>44477</v>
      </c>
      <c r="ET3" s="2">
        <f>Inventory!ET1</f>
        <v>44478</v>
      </c>
      <c r="EU3" s="2">
        <f>Inventory!EU1</f>
        <v>44479</v>
      </c>
      <c r="EV3" s="2">
        <f>Inventory!EV1</f>
        <v>44480</v>
      </c>
      <c r="EW3" s="2">
        <f>Inventory!EW1</f>
        <v>44481</v>
      </c>
      <c r="EX3" s="2">
        <f>Inventory!EX1</f>
        <v>44482</v>
      </c>
      <c r="EY3" s="2">
        <f>Inventory!EY1</f>
        <v>44483</v>
      </c>
      <c r="EZ3" s="2">
        <f>Inventory!EZ1</f>
        <v>44484</v>
      </c>
      <c r="FA3" s="2">
        <f>Inventory!FA1</f>
        <v>44485</v>
      </c>
      <c r="FB3" s="2">
        <f>Inventory!FB1</f>
        <v>44486</v>
      </c>
      <c r="FC3" s="2">
        <f>Inventory!FC1</f>
        <v>44487</v>
      </c>
      <c r="FD3" s="2">
        <f>Inventory!FD1</f>
        <v>44488</v>
      </c>
      <c r="FE3" s="2">
        <f>Inventory!FE1</f>
        <v>44489</v>
      </c>
      <c r="FF3" s="2">
        <f>Inventory!FF1</f>
        <v>44490</v>
      </c>
      <c r="FG3" s="2">
        <f>Inventory!FG1</f>
        <v>44491</v>
      </c>
      <c r="FH3" s="2">
        <f>Inventory!FH1</f>
        <v>44492</v>
      </c>
      <c r="FI3" s="2">
        <f>Inventory!FI1</f>
        <v>44493</v>
      </c>
      <c r="FJ3" s="2">
        <f>Inventory!FJ1</f>
        <v>44494</v>
      </c>
      <c r="FK3" s="2">
        <f>Inventory!FK1</f>
        <v>44495</v>
      </c>
      <c r="FL3" s="2">
        <f>Inventory!FL1</f>
        <v>44496</v>
      </c>
      <c r="FM3" s="2">
        <f>Inventory!FM1</f>
        <v>44497</v>
      </c>
      <c r="FN3" s="2">
        <f>Inventory!FN1</f>
        <v>44498</v>
      </c>
      <c r="FO3" s="2">
        <f>Inventory!FO1</f>
        <v>44499</v>
      </c>
      <c r="FP3" s="2">
        <f>Inventory!FP1</f>
        <v>44500</v>
      </c>
      <c r="FQ3" s="2">
        <f>Inventory!FQ1</f>
        <v>44501</v>
      </c>
      <c r="FR3" s="2">
        <f>Inventory!FR1</f>
        <v>44502</v>
      </c>
      <c r="FS3" s="2">
        <f>Inventory!FS1</f>
        <v>44503</v>
      </c>
      <c r="FT3" s="2">
        <f>Inventory!FT1</f>
        <v>44504</v>
      </c>
      <c r="FU3" s="2">
        <f>Inventory!FU1</f>
        <v>44505</v>
      </c>
    </row>
    <row r="4" spans="1:177" x14ac:dyDescent="0.25">
      <c r="A4" t="str" cm="1">
        <f t="array" ref="A4:FU9">_xlfn._xlws.FILTER(Inventory!$A$2:$FU$103, (Inventory!C2:C103="AK-47"))</f>
        <v>AK-47</v>
      </c>
      <c r="B4" t="str">
        <v>Aquamarine Revenge MW</v>
      </c>
      <c r="C4" t="str">
        <v>AK-47</v>
      </c>
      <c r="D4" t="str">
        <v>Falchion</v>
      </c>
      <c r="E4">
        <v>47.51</v>
      </c>
      <c r="F4">
        <v>47.17</v>
      </c>
      <c r="G4">
        <v>49.37</v>
      </c>
      <c r="H4">
        <v>48.37</v>
      </c>
      <c r="I4">
        <v>46.08</v>
      </c>
      <c r="J4">
        <v>44.96</v>
      </c>
      <c r="K4">
        <v>46.07</v>
      </c>
      <c r="L4">
        <v>45.89</v>
      </c>
      <c r="M4">
        <v>44.94</v>
      </c>
      <c r="N4">
        <v>45.49</v>
      </c>
      <c r="O4">
        <v>46.09</v>
      </c>
      <c r="P4">
        <v>45.74</v>
      </c>
      <c r="Q4">
        <v>45.73</v>
      </c>
      <c r="R4">
        <v>44.74</v>
      </c>
      <c r="S4">
        <v>44.91</v>
      </c>
      <c r="T4">
        <v>46.13</v>
      </c>
      <c r="U4">
        <v>46.46</v>
      </c>
      <c r="V4">
        <v>45.58</v>
      </c>
      <c r="W4">
        <v>45.39</v>
      </c>
      <c r="X4">
        <v>43.55</v>
      </c>
      <c r="Y4">
        <v>46.01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</row>
    <row r="5" spans="1:177" x14ac:dyDescent="0.25">
      <c r="A5" t="str">
        <v>AK-47</v>
      </c>
      <c r="B5" t="str">
        <v>Frontside Misty MW</v>
      </c>
      <c r="C5" t="str">
        <v>AK-47</v>
      </c>
      <c r="D5" t="str">
        <v>Shadow</v>
      </c>
      <c r="E5">
        <v>26.57</v>
      </c>
      <c r="F5">
        <v>27.42</v>
      </c>
      <c r="G5">
        <v>27.83</v>
      </c>
      <c r="H5">
        <v>27.26</v>
      </c>
      <c r="I5">
        <v>25.67</v>
      </c>
      <c r="J5">
        <v>25.26</v>
      </c>
      <c r="K5">
        <v>25.26</v>
      </c>
      <c r="L5">
        <v>25.88</v>
      </c>
      <c r="M5">
        <v>26.82</v>
      </c>
      <c r="N5">
        <v>25.54</v>
      </c>
      <c r="O5">
        <v>24.7</v>
      </c>
      <c r="P5">
        <v>25.46</v>
      </c>
      <c r="Q5">
        <v>25.22</v>
      </c>
      <c r="R5">
        <v>25.89</v>
      </c>
      <c r="S5">
        <v>25.22</v>
      </c>
      <c r="T5">
        <v>27.19</v>
      </c>
      <c r="U5">
        <v>26.35</v>
      </c>
      <c r="V5">
        <v>26</v>
      </c>
      <c r="W5">
        <v>25.71</v>
      </c>
      <c r="X5">
        <v>26.46</v>
      </c>
      <c r="Y5">
        <v>26.13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</row>
    <row r="6" spans="1:177" x14ac:dyDescent="0.25">
      <c r="A6" t="str">
        <v>AK-47</v>
      </c>
      <c r="B6" t="str">
        <v>StatTrak Point Disarray FT</v>
      </c>
      <c r="C6" t="str">
        <v>AK-47</v>
      </c>
      <c r="D6" t="str">
        <v>Revolver</v>
      </c>
      <c r="E6">
        <v>37.770000000000003</v>
      </c>
      <c r="F6">
        <v>40.4</v>
      </c>
      <c r="G6">
        <v>39.340000000000003</v>
      </c>
      <c r="H6">
        <v>38.5</v>
      </c>
      <c r="I6">
        <v>40.049999999999997</v>
      </c>
      <c r="J6">
        <v>39.93</v>
      </c>
      <c r="K6">
        <v>38.409999999999997</v>
      </c>
      <c r="L6">
        <v>38.11</v>
      </c>
      <c r="M6">
        <v>37.81</v>
      </c>
      <c r="N6">
        <v>37.83</v>
      </c>
      <c r="O6">
        <v>39.6</v>
      </c>
      <c r="P6">
        <v>39.72</v>
      </c>
      <c r="Q6">
        <v>39.450000000000003</v>
      </c>
      <c r="R6">
        <v>35.369999999999997</v>
      </c>
      <c r="S6">
        <v>38.56</v>
      </c>
      <c r="T6">
        <v>37.049999999999997</v>
      </c>
      <c r="U6">
        <v>38.83</v>
      </c>
      <c r="V6">
        <v>39.65</v>
      </c>
      <c r="W6">
        <v>35.33</v>
      </c>
      <c r="X6">
        <v>34.11</v>
      </c>
      <c r="Y6">
        <v>35.04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</row>
    <row r="7" spans="1:177" x14ac:dyDescent="0.25">
      <c r="A7" t="str">
        <v>AK-47</v>
      </c>
      <c r="B7" t="str">
        <v>Bloodsport MW</v>
      </c>
      <c r="C7" t="str">
        <v>AK-47</v>
      </c>
      <c r="D7" t="str">
        <v>Spectrum</v>
      </c>
      <c r="E7">
        <v>62.15</v>
      </c>
      <c r="F7">
        <v>61.77</v>
      </c>
      <c r="G7">
        <v>62.83</v>
      </c>
      <c r="H7">
        <v>62.69</v>
      </c>
      <c r="I7">
        <v>59.41</v>
      </c>
      <c r="J7">
        <v>62.97</v>
      </c>
      <c r="K7">
        <v>61.22</v>
      </c>
      <c r="L7">
        <v>59.28</v>
      </c>
      <c r="M7">
        <v>60</v>
      </c>
      <c r="N7">
        <v>61.12</v>
      </c>
      <c r="O7">
        <v>60.26</v>
      </c>
      <c r="P7">
        <v>60.03</v>
      </c>
      <c r="Q7">
        <v>60.1</v>
      </c>
      <c r="R7">
        <v>61.83</v>
      </c>
      <c r="S7">
        <v>63.61</v>
      </c>
      <c r="T7">
        <v>59.98</v>
      </c>
      <c r="U7">
        <v>60.1</v>
      </c>
      <c r="V7">
        <v>61.21</v>
      </c>
      <c r="W7">
        <v>60.3</v>
      </c>
      <c r="X7">
        <v>60</v>
      </c>
      <c r="Y7">
        <v>61.55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</row>
    <row r="8" spans="1:177" x14ac:dyDescent="0.25">
      <c r="A8" t="str">
        <v>AK-47</v>
      </c>
      <c r="B8" t="str">
        <v>Vulcan MW</v>
      </c>
      <c r="C8" t="str">
        <v>AK-47</v>
      </c>
      <c r="D8" t="str">
        <v>Huntsman</v>
      </c>
      <c r="E8">
        <v>192.99</v>
      </c>
      <c r="F8">
        <v>203.36</v>
      </c>
      <c r="G8">
        <v>210.82</v>
      </c>
      <c r="H8">
        <v>201.42</v>
      </c>
      <c r="I8">
        <v>212.4</v>
      </c>
      <c r="J8">
        <v>197.46</v>
      </c>
      <c r="K8">
        <v>200.73</v>
      </c>
      <c r="L8">
        <v>207.88</v>
      </c>
      <c r="M8">
        <v>194.84</v>
      </c>
      <c r="N8">
        <v>215.86</v>
      </c>
      <c r="O8">
        <v>215.62</v>
      </c>
      <c r="P8">
        <v>213.15</v>
      </c>
      <c r="Q8">
        <v>195.27</v>
      </c>
      <c r="R8">
        <v>206.84</v>
      </c>
      <c r="S8">
        <v>206.2</v>
      </c>
      <c r="T8">
        <v>217.85</v>
      </c>
      <c r="U8">
        <v>214.41</v>
      </c>
      <c r="V8">
        <v>219.34</v>
      </c>
      <c r="W8">
        <v>226.95</v>
      </c>
      <c r="X8">
        <v>265.85000000000002</v>
      </c>
      <c r="Y8">
        <v>250.41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</row>
    <row r="9" spans="1:177" x14ac:dyDescent="0.25">
      <c r="A9" t="str">
        <v>AK-47</v>
      </c>
      <c r="B9" t="str">
        <v>Redline FT</v>
      </c>
      <c r="C9" t="str">
        <v>AK-47</v>
      </c>
      <c r="D9" t="str">
        <v>Phoenix</v>
      </c>
      <c r="E9">
        <v>18.21</v>
      </c>
      <c r="F9">
        <v>18.21</v>
      </c>
      <c r="G9">
        <v>18.36</v>
      </c>
      <c r="H9">
        <v>18.21</v>
      </c>
      <c r="I9">
        <v>18.2</v>
      </c>
      <c r="J9">
        <v>18.899999999999999</v>
      </c>
      <c r="K9">
        <v>17.899999999999999</v>
      </c>
      <c r="L9">
        <v>18.010000000000002</v>
      </c>
      <c r="M9">
        <v>18.05</v>
      </c>
      <c r="N9">
        <v>18.100000000000001</v>
      </c>
      <c r="O9">
        <v>18.11</v>
      </c>
      <c r="P9">
        <v>17.559999999999999</v>
      </c>
      <c r="Q9">
        <v>18.05</v>
      </c>
      <c r="R9">
        <v>17.829999999999998</v>
      </c>
      <c r="S9">
        <v>17.53</v>
      </c>
      <c r="T9">
        <v>17.329999999999998</v>
      </c>
      <c r="U9">
        <v>17.55</v>
      </c>
      <c r="V9">
        <v>17.43</v>
      </c>
      <c r="W9">
        <v>17.559999999999999</v>
      </c>
      <c r="X9">
        <v>17.63</v>
      </c>
      <c r="Y9">
        <v>17.88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</row>
    <row r="12" spans="1:177" x14ac:dyDescent="0.25">
      <c r="D12" s="1" t="s">
        <v>186</v>
      </c>
      <c r="E12">
        <f>SUM(E4:E9)</f>
        <v>385.2</v>
      </c>
      <c r="F12">
        <f t="shared" ref="F12:BQ12" si="0">SUM(F4:F9)</f>
        <v>398.33</v>
      </c>
      <c r="G12">
        <f t="shared" si="0"/>
        <v>408.55</v>
      </c>
      <c r="H12">
        <f t="shared" si="0"/>
        <v>396.45</v>
      </c>
      <c r="I12">
        <f t="shared" si="0"/>
        <v>401.81</v>
      </c>
      <c r="J12">
        <f t="shared" si="0"/>
        <v>389.48</v>
      </c>
      <c r="K12">
        <f t="shared" si="0"/>
        <v>389.58999999999992</v>
      </c>
      <c r="L12">
        <f t="shared" si="0"/>
        <v>395.04999999999995</v>
      </c>
      <c r="M12">
        <f t="shared" si="0"/>
        <v>382.46</v>
      </c>
      <c r="N12">
        <f t="shared" si="0"/>
        <v>403.94000000000005</v>
      </c>
      <c r="O12">
        <f t="shared" si="0"/>
        <v>404.38</v>
      </c>
      <c r="P12">
        <f t="shared" si="0"/>
        <v>401.66</v>
      </c>
      <c r="Q12">
        <f t="shared" si="0"/>
        <v>383.82</v>
      </c>
      <c r="R12">
        <f t="shared" si="0"/>
        <v>392.49999999999994</v>
      </c>
      <c r="S12">
        <f t="shared" si="0"/>
        <v>396.03</v>
      </c>
      <c r="T12">
        <f t="shared" si="0"/>
        <v>405.53</v>
      </c>
      <c r="U12">
        <f t="shared" si="0"/>
        <v>403.7</v>
      </c>
      <c r="V12">
        <f t="shared" si="0"/>
        <v>409.21</v>
      </c>
      <c r="W12">
        <f t="shared" si="0"/>
        <v>411.23999999999995</v>
      </c>
      <c r="X12">
        <f t="shared" si="0"/>
        <v>447.6</v>
      </c>
      <c r="Y12">
        <f t="shared" si="0"/>
        <v>437.02</v>
      </c>
      <c r="Z12">
        <f t="shared" si="0"/>
        <v>0</v>
      </c>
      <c r="AA12">
        <f t="shared" si="0"/>
        <v>0</v>
      </c>
      <c r="AB12">
        <f t="shared" si="0"/>
        <v>0</v>
      </c>
      <c r="AC12">
        <f t="shared" si="0"/>
        <v>0</v>
      </c>
      <c r="AD12">
        <f t="shared" si="0"/>
        <v>0</v>
      </c>
      <c r="AE12">
        <f t="shared" si="0"/>
        <v>0</v>
      </c>
      <c r="AF12">
        <f t="shared" si="0"/>
        <v>0</v>
      </c>
      <c r="AG12">
        <f t="shared" si="0"/>
        <v>0</v>
      </c>
      <c r="AH12">
        <f t="shared" si="0"/>
        <v>0</v>
      </c>
      <c r="AI12">
        <f t="shared" si="0"/>
        <v>0</v>
      </c>
      <c r="AJ12">
        <f t="shared" si="0"/>
        <v>0</v>
      </c>
      <c r="AK12">
        <f t="shared" si="0"/>
        <v>0</v>
      </c>
      <c r="AL12">
        <f t="shared" si="0"/>
        <v>0</v>
      </c>
      <c r="AM12">
        <f t="shared" si="0"/>
        <v>0</v>
      </c>
      <c r="AN12">
        <f t="shared" si="0"/>
        <v>0</v>
      </c>
      <c r="AO12">
        <f t="shared" si="0"/>
        <v>0</v>
      </c>
      <c r="AP12">
        <f t="shared" si="0"/>
        <v>0</v>
      </c>
      <c r="AQ12">
        <f t="shared" si="0"/>
        <v>0</v>
      </c>
      <c r="AR12">
        <f t="shared" si="0"/>
        <v>0</v>
      </c>
      <c r="AS12">
        <f t="shared" si="0"/>
        <v>0</v>
      </c>
      <c r="AT12">
        <f t="shared" si="0"/>
        <v>0</v>
      </c>
      <c r="AU12">
        <f t="shared" si="0"/>
        <v>0</v>
      </c>
      <c r="AV12">
        <f t="shared" si="0"/>
        <v>0</v>
      </c>
      <c r="AW12">
        <f t="shared" si="0"/>
        <v>0</v>
      </c>
      <c r="AX12">
        <f t="shared" si="0"/>
        <v>0</v>
      </c>
      <c r="AY12">
        <f t="shared" si="0"/>
        <v>0</v>
      </c>
      <c r="AZ12">
        <f t="shared" si="0"/>
        <v>0</v>
      </c>
      <c r="BA12">
        <f t="shared" si="0"/>
        <v>0</v>
      </c>
      <c r="BB12">
        <f t="shared" si="0"/>
        <v>0</v>
      </c>
      <c r="BC12">
        <f t="shared" si="0"/>
        <v>0</v>
      </c>
      <c r="BD12">
        <f t="shared" si="0"/>
        <v>0</v>
      </c>
      <c r="BE12">
        <f t="shared" si="0"/>
        <v>0</v>
      </c>
      <c r="BF12">
        <f t="shared" si="0"/>
        <v>0</v>
      </c>
      <c r="BG12">
        <f t="shared" si="0"/>
        <v>0</v>
      </c>
      <c r="BH12">
        <f t="shared" si="0"/>
        <v>0</v>
      </c>
      <c r="BI12">
        <f t="shared" si="0"/>
        <v>0</v>
      </c>
      <c r="BJ12">
        <f t="shared" si="0"/>
        <v>0</v>
      </c>
      <c r="BK12">
        <f t="shared" si="0"/>
        <v>0</v>
      </c>
      <c r="BL12">
        <f t="shared" si="0"/>
        <v>0</v>
      </c>
      <c r="BM12">
        <f t="shared" si="0"/>
        <v>0</v>
      </c>
      <c r="BN12">
        <f t="shared" si="0"/>
        <v>0</v>
      </c>
      <c r="BO12">
        <f t="shared" si="0"/>
        <v>0</v>
      </c>
      <c r="BP12">
        <f t="shared" si="0"/>
        <v>0</v>
      </c>
      <c r="BQ12">
        <f t="shared" si="0"/>
        <v>0</v>
      </c>
      <c r="BR12">
        <f t="shared" ref="BR12:EC12" si="1">SUM(BR4:BR9)</f>
        <v>0</v>
      </c>
      <c r="BS12">
        <f t="shared" si="1"/>
        <v>0</v>
      </c>
      <c r="BT12">
        <f t="shared" si="1"/>
        <v>0</v>
      </c>
      <c r="BU12">
        <f t="shared" si="1"/>
        <v>0</v>
      </c>
      <c r="BV12">
        <f t="shared" si="1"/>
        <v>0</v>
      </c>
      <c r="BW12">
        <f t="shared" si="1"/>
        <v>0</v>
      </c>
      <c r="BX12">
        <f t="shared" si="1"/>
        <v>0</v>
      </c>
      <c r="BY12">
        <f t="shared" si="1"/>
        <v>0</v>
      </c>
      <c r="BZ12">
        <f t="shared" si="1"/>
        <v>0</v>
      </c>
      <c r="CA12">
        <f t="shared" si="1"/>
        <v>0</v>
      </c>
      <c r="CB12">
        <f t="shared" si="1"/>
        <v>0</v>
      </c>
      <c r="CC12">
        <f t="shared" si="1"/>
        <v>0</v>
      </c>
      <c r="CD12">
        <f t="shared" si="1"/>
        <v>0</v>
      </c>
      <c r="CE12">
        <f t="shared" si="1"/>
        <v>0</v>
      </c>
      <c r="CF12">
        <f t="shared" si="1"/>
        <v>0</v>
      </c>
      <c r="CG12">
        <f t="shared" si="1"/>
        <v>0</v>
      </c>
      <c r="CH12">
        <f t="shared" si="1"/>
        <v>0</v>
      </c>
      <c r="CI12">
        <f t="shared" si="1"/>
        <v>0</v>
      </c>
      <c r="CJ12">
        <f t="shared" si="1"/>
        <v>0</v>
      </c>
      <c r="CK12">
        <f t="shared" si="1"/>
        <v>0</v>
      </c>
      <c r="CL12">
        <f t="shared" si="1"/>
        <v>0</v>
      </c>
      <c r="CM12">
        <f t="shared" si="1"/>
        <v>0</v>
      </c>
      <c r="CN12">
        <f t="shared" si="1"/>
        <v>0</v>
      </c>
      <c r="CO12">
        <f t="shared" si="1"/>
        <v>0</v>
      </c>
      <c r="CP12">
        <f t="shared" si="1"/>
        <v>0</v>
      </c>
      <c r="CQ12">
        <f t="shared" si="1"/>
        <v>0</v>
      </c>
      <c r="CR12">
        <f t="shared" si="1"/>
        <v>0</v>
      </c>
      <c r="CS12">
        <f t="shared" si="1"/>
        <v>0</v>
      </c>
      <c r="CT12">
        <f t="shared" si="1"/>
        <v>0</v>
      </c>
      <c r="CU12">
        <f t="shared" si="1"/>
        <v>0</v>
      </c>
      <c r="CV12">
        <f t="shared" si="1"/>
        <v>0</v>
      </c>
      <c r="CW12">
        <f t="shared" si="1"/>
        <v>0</v>
      </c>
      <c r="CX12">
        <f t="shared" si="1"/>
        <v>0</v>
      </c>
      <c r="CY12">
        <f t="shared" si="1"/>
        <v>0</v>
      </c>
      <c r="CZ12">
        <f t="shared" si="1"/>
        <v>0</v>
      </c>
      <c r="DA12">
        <f t="shared" si="1"/>
        <v>0</v>
      </c>
      <c r="DB12">
        <f t="shared" si="1"/>
        <v>0</v>
      </c>
      <c r="DC12">
        <f t="shared" si="1"/>
        <v>0</v>
      </c>
      <c r="DD12">
        <f t="shared" si="1"/>
        <v>0</v>
      </c>
      <c r="DE12">
        <f t="shared" si="1"/>
        <v>0</v>
      </c>
      <c r="DF12">
        <f t="shared" si="1"/>
        <v>0</v>
      </c>
      <c r="DG12">
        <f t="shared" si="1"/>
        <v>0</v>
      </c>
      <c r="DH12">
        <f t="shared" si="1"/>
        <v>0</v>
      </c>
      <c r="DI12">
        <f t="shared" si="1"/>
        <v>0</v>
      </c>
      <c r="DJ12">
        <f t="shared" si="1"/>
        <v>0</v>
      </c>
      <c r="DK12">
        <f t="shared" si="1"/>
        <v>0</v>
      </c>
      <c r="DL12">
        <f t="shared" si="1"/>
        <v>0</v>
      </c>
      <c r="DM12">
        <f t="shared" si="1"/>
        <v>0</v>
      </c>
      <c r="DN12">
        <f t="shared" si="1"/>
        <v>0</v>
      </c>
      <c r="DO12">
        <f t="shared" si="1"/>
        <v>0</v>
      </c>
      <c r="DP12">
        <f t="shared" si="1"/>
        <v>0</v>
      </c>
      <c r="DQ12">
        <f t="shared" si="1"/>
        <v>0</v>
      </c>
      <c r="DR12">
        <f t="shared" si="1"/>
        <v>0</v>
      </c>
      <c r="DS12">
        <f t="shared" si="1"/>
        <v>0</v>
      </c>
      <c r="DT12">
        <f t="shared" si="1"/>
        <v>0</v>
      </c>
      <c r="DU12">
        <f t="shared" si="1"/>
        <v>0</v>
      </c>
      <c r="DV12">
        <f t="shared" si="1"/>
        <v>0</v>
      </c>
      <c r="DW12">
        <f t="shared" si="1"/>
        <v>0</v>
      </c>
      <c r="DX12">
        <f t="shared" si="1"/>
        <v>0</v>
      </c>
      <c r="DY12">
        <f t="shared" si="1"/>
        <v>0</v>
      </c>
      <c r="DZ12">
        <f t="shared" si="1"/>
        <v>0</v>
      </c>
      <c r="EA12">
        <f t="shared" si="1"/>
        <v>0</v>
      </c>
      <c r="EB12">
        <f t="shared" si="1"/>
        <v>0</v>
      </c>
      <c r="EC12">
        <f t="shared" si="1"/>
        <v>0</v>
      </c>
      <c r="ED12">
        <f t="shared" ref="ED12:FU12" si="2">SUM(ED4:ED9)</f>
        <v>0</v>
      </c>
      <c r="EE12">
        <f t="shared" si="2"/>
        <v>0</v>
      </c>
      <c r="EF12">
        <f t="shared" si="2"/>
        <v>0</v>
      </c>
      <c r="EG12">
        <f t="shared" si="2"/>
        <v>0</v>
      </c>
      <c r="EH12">
        <f t="shared" si="2"/>
        <v>0</v>
      </c>
      <c r="EI12">
        <f t="shared" si="2"/>
        <v>0</v>
      </c>
      <c r="EJ12">
        <f t="shared" si="2"/>
        <v>0</v>
      </c>
      <c r="EK12">
        <f t="shared" si="2"/>
        <v>0</v>
      </c>
      <c r="EL12">
        <f t="shared" si="2"/>
        <v>0</v>
      </c>
      <c r="EM12">
        <f t="shared" si="2"/>
        <v>0</v>
      </c>
      <c r="EN12">
        <f t="shared" si="2"/>
        <v>0</v>
      </c>
      <c r="EO12">
        <f t="shared" si="2"/>
        <v>0</v>
      </c>
      <c r="EP12">
        <f t="shared" si="2"/>
        <v>0</v>
      </c>
      <c r="EQ12">
        <f t="shared" si="2"/>
        <v>0</v>
      </c>
      <c r="ER12">
        <f t="shared" si="2"/>
        <v>0</v>
      </c>
      <c r="ES12">
        <f t="shared" si="2"/>
        <v>0</v>
      </c>
      <c r="ET12">
        <f t="shared" si="2"/>
        <v>0</v>
      </c>
      <c r="EU12">
        <f t="shared" si="2"/>
        <v>0</v>
      </c>
      <c r="EV12">
        <f t="shared" si="2"/>
        <v>0</v>
      </c>
      <c r="EW12">
        <f t="shared" si="2"/>
        <v>0</v>
      </c>
      <c r="EX12">
        <f t="shared" si="2"/>
        <v>0</v>
      </c>
      <c r="EY12">
        <f t="shared" si="2"/>
        <v>0</v>
      </c>
      <c r="EZ12">
        <f t="shared" si="2"/>
        <v>0</v>
      </c>
      <c r="FA12">
        <f t="shared" si="2"/>
        <v>0</v>
      </c>
      <c r="FB12">
        <f t="shared" si="2"/>
        <v>0</v>
      </c>
      <c r="FC12">
        <f t="shared" si="2"/>
        <v>0</v>
      </c>
      <c r="FD12">
        <f t="shared" si="2"/>
        <v>0</v>
      </c>
      <c r="FE12">
        <f t="shared" si="2"/>
        <v>0</v>
      </c>
      <c r="FF12">
        <f t="shared" si="2"/>
        <v>0</v>
      </c>
      <c r="FG12">
        <f t="shared" si="2"/>
        <v>0</v>
      </c>
      <c r="FH12">
        <f t="shared" si="2"/>
        <v>0</v>
      </c>
      <c r="FI12">
        <f t="shared" si="2"/>
        <v>0</v>
      </c>
      <c r="FJ12">
        <f t="shared" si="2"/>
        <v>0</v>
      </c>
      <c r="FK12">
        <f t="shared" si="2"/>
        <v>0</v>
      </c>
      <c r="FL12">
        <f t="shared" si="2"/>
        <v>0</v>
      </c>
      <c r="FM12">
        <f t="shared" si="2"/>
        <v>0</v>
      </c>
      <c r="FN12">
        <f t="shared" si="2"/>
        <v>0</v>
      </c>
      <c r="FO12">
        <f t="shared" si="2"/>
        <v>0</v>
      </c>
      <c r="FP12">
        <f t="shared" si="2"/>
        <v>0</v>
      </c>
      <c r="FQ12">
        <f t="shared" si="2"/>
        <v>0</v>
      </c>
      <c r="FR12">
        <f t="shared" si="2"/>
        <v>0</v>
      </c>
      <c r="FS12">
        <f t="shared" si="2"/>
        <v>0</v>
      </c>
      <c r="FT12">
        <f t="shared" si="2"/>
        <v>0</v>
      </c>
      <c r="FU12">
        <f t="shared" si="2"/>
        <v>0</v>
      </c>
    </row>
    <row r="17" spans="1:177" x14ac:dyDescent="0.25">
      <c r="A17" s="1" t="str">
        <f>A3</f>
        <v>Weapon</v>
      </c>
      <c r="B17" s="1" t="str">
        <f t="shared" ref="B17:D17" si="3">B3</f>
        <v>Skin</v>
      </c>
      <c r="C17" s="1" t="str">
        <f t="shared" si="3"/>
        <v>Type</v>
      </c>
      <c r="D17" s="1" t="str">
        <f t="shared" si="3"/>
        <v>Collection</v>
      </c>
      <c r="E17" s="2">
        <f>E3</f>
        <v>44331</v>
      </c>
      <c r="F17" s="2">
        <f t="shared" ref="F17:BQ17" si="4">F3</f>
        <v>44332</v>
      </c>
      <c r="G17" s="2">
        <f t="shared" si="4"/>
        <v>44334</v>
      </c>
      <c r="H17" s="2">
        <f t="shared" si="4"/>
        <v>44336</v>
      </c>
      <c r="I17" s="2">
        <f t="shared" si="4"/>
        <v>44337</v>
      </c>
      <c r="J17" s="2">
        <f t="shared" si="4"/>
        <v>44338</v>
      </c>
      <c r="K17" s="2">
        <f t="shared" si="4"/>
        <v>44339</v>
      </c>
      <c r="L17" s="2">
        <f t="shared" si="4"/>
        <v>44340</v>
      </c>
      <c r="M17" s="2">
        <f t="shared" si="4"/>
        <v>44341</v>
      </c>
      <c r="N17" s="2">
        <f t="shared" si="4"/>
        <v>44342</v>
      </c>
      <c r="O17" s="2">
        <f t="shared" si="4"/>
        <v>44343</v>
      </c>
      <c r="P17" s="2">
        <f t="shared" si="4"/>
        <v>44344</v>
      </c>
      <c r="Q17" s="2">
        <f t="shared" si="4"/>
        <v>44345</v>
      </c>
      <c r="R17" s="2">
        <f t="shared" si="4"/>
        <v>44346</v>
      </c>
      <c r="S17" s="2">
        <f t="shared" si="4"/>
        <v>44347</v>
      </c>
      <c r="T17" s="2">
        <f t="shared" si="4"/>
        <v>44348</v>
      </c>
      <c r="U17" s="2">
        <f t="shared" si="4"/>
        <v>44349</v>
      </c>
      <c r="V17" s="2">
        <f t="shared" si="4"/>
        <v>44350</v>
      </c>
      <c r="W17" s="2">
        <f t="shared" si="4"/>
        <v>44351</v>
      </c>
      <c r="X17" s="2">
        <f t="shared" si="4"/>
        <v>44352</v>
      </c>
      <c r="Y17" s="2">
        <f t="shared" si="4"/>
        <v>44353</v>
      </c>
      <c r="Z17" s="2">
        <f t="shared" si="4"/>
        <v>44354</v>
      </c>
      <c r="AA17" s="2">
        <f t="shared" si="4"/>
        <v>44355</v>
      </c>
      <c r="AB17" s="2">
        <f t="shared" si="4"/>
        <v>44356</v>
      </c>
      <c r="AC17" s="2">
        <f t="shared" si="4"/>
        <v>44357</v>
      </c>
      <c r="AD17" s="2">
        <f t="shared" si="4"/>
        <v>44358</v>
      </c>
      <c r="AE17" s="2">
        <f t="shared" si="4"/>
        <v>44359</v>
      </c>
      <c r="AF17" s="2">
        <f t="shared" si="4"/>
        <v>44360</v>
      </c>
      <c r="AG17" s="2">
        <f t="shared" si="4"/>
        <v>44361</v>
      </c>
      <c r="AH17" s="2">
        <f t="shared" si="4"/>
        <v>44362</v>
      </c>
      <c r="AI17" s="2">
        <f t="shared" si="4"/>
        <v>44363</v>
      </c>
      <c r="AJ17" s="2">
        <f t="shared" si="4"/>
        <v>44364</v>
      </c>
      <c r="AK17" s="2">
        <f t="shared" si="4"/>
        <v>44365</v>
      </c>
      <c r="AL17" s="2">
        <f t="shared" si="4"/>
        <v>44366</v>
      </c>
      <c r="AM17" s="2">
        <f t="shared" si="4"/>
        <v>44367</v>
      </c>
      <c r="AN17" s="2">
        <f t="shared" si="4"/>
        <v>44368</v>
      </c>
      <c r="AO17" s="2">
        <f t="shared" si="4"/>
        <v>44369</v>
      </c>
      <c r="AP17" s="2">
        <f t="shared" si="4"/>
        <v>44370</v>
      </c>
      <c r="AQ17" s="2">
        <f t="shared" si="4"/>
        <v>44371</v>
      </c>
      <c r="AR17" s="2">
        <f t="shared" si="4"/>
        <v>44372</v>
      </c>
      <c r="AS17" s="2">
        <f t="shared" si="4"/>
        <v>44373</v>
      </c>
      <c r="AT17" s="2">
        <f t="shared" si="4"/>
        <v>44374</v>
      </c>
      <c r="AU17" s="2">
        <f t="shared" si="4"/>
        <v>44375</v>
      </c>
      <c r="AV17" s="2">
        <f t="shared" si="4"/>
        <v>44376</v>
      </c>
      <c r="AW17" s="2">
        <f t="shared" si="4"/>
        <v>44377</v>
      </c>
      <c r="AX17" s="2">
        <f t="shared" si="4"/>
        <v>44378</v>
      </c>
      <c r="AY17" s="2">
        <f t="shared" si="4"/>
        <v>44379</v>
      </c>
      <c r="AZ17" s="2">
        <f t="shared" si="4"/>
        <v>44380</v>
      </c>
      <c r="BA17" s="2">
        <f t="shared" si="4"/>
        <v>44381</v>
      </c>
      <c r="BB17" s="2">
        <f t="shared" si="4"/>
        <v>44382</v>
      </c>
      <c r="BC17" s="2">
        <f t="shared" si="4"/>
        <v>44383</v>
      </c>
      <c r="BD17" s="2">
        <f t="shared" si="4"/>
        <v>44384</v>
      </c>
      <c r="BE17" s="2">
        <f t="shared" si="4"/>
        <v>44385</v>
      </c>
      <c r="BF17" s="2">
        <f t="shared" si="4"/>
        <v>44386</v>
      </c>
      <c r="BG17" s="2">
        <f t="shared" si="4"/>
        <v>44387</v>
      </c>
      <c r="BH17" s="2">
        <f t="shared" si="4"/>
        <v>44388</v>
      </c>
      <c r="BI17" s="2">
        <f t="shared" si="4"/>
        <v>44389</v>
      </c>
      <c r="BJ17" s="2">
        <f t="shared" si="4"/>
        <v>44390</v>
      </c>
      <c r="BK17" s="2">
        <f t="shared" si="4"/>
        <v>44391</v>
      </c>
      <c r="BL17" s="2">
        <f t="shared" si="4"/>
        <v>44392</v>
      </c>
      <c r="BM17" s="2">
        <f t="shared" si="4"/>
        <v>44393</v>
      </c>
      <c r="BN17" s="2">
        <f t="shared" si="4"/>
        <v>44394</v>
      </c>
      <c r="BO17" s="2">
        <f t="shared" si="4"/>
        <v>44395</v>
      </c>
      <c r="BP17" s="2">
        <f t="shared" si="4"/>
        <v>44396</v>
      </c>
      <c r="BQ17" s="2">
        <f t="shared" si="4"/>
        <v>44397</v>
      </c>
      <c r="BR17" s="2">
        <f t="shared" ref="BR17:EC17" si="5">BR3</f>
        <v>44398</v>
      </c>
      <c r="BS17" s="2">
        <f t="shared" si="5"/>
        <v>44399</v>
      </c>
      <c r="BT17" s="2">
        <f t="shared" si="5"/>
        <v>44400</v>
      </c>
      <c r="BU17" s="2">
        <f t="shared" si="5"/>
        <v>44401</v>
      </c>
      <c r="BV17" s="2">
        <f t="shared" si="5"/>
        <v>44402</v>
      </c>
      <c r="BW17" s="2">
        <f t="shared" si="5"/>
        <v>44403</v>
      </c>
      <c r="BX17" s="2">
        <f t="shared" si="5"/>
        <v>44404</v>
      </c>
      <c r="BY17" s="2">
        <f t="shared" si="5"/>
        <v>44405</v>
      </c>
      <c r="BZ17" s="2">
        <f t="shared" si="5"/>
        <v>44406</v>
      </c>
      <c r="CA17" s="2">
        <f t="shared" si="5"/>
        <v>44407</v>
      </c>
      <c r="CB17" s="2">
        <f t="shared" si="5"/>
        <v>44408</v>
      </c>
      <c r="CC17" s="2">
        <f t="shared" si="5"/>
        <v>44409</v>
      </c>
      <c r="CD17" s="2">
        <f t="shared" si="5"/>
        <v>44410</v>
      </c>
      <c r="CE17" s="2">
        <f t="shared" si="5"/>
        <v>44411</v>
      </c>
      <c r="CF17" s="2">
        <f t="shared" si="5"/>
        <v>44412</v>
      </c>
      <c r="CG17" s="2">
        <f t="shared" si="5"/>
        <v>44413</v>
      </c>
      <c r="CH17" s="2">
        <f t="shared" si="5"/>
        <v>44414</v>
      </c>
      <c r="CI17" s="2">
        <f t="shared" si="5"/>
        <v>44415</v>
      </c>
      <c r="CJ17" s="2">
        <f t="shared" si="5"/>
        <v>44416</v>
      </c>
      <c r="CK17" s="2">
        <f t="shared" si="5"/>
        <v>44417</v>
      </c>
      <c r="CL17" s="2">
        <f t="shared" si="5"/>
        <v>44418</v>
      </c>
      <c r="CM17" s="2">
        <f t="shared" si="5"/>
        <v>44419</v>
      </c>
      <c r="CN17" s="2">
        <f t="shared" si="5"/>
        <v>44420</v>
      </c>
      <c r="CO17" s="2">
        <f t="shared" si="5"/>
        <v>44421</v>
      </c>
      <c r="CP17" s="2">
        <f t="shared" si="5"/>
        <v>44422</v>
      </c>
      <c r="CQ17" s="2">
        <f t="shared" si="5"/>
        <v>44423</v>
      </c>
      <c r="CR17" s="2">
        <f t="shared" si="5"/>
        <v>44424</v>
      </c>
      <c r="CS17" s="2">
        <f t="shared" si="5"/>
        <v>44425</v>
      </c>
      <c r="CT17" s="2">
        <f t="shared" si="5"/>
        <v>44426</v>
      </c>
      <c r="CU17" s="2">
        <f t="shared" si="5"/>
        <v>44427</v>
      </c>
      <c r="CV17" s="2">
        <f t="shared" si="5"/>
        <v>44428</v>
      </c>
      <c r="CW17" s="2">
        <f t="shared" si="5"/>
        <v>44429</v>
      </c>
      <c r="CX17" s="2">
        <f t="shared" si="5"/>
        <v>44430</v>
      </c>
      <c r="CY17" s="2">
        <f t="shared" si="5"/>
        <v>44431</v>
      </c>
      <c r="CZ17" s="2">
        <f t="shared" si="5"/>
        <v>44432</v>
      </c>
      <c r="DA17" s="2">
        <f t="shared" si="5"/>
        <v>44433</v>
      </c>
      <c r="DB17" s="2">
        <f t="shared" si="5"/>
        <v>44434</v>
      </c>
      <c r="DC17" s="2">
        <f t="shared" si="5"/>
        <v>44435</v>
      </c>
      <c r="DD17" s="2">
        <f t="shared" si="5"/>
        <v>44436</v>
      </c>
      <c r="DE17" s="2">
        <f t="shared" si="5"/>
        <v>44437</v>
      </c>
      <c r="DF17" s="2">
        <f t="shared" si="5"/>
        <v>44438</v>
      </c>
      <c r="DG17" s="2">
        <f t="shared" si="5"/>
        <v>44439</v>
      </c>
      <c r="DH17" s="2">
        <f t="shared" si="5"/>
        <v>44440</v>
      </c>
      <c r="DI17" s="2">
        <f t="shared" si="5"/>
        <v>44441</v>
      </c>
      <c r="DJ17" s="2">
        <f t="shared" si="5"/>
        <v>44442</v>
      </c>
      <c r="DK17" s="2">
        <f t="shared" si="5"/>
        <v>44443</v>
      </c>
      <c r="DL17" s="2">
        <f t="shared" si="5"/>
        <v>44444</v>
      </c>
      <c r="DM17" s="2">
        <f t="shared" si="5"/>
        <v>44445</v>
      </c>
      <c r="DN17" s="2">
        <f t="shared" si="5"/>
        <v>44446</v>
      </c>
      <c r="DO17" s="2">
        <f t="shared" si="5"/>
        <v>44447</v>
      </c>
      <c r="DP17" s="2">
        <f t="shared" si="5"/>
        <v>44448</v>
      </c>
      <c r="DQ17" s="2">
        <f t="shared" si="5"/>
        <v>44449</v>
      </c>
      <c r="DR17" s="2">
        <f t="shared" si="5"/>
        <v>44450</v>
      </c>
      <c r="DS17" s="2">
        <f t="shared" si="5"/>
        <v>44451</v>
      </c>
      <c r="DT17" s="2">
        <f t="shared" si="5"/>
        <v>44452</v>
      </c>
      <c r="DU17" s="2">
        <f t="shared" si="5"/>
        <v>44453</v>
      </c>
      <c r="DV17" s="2">
        <f t="shared" si="5"/>
        <v>44454</v>
      </c>
      <c r="DW17" s="2">
        <f t="shared" si="5"/>
        <v>44455</v>
      </c>
      <c r="DX17" s="2">
        <f t="shared" si="5"/>
        <v>44456</v>
      </c>
      <c r="DY17" s="2">
        <f t="shared" si="5"/>
        <v>44457</v>
      </c>
      <c r="DZ17" s="2">
        <f t="shared" si="5"/>
        <v>44458</v>
      </c>
      <c r="EA17" s="2">
        <f t="shared" si="5"/>
        <v>44459</v>
      </c>
      <c r="EB17" s="2">
        <f t="shared" si="5"/>
        <v>44460</v>
      </c>
      <c r="EC17" s="2">
        <f t="shared" si="5"/>
        <v>44461</v>
      </c>
      <c r="ED17" s="2">
        <f t="shared" ref="ED17:FU17" si="6">ED3</f>
        <v>44462</v>
      </c>
      <c r="EE17" s="2">
        <f t="shared" si="6"/>
        <v>44463</v>
      </c>
      <c r="EF17" s="2">
        <f t="shared" si="6"/>
        <v>44464</v>
      </c>
      <c r="EG17" s="2">
        <f t="shared" si="6"/>
        <v>44465</v>
      </c>
      <c r="EH17" s="2">
        <f t="shared" si="6"/>
        <v>44466</v>
      </c>
      <c r="EI17" s="2">
        <f t="shared" si="6"/>
        <v>44467</v>
      </c>
      <c r="EJ17" s="2">
        <f t="shared" si="6"/>
        <v>44468</v>
      </c>
      <c r="EK17" s="2">
        <f t="shared" si="6"/>
        <v>44469</v>
      </c>
      <c r="EL17" s="2">
        <f t="shared" si="6"/>
        <v>44470</v>
      </c>
      <c r="EM17" s="2">
        <f t="shared" si="6"/>
        <v>44471</v>
      </c>
      <c r="EN17" s="2">
        <f t="shared" si="6"/>
        <v>44472</v>
      </c>
      <c r="EO17" s="2">
        <f t="shared" si="6"/>
        <v>44473</v>
      </c>
      <c r="EP17" s="2">
        <f t="shared" si="6"/>
        <v>44474</v>
      </c>
      <c r="EQ17" s="2">
        <f t="shared" si="6"/>
        <v>44475</v>
      </c>
      <c r="ER17" s="2">
        <f t="shared" si="6"/>
        <v>44476</v>
      </c>
      <c r="ES17" s="2">
        <f t="shared" si="6"/>
        <v>44477</v>
      </c>
      <c r="ET17" s="2">
        <f t="shared" si="6"/>
        <v>44478</v>
      </c>
      <c r="EU17" s="2">
        <f t="shared" si="6"/>
        <v>44479</v>
      </c>
      <c r="EV17" s="2">
        <f t="shared" si="6"/>
        <v>44480</v>
      </c>
      <c r="EW17" s="2">
        <f t="shared" si="6"/>
        <v>44481</v>
      </c>
      <c r="EX17" s="2">
        <f t="shared" si="6"/>
        <v>44482</v>
      </c>
      <c r="EY17" s="2">
        <f t="shared" si="6"/>
        <v>44483</v>
      </c>
      <c r="EZ17" s="2">
        <f t="shared" si="6"/>
        <v>44484</v>
      </c>
      <c r="FA17" s="2">
        <f t="shared" si="6"/>
        <v>44485</v>
      </c>
      <c r="FB17" s="2">
        <f t="shared" si="6"/>
        <v>44486</v>
      </c>
      <c r="FC17" s="2">
        <f t="shared" si="6"/>
        <v>44487</v>
      </c>
      <c r="FD17" s="2">
        <f t="shared" si="6"/>
        <v>44488</v>
      </c>
      <c r="FE17" s="2">
        <f t="shared" si="6"/>
        <v>44489</v>
      </c>
      <c r="FF17" s="2">
        <f t="shared" si="6"/>
        <v>44490</v>
      </c>
      <c r="FG17" s="2">
        <f t="shared" si="6"/>
        <v>44491</v>
      </c>
      <c r="FH17" s="2">
        <f t="shared" si="6"/>
        <v>44492</v>
      </c>
      <c r="FI17" s="2">
        <f t="shared" si="6"/>
        <v>44493</v>
      </c>
      <c r="FJ17" s="2">
        <f t="shared" si="6"/>
        <v>44494</v>
      </c>
      <c r="FK17" s="2">
        <f t="shared" si="6"/>
        <v>44495</v>
      </c>
      <c r="FL17" s="2">
        <f t="shared" si="6"/>
        <v>44496</v>
      </c>
      <c r="FM17" s="2">
        <f t="shared" si="6"/>
        <v>44497</v>
      </c>
      <c r="FN17" s="2">
        <f t="shared" si="6"/>
        <v>44498</v>
      </c>
      <c r="FO17" s="2">
        <f t="shared" si="6"/>
        <v>44499</v>
      </c>
      <c r="FP17" s="2">
        <f t="shared" si="6"/>
        <v>44500</v>
      </c>
      <c r="FQ17" s="2">
        <f t="shared" si="6"/>
        <v>44501</v>
      </c>
      <c r="FR17" s="2">
        <f t="shared" si="6"/>
        <v>44502</v>
      </c>
      <c r="FS17" s="2">
        <f t="shared" si="6"/>
        <v>44503</v>
      </c>
      <c r="FT17" s="2">
        <f t="shared" si="6"/>
        <v>44504</v>
      </c>
      <c r="FU17" s="2">
        <f t="shared" si="6"/>
        <v>44505</v>
      </c>
    </row>
    <row r="18" spans="1:177" x14ac:dyDescent="0.25">
      <c r="A18" t="str">
        <f t="shared" ref="A18:D18" si="7">A4</f>
        <v>AK-47</v>
      </c>
      <c r="B18" t="str">
        <f t="shared" si="7"/>
        <v>Aquamarine Revenge MW</v>
      </c>
      <c r="C18" t="str">
        <f t="shared" si="7"/>
        <v>AK-47</v>
      </c>
      <c r="D18" t="str">
        <f t="shared" si="7"/>
        <v>Falchion</v>
      </c>
      <c r="E18">
        <f>E4-ROUNDUP(E4*0.3,2)</f>
        <v>33.25</v>
      </c>
      <c r="F18">
        <f t="shared" ref="F18:BQ19" si="8">F4-ROUNDUP(F4*0.3,2)</f>
        <v>33.010000000000005</v>
      </c>
      <c r="G18">
        <f t="shared" si="8"/>
        <v>34.549999999999997</v>
      </c>
      <c r="H18">
        <f t="shared" si="8"/>
        <v>33.849999999999994</v>
      </c>
      <c r="I18">
        <f t="shared" si="8"/>
        <v>32.25</v>
      </c>
      <c r="J18">
        <f t="shared" si="8"/>
        <v>31.47</v>
      </c>
      <c r="K18">
        <f t="shared" si="8"/>
        <v>32.24</v>
      </c>
      <c r="L18">
        <f t="shared" si="8"/>
        <v>32.120000000000005</v>
      </c>
      <c r="M18">
        <f t="shared" si="8"/>
        <v>31.449999999999996</v>
      </c>
      <c r="N18">
        <f t="shared" si="8"/>
        <v>31.840000000000003</v>
      </c>
      <c r="O18">
        <f t="shared" si="8"/>
        <v>32.260000000000005</v>
      </c>
      <c r="P18">
        <f t="shared" si="8"/>
        <v>32.010000000000005</v>
      </c>
      <c r="Q18">
        <f t="shared" si="8"/>
        <v>32.01</v>
      </c>
      <c r="R18">
        <f t="shared" si="8"/>
        <v>31.310000000000002</v>
      </c>
      <c r="S18">
        <f t="shared" si="8"/>
        <v>31.429999999999996</v>
      </c>
      <c r="T18">
        <f t="shared" si="8"/>
        <v>32.290000000000006</v>
      </c>
      <c r="U18">
        <f t="shared" si="8"/>
        <v>32.520000000000003</v>
      </c>
      <c r="V18">
        <f t="shared" si="8"/>
        <v>31.9</v>
      </c>
      <c r="W18">
        <f t="shared" si="8"/>
        <v>31.770000000000003</v>
      </c>
      <c r="X18">
        <f t="shared" si="8"/>
        <v>30.479999999999997</v>
      </c>
      <c r="Y18">
        <f t="shared" si="8"/>
        <v>32.199999999999996</v>
      </c>
      <c r="Z18">
        <f t="shared" si="8"/>
        <v>0</v>
      </c>
      <c r="AA18">
        <f t="shared" si="8"/>
        <v>0</v>
      </c>
      <c r="AB18">
        <f t="shared" si="8"/>
        <v>0</v>
      </c>
      <c r="AC18">
        <f t="shared" si="8"/>
        <v>0</v>
      </c>
      <c r="AD18">
        <f t="shared" si="8"/>
        <v>0</v>
      </c>
      <c r="AE18">
        <f t="shared" si="8"/>
        <v>0</v>
      </c>
      <c r="AF18">
        <f t="shared" si="8"/>
        <v>0</v>
      </c>
      <c r="AG18">
        <f t="shared" si="8"/>
        <v>0</v>
      </c>
      <c r="AH18">
        <f t="shared" si="8"/>
        <v>0</v>
      </c>
      <c r="AI18">
        <f t="shared" si="8"/>
        <v>0</v>
      </c>
      <c r="AJ18">
        <f t="shared" si="8"/>
        <v>0</v>
      </c>
      <c r="AK18">
        <f t="shared" si="8"/>
        <v>0</v>
      </c>
      <c r="AL18">
        <f t="shared" si="8"/>
        <v>0</v>
      </c>
      <c r="AM18">
        <f t="shared" si="8"/>
        <v>0</v>
      </c>
      <c r="AN18">
        <f t="shared" si="8"/>
        <v>0</v>
      </c>
      <c r="AO18">
        <f t="shared" si="8"/>
        <v>0</v>
      </c>
      <c r="AP18">
        <f t="shared" si="8"/>
        <v>0</v>
      </c>
      <c r="AQ18">
        <f t="shared" si="8"/>
        <v>0</v>
      </c>
      <c r="AR18">
        <f t="shared" si="8"/>
        <v>0</v>
      </c>
      <c r="AS18">
        <f t="shared" si="8"/>
        <v>0</v>
      </c>
      <c r="AT18">
        <f t="shared" si="8"/>
        <v>0</v>
      </c>
      <c r="AU18">
        <f t="shared" si="8"/>
        <v>0</v>
      </c>
      <c r="AV18">
        <f t="shared" si="8"/>
        <v>0</v>
      </c>
      <c r="AW18">
        <f t="shared" si="8"/>
        <v>0</v>
      </c>
      <c r="AX18">
        <f t="shared" si="8"/>
        <v>0</v>
      </c>
      <c r="AY18">
        <f t="shared" si="8"/>
        <v>0</v>
      </c>
      <c r="AZ18">
        <f t="shared" si="8"/>
        <v>0</v>
      </c>
      <c r="BA18">
        <f t="shared" si="8"/>
        <v>0</v>
      </c>
      <c r="BB18">
        <f t="shared" si="8"/>
        <v>0</v>
      </c>
      <c r="BC18">
        <f t="shared" si="8"/>
        <v>0</v>
      </c>
      <c r="BD18">
        <f t="shared" si="8"/>
        <v>0</v>
      </c>
      <c r="BE18">
        <f t="shared" si="8"/>
        <v>0</v>
      </c>
      <c r="BF18">
        <f t="shared" si="8"/>
        <v>0</v>
      </c>
      <c r="BG18">
        <f t="shared" si="8"/>
        <v>0</v>
      </c>
      <c r="BH18">
        <f t="shared" si="8"/>
        <v>0</v>
      </c>
      <c r="BI18">
        <f t="shared" si="8"/>
        <v>0</v>
      </c>
      <c r="BJ18">
        <f t="shared" si="8"/>
        <v>0</v>
      </c>
      <c r="BK18">
        <f t="shared" si="8"/>
        <v>0</v>
      </c>
      <c r="BL18">
        <f t="shared" si="8"/>
        <v>0</v>
      </c>
      <c r="BM18">
        <f t="shared" si="8"/>
        <v>0</v>
      </c>
      <c r="BN18">
        <f t="shared" si="8"/>
        <v>0</v>
      </c>
      <c r="BO18">
        <f t="shared" si="8"/>
        <v>0</v>
      </c>
      <c r="BP18">
        <f t="shared" si="8"/>
        <v>0</v>
      </c>
      <c r="BQ18">
        <f t="shared" si="8"/>
        <v>0</v>
      </c>
      <c r="BR18">
        <f t="shared" ref="BR18:EC21" si="9">BR4-ROUNDUP(BR4*0.3,2)</f>
        <v>0</v>
      </c>
      <c r="BS18">
        <f t="shared" si="9"/>
        <v>0</v>
      </c>
      <c r="BT18">
        <f t="shared" si="9"/>
        <v>0</v>
      </c>
      <c r="BU18">
        <f t="shared" si="9"/>
        <v>0</v>
      </c>
      <c r="BV18">
        <f t="shared" si="9"/>
        <v>0</v>
      </c>
      <c r="BW18">
        <f t="shared" si="9"/>
        <v>0</v>
      </c>
      <c r="BX18">
        <f t="shared" si="9"/>
        <v>0</v>
      </c>
      <c r="BY18">
        <f t="shared" si="9"/>
        <v>0</v>
      </c>
      <c r="BZ18">
        <f t="shared" si="9"/>
        <v>0</v>
      </c>
      <c r="CA18">
        <f t="shared" si="9"/>
        <v>0</v>
      </c>
      <c r="CB18">
        <f t="shared" si="9"/>
        <v>0</v>
      </c>
      <c r="CC18">
        <f t="shared" si="9"/>
        <v>0</v>
      </c>
      <c r="CD18">
        <f t="shared" si="9"/>
        <v>0</v>
      </c>
      <c r="CE18">
        <f t="shared" si="9"/>
        <v>0</v>
      </c>
      <c r="CF18">
        <f t="shared" si="9"/>
        <v>0</v>
      </c>
      <c r="CG18">
        <f t="shared" si="9"/>
        <v>0</v>
      </c>
      <c r="CH18">
        <f t="shared" si="9"/>
        <v>0</v>
      </c>
      <c r="CI18">
        <f t="shared" si="9"/>
        <v>0</v>
      </c>
      <c r="CJ18">
        <f t="shared" si="9"/>
        <v>0</v>
      </c>
      <c r="CK18">
        <f t="shared" si="9"/>
        <v>0</v>
      </c>
      <c r="CL18">
        <f t="shared" si="9"/>
        <v>0</v>
      </c>
      <c r="CM18">
        <f t="shared" si="9"/>
        <v>0</v>
      </c>
      <c r="CN18">
        <f t="shared" si="9"/>
        <v>0</v>
      </c>
      <c r="CO18">
        <f t="shared" si="9"/>
        <v>0</v>
      </c>
      <c r="CP18">
        <f t="shared" si="9"/>
        <v>0</v>
      </c>
      <c r="CQ18">
        <f t="shared" si="9"/>
        <v>0</v>
      </c>
      <c r="CR18">
        <f t="shared" si="9"/>
        <v>0</v>
      </c>
      <c r="CS18">
        <f t="shared" si="9"/>
        <v>0</v>
      </c>
      <c r="CT18">
        <f t="shared" si="9"/>
        <v>0</v>
      </c>
      <c r="CU18">
        <f t="shared" si="9"/>
        <v>0</v>
      </c>
      <c r="CV18">
        <f t="shared" si="9"/>
        <v>0</v>
      </c>
      <c r="CW18">
        <f t="shared" si="9"/>
        <v>0</v>
      </c>
      <c r="CX18">
        <f t="shared" si="9"/>
        <v>0</v>
      </c>
      <c r="CY18">
        <f t="shared" si="9"/>
        <v>0</v>
      </c>
      <c r="CZ18">
        <f t="shared" si="9"/>
        <v>0</v>
      </c>
      <c r="DA18">
        <f t="shared" si="9"/>
        <v>0</v>
      </c>
      <c r="DB18">
        <f t="shared" si="9"/>
        <v>0</v>
      </c>
      <c r="DC18">
        <f t="shared" si="9"/>
        <v>0</v>
      </c>
      <c r="DD18">
        <f t="shared" si="9"/>
        <v>0</v>
      </c>
      <c r="DE18">
        <f t="shared" si="9"/>
        <v>0</v>
      </c>
      <c r="DF18">
        <f t="shared" si="9"/>
        <v>0</v>
      </c>
      <c r="DG18">
        <f t="shared" si="9"/>
        <v>0</v>
      </c>
      <c r="DH18">
        <f t="shared" si="9"/>
        <v>0</v>
      </c>
      <c r="DI18">
        <f t="shared" si="9"/>
        <v>0</v>
      </c>
      <c r="DJ18">
        <f t="shared" si="9"/>
        <v>0</v>
      </c>
      <c r="DK18">
        <f t="shared" si="9"/>
        <v>0</v>
      </c>
      <c r="DL18">
        <f t="shared" si="9"/>
        <v>0</v>
      </c>
      <c r="DM18">
        <f t="shared" si="9"/>
        <v>0</v>
      </c>
      <c r="DN18">
        <f t="shared" si="9"/>
        <v>0</v>
      </c>
      <c r="DO18">
        <f t="shared" si="9"/>
        <v>0</v>
      </c>
      <c r="DP18">
        <f t="shared" si="9"/>
        <v>0</v>
      </c>
      <c r="DQ18">
        <f t="shared" si="9"/>
        <v>0</v>
      </c>
      <c r="DR18">
        <f t="shared" si="9"/>
        <v>0</v>
      </c>
      <c r="DS18">
        <f t="shared" si="9"/>
        <v>0</v>
      </c>
      <c r="DT18">
        <f t="shared" si="9"/>
        <v>0</v>
      </c>
      <c r="DU18">
        <f t="shared" si="9"/>
        <v>0</v>
      </c>
      <c r="DV18">
        <f t="shared" si="9"/>
        <v>0</v>
      </c>
      <c r="DW18">
        <f t="shared" si="9"/>
        <v>0</v>
      </c>
      <c r="DX18">
        <f t="shared" si="9"/>
        <v>0</v>
      </c>
      <c r="DY18">
        <f t="shared" si="9"/>
        <v>0</v>
      </c>
      <c r="DZ18">
        <f t="shared" si="9"/>
        <v>0</v>
      </c>
      <c r="EA18">
        <f t="shared" si="9"/>
        <v>0</v>
      </c>
      <c r="EB18">
        <f t="shared" si="9"/>
        <v>0</v>
      </c>
      <c r="EC18">
        <f t="shared" si="9"/>
        <v>0</v>
      </c>
      <c r="ED18">
        <f t="shared" ref="ED18:FU20" si="10">ED4-ROUNDUP(ED4*0.3,2)</f>
        <v>0</v>
      </c>
      <c r="EE18">
        <f t="shared" si="10"/>
        <v>0</v>
      </c>
      <c r="EF18">
        <f t="shared" si="10"/>
        <v>0</v>
      </c>
      <c r="EG18">
        <f t="shared" si="10"/>
        <v>0</v>
      </c>
      <c r="EH18">
        <f t="shared" si="10"/>
        <v>0</v>
      </c>
      <c r="EI18">
        <f t="shared" si="10"/>
        <v>0</v>
      </c>
      <c r="EJ18">
        <f t="shared" si="10"/>
        <v>0</v>
      </c>
      <c r="EK18">
        <f t="shared" si="10"/>
        <v>0</v>
      </c>
      <c r="EL18">
        <f t="shared" si="10"/>
        <v>0</v>
      </c>
      <c r="EM18">
        <f t="shared" si="10"/>
        <v>0</v>
      </c>
      <c r="EN18">
        <f t="shared" si="10"/>
        <v>0</v>
      </c>
      <c r="EO18">
        <f t="shared" si="10"/>
        <v>0</v>
      </c>
      <c r="EP18">
        <f t="shared" si="10"/>
        <v>0</v>
      </c>
      <c r="EQ18">
        <f t="shared" si="10"/>
        <v>0</v>
      </c>
      <c r="ER18">
        <f t="shared" si="10"/>
        <v>0</v>
      </c>
      <c r="ES18">
        <f t="shared" si="10"/>
        <v>0</v>
      </c>
      <c r="ET18">
        <f t="shared" si="10"/>
        <v>0</v>
      </c>
      <c r="EU18">
        <f t="shared" si="10"/>
        <v>0</v>
      </c>
      <c r="EV18">
        <f t="shared" si="10"/>
        <v>0</v>
      </c>
      <c r="EW18">
        <f t="shared" si="10"/>
        <v>0</v>
      </c>
      <c r="EX18">
        <f t="shared" si="10"/>
        <v>0</v>
      </c>
      <c r="EY18">
        <f t="shared" si="10"/>
        <v>0</v>
      </c>
      <c r="EZ18">
        <f t="shared" si="10"/>
        <v>0</v>
      </c>
      <c r="FA18">
        <f t="shared" si="10"/>
        <v>0</v>
      </c>
      <c r="FB18">
        <f t="shared" si="10"/>
        <v>0</v>
      </c>
      <c r="FC18">
        <f t="shared" si="10"/>
        <v>0</v>
      </c>
      <c r="FD18">
        <f t="shared" si="10"/>
        <v>0</v>
      </c>
      <c r="FE18">
        <f t="shared" si="10"/>
        <v>0</v>
      </c>
      <c r="FF18">
        <f t="shared" si="10"/>
        <v>0</v>
      </c>
      <c r="FG18">
        <f t="shared" si="10"/>
        <v>0</v>
      </c>
      <c r="FH18">
        <f t="shared" si="10"/>
        <v>0</v>
      </c>
      <c r="FI18">
        <f t="shared" si="10"/>
        <v>0</v>
      </c>
      <c r="FJ18">
        <f t="shared" si="10"/>
        <v>0</v>
      </c>
      <c r="FK18">
        <f t="shared" si="10"/>
        <v>0</v>
      </c>
      <c r="FL18">
        <f t="shared" si="10"/>
        <v>0</v>
      </c>
      <c r="FM18">
        <f t="shared" si="10"/>
        <v>0</v>
      </c>
      <c r="FN18">
        <f t="shared" si="10"/>
        <v>0</v>
      </c>
      <c r="FO18">
        <f t="shared" si="10"/>
        <v>0</v>
      </c>
      <c r="FP18">
        <f t="shared" si="10"/>
        <v>0</v>
      </c>
      <c r="FQ18">
        <f t="shared" si="10"/>
        <v>0</v>
      </c>
      <c r="FR18">
        <f t="shared" si="10"/>
        <v>0</v>
      </c>
      <c r="FS18">
        <f t="shared" si="10"/>
        <v>0</v>
      </c>
      <c r="FT18">
        <f t="shared" si="10"/>
        <v>0</v>
      </c>
      <c r="FU18">
        <f t="shared" si="10"/>
        <v>0</v>
      </c>
    </row>
    <row r="19" spans="1:177" x14ac:dyDescent="0.25">
      <c r="A19" t="str">
        <f t="shared" ref="A19:D19" si="11">A5</f>
        <v>AK-47</v>
      </c>
      <c r="B19" t="str">
        <f t="shared" si="11"/>
        <v>Frontside Misty MW</v>
      </c>
      <c r="C19" t="str">
        <f t="shared" si="11"/>
        <v>AK-47</v>
      </c>
      <c r="D19" t="str">
        <f t="shared" si="11"/>
        <v>Shadow</v>
      </c>
      <c r="E19">
        <f t="shared" ref="E19:T23" si="12">E5-ROUNDUP(E5*0.3,2)</f>
        <v>18.59</v>
      </c>
      <c r="F19">
        <f t="shared" si="12"/>
        <v>19.190000000000001</v>
      </c>
      <c r="G19">
        <f t="shared" si="12"/>
        <v>19.479999999999997</v>
      </c>
      <c r="H19">
        <f t="shared" si="12"/>
        <v>19.080000000000002</v>
      </c>
      <c r="I19">
        <f t="shared" si="12"/>
        <v>17.96</v>
      </c>
      <c r="J19">
        <f t="shared" si="12"/>
        <v>17.68</v>
      </c>
      <c r="K19">
        <f t="shared" si="12"/>
        <v>17.68</v>
      </c>
      <c r="L19">
        <f t="shared" si="12"/>
        <v>18.11</v>
      </c>
      <c r="M19">
        <f t="shared" si="12"/>
        <v>18.770000000000003</v>
      </c>
      <c r="N19">
        <f t="shared" si="12"/>
        <v>17.869999999999997</v>
      </c>
      <c r="O19">
        <f t="shared" si="12"/>
        <v>17.29</v>
      </c>
      <c r="P19">
        <f t="shared" si="12"/>
        <v>17.82</v>
      </c>
      <c r="Q19">
        <f t="shared" si="12"/>
        <v>17.649999999999999</v>
      </c>
      <c r="R19">
        <f t="shared" si="12"/>
        <v>18.12</v>
      </c>
      <c r="S19">
        <f t="shared" si="12"/>
        <v>17.649999999999999</v>
      </c>
      <c r="T19">
        <f t="shared" si="12"/>
        <v>19.03</v>
      </c>
      <c r="U19">
        <f t="shared" si="8"/>
        <v>18.440000000000001</v>
      </c>
      <c r="V19">
        <f t="shared" si="8"/>
        <v>18.2</v>
      </c>
      <c r="W19">
        <f t="shared" si="8"/>
        <v>17.990000000000002</v>
      </c>
      <c r="X19">
        <f t="shared" si="8"/>
        <v>18.520000000000003</v>
      </c>
      <c r="Y19">
        <f t="shared" si="8"/>
        <v>18.29</v>
      </c>
      <c r="Z19">
        <f t="shared" si="8"/>
        <v>0</v>
      </c>
      <c r="AA19">
        <f t="shared" si="8"/>
        <v>0</v>
      </c>
      <c r="AB19">
        <f t="shared" si="8"/>
        <v>0</v>
      </c>
      <c r="AC19">
        <f t="shared" si="8"/>
        <v>0</v>
      </c>
      <c r="AD19">
        <f t="shared" si="8"/>
        <v>0</v>
      </c>
      <c r="AE19">
        <f t="shared" si="8"/>
        <v>0</v>
      </c>
      <c r="AF19">
        <f t="shared" si="8"/>
        <v>0</v>
      </c>
      <c r="AG19">
        <f t="shared" si="8"/>
        <v>0</v>
      </c>
      <c r="AH19">
        <f t="shared" si="8"/>
        <v>0</v>
      </c>
      <c r="AI19">
        <f t="shared" si="8"/>
        <v>0</v>
      </c>
      <c r="AJ19">
        <f t="shared" si="8"/>
        <v>0</v>
      </c>
      <c r="AK19">
        <f t="shared" si="8"/>
        <v>0</v>
      </c>
      <c r="AL19">
        <f t="shared" si="8"/>
        <v>0</v>
      </c>
      <c r="AM19">
        <f t="shared" si="8"/>
        <v>0</v>
      </c>
      <c r="AN19">
        <f t="shared" si="8"/>
        <v>0</v>
      </c>
      <c r="AO19">
        <f t="shared" si="8"/>
        <v>0</v>
      </c>
      <c r="AP19">
        <f t="shared" si="8"/>
        <v>0</v>
      </c>
      <c r="AQ19">
        <f t="shared" si="8"/>
        <v>0</v>
      </c>
      <c r="AR19">
        <f t="shared" si="8"/>
        <v>0</v>
      </c>
      <c r="AS19">
        <f t="shared" si="8"/>
        <v>0</v>
      </c>
      <c r="AT19">
        <f t="shared" si="8"/>
        <v>0</v>
      </c>
      <c r="AU19">
        <f t="shared" si="8"/>
        <v>0</v>
      </c>
      <c r="AV19">
        <f t="shared" si="8"/>
        <v>0</v>
      </c>
      <c r="AW19">
        <f t="shared" si="8"/>
        <v>0</v>
      </c>
      <c r="AX19">
        <f t="shared" si="8"/>
        <v>0</v>
      </c>
      <c r="AY19">
        <f t="shared" si="8"/>
        <v>0</v>
      </c>
      <c r="AZ19">
        <f t="shared" si="8"/>
        <v>0</v>
      </c>
      <c r="BA19">
        <f t="shared" si="8"/>
        <v>0</v>
      </c>
      <c r="BB19">
        <f t="shared" si="8"/>
        <v>0</v>
      </c>
      <c r="BC19">
        <f t="shared" si="8"/>
        <v>0</v>
      </c>
      <c r="BD19">
        <f t="shared" si="8"/>
        <v>0</v>
      </c>
      <c r="BE19">
        <f t="shared" si="8"/>
        <v>0</v>
      </c>
      <c r="BF19">
        <f t="shared" si="8"/>
        <v>0</v>
      </c>
      <c r="BG19">
        <f t="shared" si="8"/>
        <v>0</v>
      </c>
      <c r="BH19">
        <f t="shared" si="8"/>
        <v>0</v>
      </c>
      <c r="BI19">
        <f t="shared" si="8"/>
        <v>0</v>
      </c>
      <c r="BJ19">
        <f t="shared" si="8"/>
        <v>0</v>
      </c>
      <c r="BK19">
        <f t="shared" si="8"/>
        <v>0</v>
      </c>
      <c r="BL19">
        <f t="shared" si="8"/>
        <v>0</v>
      </c>
      <c r="BM19">
        <f t="shared" si="8"/>
        <v>0</v>
      </c>
      <c r="BN19">
        <f t="shared" si="8"/>
        <v>0</v>
      </c>
      <c r="BO19">
        <f t="shared" si="8"/>
        <v>0</v>
      </c>
      <c r="BP19">
        <f t="shared" si="8"/>
        <v>0</v>
      </c>
      <c r="BQ19">
        <f t="shared" si="8"/>
        <v>0</v>
      </c>
      <c r="BR19">
        <f t="shared" si="9"/>
        <v>0</v>
      </c>
      <c r="BS19">
        <f t="shared" si="9"/>
        <v>0</v>
      </c>
      <c r="BT19">
        <f t="shared" si="9"/>
        <v>0</v>
      </c>
      <c r="BU19">
        <f t="shared" si="9"/>
        <v>0</v>
      </c>
      <c r="BV19">
        <f t="shared" si="9"/>
        <v>0</v>
      </c>
      <c r="BW19">
        <f t="shared" si="9"/>
        <v>0</v>
      </c>
      <c r="BX19">
        <f t="shared" si="9"/>
        <v>0</v>
      </c>
      <c r="BY19">
        <f t="shared" si="9"/>
        <v>0</v>
      </c>
      <c r="BZ19">
        <f t="shared" si="9"/>
        <v>0</v>
      </c>
      <c r="CA19">
        <f t="shared" si="9"/>
        <v>0</v>
      </c>
      <c r="CB19">
        <f t="shared" si="9"/>
        <v>0</v>
      </c>
      <c r="CC19">
        <f t="shared" si="9"/>
        <v>0</v>
      </c>
      <c r="CD19">
        <f t="shared" si="9"/>
        <v>0</v>
      </c>
      <c r="CE19">
        <f t="shared" si="9"/>
        <v>0</v>
      </c>
      <c r="CF19">
        <f t="shared" si="9"/>
        <v>0</v>
      </c>
      <c r="CG19">
        <f t="shared" si="9"/>
        <v>0</v>
      </c>
      <c r="CH19">
        <f t="shared" si="9"/>
        <v>0</v>
      </c>
      <c r="CI19">
        <f t="shared" si="9"/>
        <v>0</v>
      </c>
      <c r="CJ19">
        <f t="shared" si="9"/>
        <v>0</v>
      </c>
      <c r="CK19">
        <f t="shared" si="9"/>
        <v>0</v>
      </c>
      <c r="CL19">
        <f t="shared" si="9"/>
        <v>0</v>
      </c>
      <c r="CM19">
        <f t="shared" si="9"/>
        <v>0</v>
      </c>
      <c r="CN19">
        <f t="shared" si="9"/>
        <v>0</v>
      </c>
      <c r="CO19">
        <f t="shared" si="9"/>
        <v>0</v>
      </c>
      <c r="CP19">
        <f t="shared" si="9"/>
        <v>0</v>
      </c>
      <c r="CQ19">
        <f t="shared" si="9"/>
        <v>0</v>
      </c>
      <c r="CR19">
        <f t="shared" si="9"/>
        <v>0</v>
      </c>
      <c r="CS19">
        <f t="shared" si="9"/>
        <v>0</v>
      </c>
      <c r="CT19">
        <f t="shared" si="9"/>
        <v>0</v>
      </c>
      <c r="CU19">
        <f t="shared" si="9"/>
        <v>0</v>
      </c>
      <c r="CV19">
        <f t="shared" si="9"/>
        <v>0</v>
      </c>
      <c r="CW19">
        <f t="shared" si="9"/>
        <v>0</v>
      </c>
      <c r="CX19">
        <f t="shared" si="9"/>
        <v>0</v>
      </c>
      <c r="CY19">
        <f t="shared" si="9"/>
        <v>0</v>
      </c>
      <c r="CZ19">
        <f t="shared" si="9"/>
        <v>0</v>
      </c>
      <c r="DA19">
        <f t="shared" si="9"/>
        <v>0</v>
      </c>
      <c r="DB19">
        <f t="shared" si="9"/>
        <v>0</v>
      </c>
      <c r="DC19">
        <f t="shared" si="9"/>
        <v>0</v>
      </c>
      <c r="DD19">
        <f t="shared" si="9"/>
        <v>0</v>
      </c>
      <c r="DE19">
        <f t="shared" si="9"/>
        <v>0</v>
      </c>
      <c r="DF19">
        <f t="shared" si="9"/>
        <v>0</v>
      </c>
      <c r="DG19">
        <f t="shared" si="9"/>
        <v>0</v>
      </c>
      <c r="DH19">
        <f t="shared" si="9"/>
        <v>0</v>
      </c>
      <c r="DI19">
        <f t="shared" si="9"/>
        <v>0</v>
      </c>
      <c r="DJ19">
        <f t="shared" si="9"/>
        <v>0</v>
      </c>
      <c r="DK19">
        <f t="shared" si="9"/>
        <v>0</v>
      </c>
      <c r="DL19">
        <f t="shared" si="9"/>
        <v>0</v>
      </c>
      <c r="DM19">
        <f t="shared" si="9"/>
        <v>0</v>
      </c>
      <c r="DN19">
        <f t="shared" si="9"/>
        <v>0</v>
      </c>
      <c r="DO19">
        <f t="shared" si="9"/>
        <v>0</v>
      </c>
      <c r="DP19">
        <f t="shared" si="9"/>
        <v>0</v>
      </c>
      <c r="DQ19">
        <f t="shared" si="9"/>
        <v>0</v>
      </c>
      <c r="DR19">
        <f t="shared" si="9"/>
        <v>0</v>
      </c>
      <c r="DS19">
        <f t="shared" si="9"/>
        <v>0</v>
      </c>
      <c r="DT19">
        <f t="shared" si="9"/>
        <v>0</v>
      </c>
      <c r="DU19">
        <f t="shared" si="9"/>
        <v>0</v>
      </c>
      <c r="DV19">
        <f t="shared" si="9"/>
        <v>0</v>
      </c>
      <c r="DW19">
        <f t="shared" si="9"/>
        <v>0</v>
      </c>
      <c r="DX19">
        <f t="shared" si="9"/>
        <v>0</v>
      </c>
      <c r="DY19">
        <f t="shared" si="9"/>
        <v>0</v>
      </c>
      <c r="DZ19">
        <f t="shared" si="9"/>
        <v>0</v>
      </c>
      <c r="EA19">
        <f t="shared" si="9"/>
        <v>0</v>
      </c>
      <c r="EB19">
        <f t="shared" si="9"/>
        <v>0</v>
      </c>
      <c r="EC19">
        <f t="shared" si="9"/>
        <v>0</v>
      </c>
      <c r="ED19">
        <f t="shared" si="10"/>
        <v>0</v>
      </c>
      <c r="EE19">
        <f t="shared" si="10"/>
        <v>0</v>
      </c>
      <c r="EF19">
        <f t="shared" si="10"/>
        <v>0</v>
      </c>
      <c r="EG19">
        <f t="shared" si="10"/>
        <v>0</v>
      </c>
      <c r="EH19">
        <f t="shared" si="10"/>
        <v>0</v>
      </c>
      <c r="EI19">
        <f t="shared" si="10"/>
        <v>0</v>
      </c>
      <c r="EJ19">
        <f t="shared" si="10"/>
        <v>0</v>
      </c>
      <c r="EK19">
        <f t="shared" si="10"/>
        <v>0</v>
      </c>
      <c r="EL19">
        <f t="shared" si="10"/>
        <v>0</v>
      </c>
      <c r="EM19">
        <f t="shared" si="10"/>
        <v>0</v>
      </c>
      <c r="EN19">
        <f t="shared" si="10"/>
        <v>0</v>
      </c>
      <c r="EO19">
        <f t="shared" si="10"/>
        <v>0</v>
      </c>
      <c r="EP19">
        <f t="shared" si="10"/>
        <v>0</v>
      </c>
      <c r="EQ19">
        <f t="shared" si="10"/>
        <v>0</v>
      </c>
      <c r="ER19">
        <f t="shared" si="10"/>
        <v>0</v>
      </c>
      <c r="ES19">
        <f t="shared" si="10"/>
        <v>0</v>
      </c>
      <c r="ET19">
        <f t="shared" si="10"/>
        <v>0</v>
      </c>
      <c r="EU19">
        <f t="shared" si="10"/>
        <v>0</v>
      </c>
      <c r="EV19">
        <f t="shared" si="10"/>
        <v>0</v>
      </c>
      <c r="EW19">
        <f t="shared" si="10"/>
        <v>0</v>
      </c>
      <c r="EX19">
        <f t="shared" si="10"/>
        <v>0</v>
      </c>
      <c r="EY19">
        <f t="shared" si="10"/>
        <v>0</v>
      </c>
      <c r="EZ19">
        <f t="shared" si="10"/>
        <v>0</v>
      </c>
      <c r="FA19">
        <f t="shared" si="10"/>
        <v>0</v>
      </c>
      <c r="FB19">
        <f t="shared" si="10"/>
        <v>0</v>
      </c>
      <c r="FC19">
        <f t="shared" si="10"/>
        <v>0</v>
      </c>
      <c r="FD19">
        <f t="shared" si="10"/>
        <v>0</v>
      </c>
      <c r="FE19">
        <f t="shared" si="10"/>
        <v>0</v>
      </c>
      <c r="FF19">
        <f t="shared" si="10"/>
        <v>0</v>
      </c>
      <c r="FG19">
        <f t="shared" si="10"/>
        <v>0</v>
      </c>
      <c r="FH19">
        <f t="shared" si="10"/>
        <v>0</v>
      </c>
      <c r="FI19">
        <f t="shared" si="10"/>
        <v>0</v>
      </c>
      <c r="FJ19">
        <f t="shared" si="10"/>
        <v>0</v>
      </c>
      <c r="FK19">
        <f t="shared" si="10"/>
        <v>0</v>
      </c>
      <c r="FL19">
        <f t="shared" si="10"/>
        <v>0</v>
      </c>
      <c r="FM19">
        <f t="shared" si="10"/>
        <v>0</v>
      </c>
      <c r="FN19">
        <f t="shared" si="10"/>
        <v>0</v>
      </c>
      <c r="FO19">
        <f t="shared" si="10"/>
        <v>0</v>
      </c>
      <c r="FP19">
        <f t="shared" si="10"/>
        <v>0</v>
      </c>
      <c r="FQ19">
        <f t="shared" si="10"/>
        <v>0</v>
      </c>
      <c r="FR19">
        <f t="shared" si="10"/>
        <v>0</v>
      </c>
      <c r="FS19">
        <f t="shared" si="10"/>
        <v>0</v>
      </c>
      <c r="FT19">
        <f t="shared" si="10"/>
        <v>0</v>
      </c>
      <c r="FU19">
        <f t="shared" si="10"/>
        <v>0</v>
      </c>
    </row>
    <row r="20" spans="1:177" x14ac:dyDescent="0.25">
      <c r="A20" t="str">
        <f t="shared" ref="A20:D20" si="13">A6</f>
        <v>AK-47</v>
      </c>
      <c r="B20" t="str">
        <f t="shared" si="13"/>
        <v>StatTrak Point Disarray FT</v>
      </c>
      <c r="C20" t="str">
        <f t="shared" si="13"/>
        <v>AK-47</v>
      </c>
      <c r="D20" t="str">
        <f t="shared" si="13"/>
        <v>Revolver</v>
      </c>
      <c r="E20">
        <f t="shared" si="12"/>
        <v>26.430000000000003</v>
      </c>
      <c r="F20">
        <f t="shared" ref="F20:BQ23" si="14">F6-ROUNDUP(F6*0.3,2)</f>
        <v>28.28</v>
      </c>
      <c r="G20">
        <f t="shared" si="14"/>
        <v>27.53</v>
      </c>
      <c r="H20">
        <f t="shared" si="14"/>
        <v>26.95</v>
      </c>
      <c r="I20">
        <f t="shared" si="14"/>
        <v>28.029999999999998</v>
      </c>
      <c r="J20">
        <f t="shared" si="14"/>
        <v>27.95</v>
      </c>
      <c r="K20">
        <f t="shared" si="14"/>
        <v>26.879999999999995</v>
      </c>
      <c r="L20">
        <f t="shared" si="14"/>
        <v>26.67</v>
      </c>
      <c r="M20">
        <f t="shared" si="14"/>
        <v>26.46</v>
      </c>
      <c r="N20">
        <f t="shared" si="14"/>
        <v>26.479999999999997</v>
      </c>
      <c r="O20">
        <f t="shared" si="14"/>
        <v>27.72</v>
      </c>
      <c r="P20">
        <f t="shared" si="14"/>
        <v>27.799999999999997</v>
      </c>
      <c r="Q20">
        <f t="shared" si="14"/>
        <v>27.610000000000003</v>
      </c>
      <c r="R20">
        <f t="shared" si="14"/>
        <v>24.75</v>
      </c>
      <c r="S20">
        <f t="shared" si="14"/>
        <v>26.990000000000002</v>
      </c>
      <c r="T20">
        <f t="shared" si="14"/>
        <v>25.93</v>
      </c>
      <c r="U20">
        <f t="shared" si="14"/>
        <v>27.18</v>
      </c>
      <c r="V20">
        <f t="shared" si="14"/>
        <v>27.75</v>
      </c>
      <c r="W20">
        <f t="shared" si="14"/>
        <v>24.729999999999997</v>
      </c>
      <c r="X20">
        <f t="shared" si="14"/>
        <v>23.869999999999997</v>
      </c>
      <c r="Y20">
        <f t="shared" si="14"/>
        <v>24.52</v>
      </c>
      <c r="Z20">
        <f t="shared" si="14"/>
        <v>0</v>
      </c>
      <c r="AA20">
        <f t="shared" si="14"/>
        <v>0</v>
      </c>
      <c r="AB20">
        <f t="shared" si="14"/>
        <v>0</v>
      </c>
      <c r="AC20">
        <f t="shared" si="14"/>
        <v>0</v>
      </c>
      <c r="AD20">
        <f t="shared" si="14"/>
        <v>0</v>
      </c>
      <c r="AE20">
        <f t="shared" si="14"/>
        <v>0</v>
      </c>
      <c r="AF20">
        <f t="shared" si="14"/>
        <v>0</v>
      </c>
      <c r="AG20">
        <f t="shared" si="14"/>
        <v>0</v>
      </c>
      <c r="AH20">
        <f t="shared" si="14"/>
        <v>0</v>
      </c>
      <c r="AI20">
        <f t="shared" si="14"/>
        <v>0</v>
      </c>
      <c r="AJ20">
        <f t="shared" si="14"/>
        <v>0</v>
      </c>
      <c r="AK20">
        <f t="shared" si="14"/>
        <v>0</v>
      </c>
      <c r="AL20">
        <f t="shared" si="14"/>
        <v>0</v>
      </c>
      <c r="AM20">
        <f t="shared" si="14"/>
        <v>0</v>
      </c>
      <c r="AN20">
        <f t="shared" si="14"/>
        <v>0</v>
      </c>
      <c r="AO20">
        <f t="shared" si="14"/>
        <v>0</v>
      </c>
      <c r="AP20">
        <f t="shared" si="14"/>
        <v>0</v>
      </c>
      <c r="AQ20">
        <f t="shared" si="14"/>
        <v>0</v>
      </c>
      <c r="AR20">
        <f t="shared" si="14"/>
        <v>0</v>
      </c>
      <c r="AS20">
        <f t="shared" si="14"/>
        <v>0</v>
      </c>
      <c r="AT20">
        <f t="shared" si="14"/>
        <v>0</v>
      </c>
      <c r="AU20">
        <f t="shared" si="14"/>
        <v>0</v>
      </c>
      <c r="AV20">
        <f t="shared" si="14"/>
        <v>0</v>
      </c>
      <c r="AW20">
        <f t="shared" si="14"/>
        <v>0</v>
      </c>
      <c r="AX20">
        <f t="shared" si="14"/>
        <v>0</v>
      </c>
      <c r="AY20">
        <f t="shared" si="14"/>
        <v>0</v>
      </c>
      <c r="AZ20">
        <f t="shared" si="14"/>
        <v>0</v>
      </c>
      <c r="BA20">
        <f t="shared" si="14"/>
        <v>0</v>
      </c>
      <c r="BB20">
        <f t="shared" si="14"/>
        <v>0</v>
      </c>
      <c r="BC20">
        <f t="shared" si="14"/>
        <v>0</v>
      </c>
      <c r="BD20">
        <f t="shared" si="14"/>
        <v>0</v>
      </c>
      <c r="BE20">
        <f t="shared" si="14"/>
        <v>0</v>
      </c>
      <c r="BF20">
        <f t="shared" si="14"/>
        <v>0</v>
      </c>
      <c r="BG20">
        <f t="shared" si="14"/>
        <v>0</v>
      </c>
      <c r="BH20">
        <f t="shared" si="14"/>
        <v>0</v>
      </c>
      <c r="BI20">
        <f t="shared" si="14"/>
        <v>0</v>
      </c>
      <c r="BJ20">
        <f t="shared" si="14"/>
        <v>0</v>
      </c>
      <c r="BK20">
        <f t="shared" si="14"/>
        <v>0</v>
      </c>
      <c r="BL20">
        <f t="shared" si="14"/>
        <v>0</v>
      </c>
      <c r="BM20">
        <f t="shared" si="14"/>
        <v>0</v>
      </c>
      <c r="BN20">
        <f t="shared" si="14"/>
        <v>0</v>
      </c>
      <c r="BO20">
        <f t="shared" si="14"/>
        <v>0</v>
      </c>
      <c r="BP20">
        <f t="shared" si="14"/>
        <v>0</v>
      </c>
      <c r="BQ20">
        <f t="shared" si="14"/>
        <v>0</v>
      </c>
      <c r="BR20">
        <f t="shared" si="9"/>
        <v>0</v>
      </c>
      <c r="BS20">
        <f t="shared" si="9"/>
        <v>0</v>
      </c>
      <c r="BT20">
        <f t="shared" si="9"/>
        <v>0</v>
      </c>
      <c r="BU20">
        <f t="shared" si="9"/>
        <v>0</v>
      </c>
      <c r="BV20">
        <f t="shared" si="9"/>
        <v>0</v>
      </c>
      <c r="BW20">
        <f t="shared" si="9"/>
        <v>0</v>
      </c>
      <c r="BX20">
        <f t="shared" si="9"/>
        <v>0</v>
      </c>
      <c r="BY20">
        <f t="shared" si="9"/>
        <v>0</v>
      </c>
      <c r="BZ20">
        <f t="shared" si="9"/>
        <v>0</v>
      </c>
      <c r="CA20">
        <f t="shared" si="9"/>
        <v>0</v>
      </c>
      <c r="CB20">
        <f t="shared" si="9"/>
        <v>0</v>
      </c>
      <c r="CC20">
        <f t="shared" si="9"/>
        <v>0</v>
      </c>
      <c r="CD20">
        <f t="shared" si="9"/>
        <v>0</v>
      </c>
      <c r="CE20">
        <f t="shared" si="9"/>
        <v>0</v>
      </c>
      <c r="CF20">
        <f t="shared" si="9"/>
        <v>0</v>
      </c>
      <c r="CG20">
        <f t="shared" si="9"/>
        <v>0</v>
      </c>
      <c r="CH20">
        <f t="shared" si="9"/>
        <v>0</v>
      </c>
      <c r="CI20">
        <f t="shared" si="9"/>
        <v>0</v>
      </c>
      <c r="CJ20">
        <f t="shared" si="9"/>
        <v>0</v>
      </c>
      <c r="CK20">
        <f t="shared" si="9"/>
        <v>0</v>
      </c>
      <c r="CL20">
        <f t="shared" si="9"/>
        <v>0</v>
      </c>
      <c r="CM20">
        <f t="shared" si="9"/>
        <v>0</v>
      </c>
      <c r="CN20">
        <f t="shared" si="9"/>
        <v>0</v>
      </c>
      <c r="CO20">
        <f t="shared" si="9"/>
        <v>0</v>
      </c>
      <c r="CP20">
        <f t="shared" si="9"/>
        <v>0</v>
      </c>
      <c r="CQ20">
        <f t="shared" si="9"/>
        <v>0</v>
      </c>
      <c r="CR20">
        <f t="shared" si="9"/>
        <v>0</v>
      </c>
      <c r="CS20">
        <f t="shared" si="9"/>
        <v>0</v>
      </c>
      <c r="CT20">
        <f t="shared" si="9"/>
        <v>0</v>
      </c>
      <c r="CU20">
        <f t="shared" si="9"/>
        <v>0</v>
      </c>
      <c r="CV20">
        <f t="shared" si="9"/>
        <v>0</v>
      </c>
      <c r="CW20">
        <f t="shared" si="9"/>
        <v>0</v>
      </c>
      <c r="CX20">
        <f t="shared" si="9"/>
        <v>0</v>
      </c>
      <c r="CY20">
        <f t="shared" si="9"/>
        <v>0</v>
      </c>
      <c r="CZ20">
        <f t="shared" si="9"/>
        <v>0</v>
      </c>
      <c r="DA20">
        <f t="shared" si="9"/>
        <v>0</v>
      </c>
      <c r="DB20">
        <f t="shared" si="9"/>
        <v>0</v>
      </c>
      <c r="DC20">
        <f t="shared" si="9"/>
        <v>0</v>
      </c>
      <c r="DD20">
        <f t="shared" si="9"/>
        <v>0</v>
      </c>
      <c r="DE20">
        <f t="shared" si="9"/>
        <v>0</v>
      </c>
      <c r="DF20">
        <f t="shared" si="9"/>
        <v>0</v>
      </c>
      <c r="DG20">
        <f t="shared" si="9"/>
        <v>0</v>
      </c>
      <c r="DH20">
        <f t="shared" si="9"/>
        <v>0</v>
      </c>
      <c r="DI20">
        <f t="shared" si="9"/>
        <v>0</v>
      </c>
      <c r="DJ20">
        <f t="shared" si="9"/>
        <v>0</v>
      </c>
      <c r="DK20">
        <f t="shared" si="9"/>
        <v>0</v>
      </c>
      <c r="DL20">
        <f t="shared" si="9"/>
        <v>0</v>
      </c>
      <c r="DM20">
        <f t="shared" si="9"/>
        <v>0</v>
      </c>
      <c r="DN20">
        <f t="shared" si="9"/>
        <v>0</v>
      </c>
      <c r="DO20">
        <f t="shared" si="9"/>
        <v>0</v>
      </c>
      <c r="DP20">
        <f t="shared" si="9"/>
        <v>0</v>
      </c>
      <c r="DQ20">
        <f t="shared" si="9"/>
        <v>0</v>
      </c>
      <c r="DR20">
        <f t="shared" si="9"/>
        <v>0</v>
      </c>
      <c r="DS20">
        <f t="shared" si="9"/>
        <v>0</v>
      </c>
      <c r="DT20">
        <f t="shared" si="9"/>
        <v>0</v>
      </c>
      <c r="DU20">
        <f t="shared" si="9"/>
        <v>0</v>
      </c>
      <c r="DV20">
        <f t="shared" si="9"/>
        <v>0</v>
      </c>
      <c r="DW20">
        <f t="shared" si="9"/>
        <v>0</v>
      </c>
      <c r="DX20">
        <f t="shared" si="9"/>
        <v>0</v>
      </c>
      <c r="DY20">
        <f t="shared" si="9"/>
        <v>0</v>
      </c>
      <c r="DZ20">
        <f t="shared" si="9"/>
        <v>0</v>
      </c>
      <c r="EA20">
        <f t="shared" si="9"/>
        <v>0</v>
      </c>
      <c r="EB20">
        <f t="shared" si="9"/>
        <v>0</v>
      </c>
      <c r="EC20">
        <f t="shared" si="9"/>
        <v>0</v>
      </c>
      <c r="ED20">
        <f t="shared" si="10"/>
        <v>0</v>
      </c>
      <c r="EE20">
        <f t="shared" si="10"/>
        <v>0</v>
      </c>
      <c r="EF20">
        <f t="shared" si="10"/>
        <v>0</v>
      </c>
      <c r="EG20">
        <f t="shared" si="10"/>
        <v>0</v>
      </c>
      <c r="EH20">
        <f t="shared" si="10"/>
        <v>0</v>
      </c>
      <c r="EI20">
        <f t="shared" si="10"/>
        <v>0</v>
      </c>
      <c r="EJ20">
        <f t="shared" si="10"/>
        <v>0</v>
      </c>
      <c r="EK20">
        <f t="shared" si="10"/>
        <v>0</v>
      </c>
      <c r="EL20">
        <f t="shared" si="10"/>
        <v>0</v>
      </c>
      <c r="EM20">
        <f t="shared" si="10"/>
        <v>0</v>
      </c>
      <c r="EN20">
        <f t="shared" si="10"/>
        <v>0</v>
      </c>
      <c r="EO20">
        <f t="shared" si="10"/>
        <v>0</v>
      </c>
      <c r="EP20">
        <f t="shared" si="10"/>
        <v>0</v>
      </c>
      <c r="EQ20">
        <f t="shared" si="10"/>
        <v>0</v>
      </c>
      <c r="ER20">
        <f t="shared" si="10"/>
        <v>0</v>
      </c>
      <c r="ES20">
        <f t="shared" si="10"/>
        <v>0</v>
      </c>
      <c r="ET20">
        <f t="shared" si="10"/>
        <v>0</v>
      </c>
      <c r="EU20">
        <f t="shared" si="10"/>
        <v>0</v>
      </c>
      <c r="EV20">
        <f t="shared" si="10"/>
        <v>0</v>
      </c>
      <c r="EW20">
        <f t="shared" si="10"/>
        <v>0</v>
      </c>
      <c r="EX20">
        <f t="shared" si="10"/>
        <v>0</v>
      </c>
      <c r="EY20">
        <f t="shared" si="10"/>
        <v>0</v>
      </c>
      <c r="EZ20">
        <f t="shared" si="10"/>
        <v>0</v>
      </c>
      <c r="FA20">
        <f t="shared" si="10"/>
        <v>0</v>
      </c>
      <c r="FB20">
        <f t="shared" si="10"/>
        <v>0</v>
      </c>
      <c r="FC20">
        <f t="shared" si="10"/>
        <v>0</v>
      </c>
      <c r="FD20">
        <f t="shared" si="10"/>
        <v>0</v>
      </c>
      <c r="FE20">
        <f t="shared" si="10"/>
        <v>0</v>
      </c>
      <c r="FF20">
        <f t="shared" si="10"/>
        <v>0</v>
      </c>
      <c r="FG20">
        <f t="shared" si="10"/>
        <v>0</v>
      </c>
      <c r="FH20">
        <f t="shared" si="10"/>
        <v>0</v>
      </c>
      <c r="FI20">
        <f t="shared" si="10"/>
        <v>0</v>
      </c>
      <c r="FJ20">
        <f t="shared" si="10"/>
        <v>0</v>
      </c>
      <c r="FK20">
        <f t="shared" si="10"/>
        <v>0</v>
      </c>
      <c r="FL20">
        <f t="shared" si="10"/>
        <v>0</v>
      </c>
      <c r="FM20">
        <f t="shared" si="10"/>
        <v>0</v>
      </c>
      <c r="FN20">
        <f t="shared" si="10"/>
        <v>0</v>
      </c>
      <c r="FO20">
        <f t="shared" si="10"/>
        <v>0</v>
      </c>
      <c r="FP20">
        <f t="shared" si="10"/>
        <v>0</v>
      </c>
      <c r="FQ20">
        <f t="shared" si="10"/>
        <v>0</v>
      </c>
      <c r="FR20">
        <f t="shared" si="10"/>
        <v>0</v>
      </c>
      <c r="FS20">
        <f t="shared" si="10"/>
        <v>0</v>
      </c>
      <c r="FT20">
        <f t="shared" si="10"/>
        <v>0</v>
      </c>
      <c r="FU20">
        <f t="shared" si="10"/>
        <v>0</v>
      </c>
    </row>
    <row r="21" spans="1:177" x14ac:dyDescent="0.25">
      <c r="A21" t="str">
        <f t="shared" ref="A21:D21" si="15">A7</f>
        <v>AK-47</v>
      </c>
      <c r="B21" t="str">
        <f t="shared" si="15"/>
        <v>Bloodsport MW</v>
      </c>
      <c r="C21" t="str">
        <f t="shared" si="15"/>
        <v>AK-47</v>
      </c>
      <c r="D21" t="str">
        <f t="shared" si="15"/>
        <v>Spectrum</v>
      </c>
      <c r="E21">
        <f t="shared" si="12"/>
        <v>43.5</v>
      </c>
      <c r="F21">
        <f t="shared" si="14"/>
        <v>43.230000000000004</v>
      </c>
      <c r="G21">
        <f t="shared" si="14"/>
        <v>43.98</v>
      </c>
      <c r="H21">
        <f t="shared" si="14"/>
        <v>43.879999999999995</v>
      </c>
      <c r="I21">
        <f t="shared" si="14"/>
        <v>41.58</v>
      </c>
      <c r="J21">
        <f t="shared" si="14"/>
        <v>44.069999999999993</v>
      </c>
      <c r="K21">
        <f t="shared" si="14"/>
        <v>42.849999999999994</v>
      </c>
      <c r="L21">
        <f t="shared" si="14"/>
        <v>41.489999999999995</v>
      </c>
      <c r="M21">
        <f t="shared" si="14"/>
        <v>42</v>
      </c>
      <c r="N21">
        <f t="shared" si="14"/>
        <v>42.78</v>
      </c>
      <c r="O21">
        <f t="shared" si="14"/>
        <v>42.179999999999993</v>
      </c>
      <c r="P21">
        <f t="shared" si="14"/>
        <v>42.019999999999996</v>
      </c>
      <c r="Q21">
        <f t="shared" si="14"/>
        <v>42.07</v>
      </c>
      <c r="R21">
        <f t="shared" si="14"/>
        <v>43.28</v>
      </c>
      <c r="S21">
        <f t="shared" si="14"/>
        <v>44.519999999999996</v>
      </c>
      <c r="T21">
        <f t="shared" si="14"/>
        <v>41.98</v>
      </c>
      <c r="U21">
        <f t="shared" si="14"/>
        <v>42.07</v>
      </c>
      <c r="V21">
        <f t="shared" si="14"/>
        <v>42.84</v>
      </c>
      <c r="W21">
        <f t="shared" si="14"/>
        <v>42.209999999999994</v>
      </c>
      <c r="X21">
        <f t="shared" si="14"/>
        <v>42</v>
      </c>
      <c r="Y21">
        <f t="shared" si="14"/>
        <v>43.08</v>
      </c>
      <c r="Z21">
        <f t="shared" si="14"/>
        <v>0</v>
      </c>
      <c r="AA21">
        <f t="shared" si="14"/>
        <v>0</v>
      </c>
      <c r="AB21">
        <f t="shared" si="14"/>
        <v>0</v>
      </c>
      <c r="AC21">
        <f t="shared" si="14"/>
        <v>0</v>
      </c>
      <c r="AD21">
        <f t="shared" si="14"/>
        <v>0</v>
      </c>
      <c r="AE21">
        <f t="shared" si="14"/>
        <v>0</v>
      </c>
      <c r="AF21">
        <f t="shared" si="14"/>
        <v>0</v>
      </c>
      <c r="AG21">
        <f t="shared" si="14"/>
        <v>0</v>
      </c>
      <c r="AH21">
        <f t="shared" si="14"/>
        <v>0</v>
      </c>
      <c r="AI21">
        <f t="shared" si="14"/>
        <v>0</v>
      </c>
      <c r="AJ21">
        <f t="shared" si="14"/>
        <v>0</v>
      </c>
      <c r="AK21">
        <f t="shared" si="14"/>
        <v>0</v>
      </c>
      <c r="AL21">
        <f t="shared" si="14"/>
        <v>0</v>
      </c>
      <c r="AM21">
        <f t="shared" si="14"/>
        <v>0</v>
      </c>
      <c r="AN21">
        <f t="shared" si="14"/>
        <v>0</v>
      </c>
      <c r="AO21">
        <f t="shared" si="14"/>
        <v>0</v>
      </c>
      <c r="AP21">
        <f t="shared" si="14"/>
        <v>0</v>
      </c>
      <c r="AQ21">
        <f t="shared" si="14"/>
        <v>0</v>
      </c>
      <c r="AR21">
        <f t="shared" si="14"/>
        <v>0</v>
      </c>
      <c r="AS21">
        <f t="shared" si="14"/>
        <v>0</v>
      </c>
      <c r="AT21">
        <f t="shared" si="14"/>
        <v>0</v>
      </c>
      <c r="AU21">
        <f t="shared" si="14"/>
        <v>0</v>
      </c>
      <c r="AV21">
        <f t="shared" si="14"/>
        <v>0</v>
      </c>
      <c r="AW21">
        <f t="shared" si="14"/>
        <v>0</v>
      </c>
      <c r="AX21">
        <f t="shared" si="14"/>
        <v>0</v>
      </c>
      <c r="AY21">
        <f t="shared" si="14"/>
        <v>0</v>
      </c>
      <c r="AZ21">
        <f t="shared" si="14"/>
        <v>0</v>
      </c>
      <c r="BA21">
        <f t="shared" si="14"/>
        <v>0</v>
      </c>
      <c r="BB21">
        <f t="shared" si="14"/>
        <v>0</v>
      </c>
      <c r="BC21">
        <f t="shared" si="14"/>
        <v>0</v>
      </c>
      <c r="BD21">
        <f t="shared" si="14"/>
        <v>0</v>
      </c>
      <c r="BE21">
        <f t="shared" si="14"/>
        <v>0</v>
      </c>
      <c r="BF21">
        <f t="shared" si="14"/>
        <v>0</v>
      </c>
      <c r="BG21">
        <f t="shared" si="14"/>
        <v>0</v>
      </c>
      <c r="BH21">
        <f t="shared" si="14"/>
        <v>0</v>
      </c>
      <c r="BI21">
        <f t="shared" si="14"/>
        <v>0</v>
      </c>
      <c r="BJ21">
        <f t="shared" si="14"/>
        <v>0</v>
      </c>
      <c r="BK21">
        <f t="shared" si="14"/>
        <v>0</v>
      </c>
      <c r="BL21">
        <f t="shared" si="14"/>
        <v>0</v>
      </c>
      <c r="BM21">
        <f t="shared" si="14"/>
        <v>0</v>
      </c>
      <c r="BN21">
        <f t="shared" si="14"/>
        <v>0</v>
      </c>
      <c r="BO21">
        <f t="shared" si="14"/>
        <v>0</v>
      </c>
      <c r="BP21">
        <f t="shared" si="14"/>
        <v>0</v>
      </c>
      <c r="BQ21">
        <f t="shared" si="14"/>
        <v>0</v>
      </c>
      <c r="BR21">
        <f t="shared" si="9"/>
        <v>0</v>
      </c>
      <c r="BS21">
        <f t="shared" si="9"/>
        <v>0</v>
      </c>
      <c r="BT21">
        <f t="shared" si="9"/>
        <v>0</v>
      </c>
      <c r="BU21">
        <f t="shared" si="9"/>
        <v>0</v>
      </c>
      <c r="BV21">
        <f t="shared" si="9"/>
        <v>0</v>
      </c>
      <c r="BW21">
        <f t="shared" si="9"/>
        <v>0</v>
      </c>
      <c r="BX21">
        <f t="shared" si="9"/>
        <v>0</v>
      </c>
      <c r="BY21">
        <f t="shared" si="9"/>
        <v>0</v>
      </c>
      <c r="BZ21">
        <f t="shared" si="9"/>
        <v>0</v>
      </c>
      <c r="CA21">
        <f t="shared" si="9"/>
        <v>0</v>
      </c>
      <c r="CB21">
        <f t="shared" si="9"/>
        <v>0</v>
      </c>
      <c r="CC21">
        <f t="shared" si="9"/>
        <v>0</v>
      </c>
      <c r="CD21">
        <f t="shared" si="9"/>
        <v>0</v>
      </c>
      <c r="CE21">
        <f t="shared" si="9"/>
        <v>0</v>
      </c>
      <c r="CF21">
        <f t="shared" si="9"/>
        <v>0</v>
      </c>
      <c r="CG21">
        <f t="shared" si="9"/>
        <v>0</v>
      </c>
      <c r="CH21">
        <f t="shared" si="9"/>
        <v>0</v>
      </c>
      <c r="CI21">
        <f t="shared" si="9"/>
        <v>0</v>
      </c>
      <c r="CJ21">
        <f t="shared" si="9"/>
        <v>0</v>
      </c>
      <c r="CK21">
        <f t="shared" si="9"/>
        <v>0</v>
      </c>
      <c r="CL21">
        <f t="shared" si="9"/>
        <v>0</v>
      </c>
      <c r="CM21">
        <f t="shared" si="9"/>
        <v>0</v>
      </c>
      <c r="CN21">
        <f t="shared" si="9"/>
        <v>0</v>
      </c>
      <c r="CO21">
        <f t="shared" si="9"/>
        <v>0</v>
      </c>
      <c r="CP21">
        <f t="shared" si="9"/>
        <v>0</v>
      </c>
      <c r="CQ21">
        <f t="shared" si="9"/>
        <v>0</v>
      </c>
      <c r="CR21">
        <f t="shared" si="9"/>
        <v>0</v>
      </c>
      <c r="CS21">
        <f t="shared" si="9"/>
        <v>0</v>
      </c>
      <c r="CT21">
        <f t="shared" si="9"/>
        <v>0</v>
      </c>
      <c r="CU21">
        <f t="shared" si="9"/>
        <v>0</v>
      </c>
      <c r="CV21">
        <f t="shared" si="9"/>
        <v>0</v>
      </c>
      <c r="CW21">
        <f t="shared" si="9"/>
        <v>0</v>
      </c>
      <c r="CX21">
        <f t="shared" si="9"/>
        <v>0</v>
      </c>
      <c r="CY21">
        <f t="shared" si="9"/>
        <v>0</v>
      </c>
      <c r="CZ21">
        <f t="shared" si="9"/>
        <v>0</v>
      </c>
      <c r="DA21">
        <f t="shared" si="9"/>
        <v>0</v>
      </c>
      <c r="DB21">
        <f t="shared" si="9"/>
        <v>0</v>
      </c>
      <c r="DC21">
        <f t="shared" si="9"/>
        <v>0</v>
      </c>
      <c r="DD21">
        <f t="shared" si="9"/>
        <v>0</v>
      </c>
      <c r="DE21">
        <f t="shared" si="9"/>
        <v>0</v>
      </c>
      <c r="DF21">
        <f t="shared" si="9"/>
        <v>0</v>
      </c>
      <c r="DG21">
        <f t="shared" si="9"/>
        <v>0</v>
      </c>
      <c r="DH21">
        <f t="shared" si="9"/>
        <v>0</v>
      </c>
      <c r="DI21">
        <f t="shared" si="9"/>
        <v>0</v>
      </c>
      <c r="DJ21">
        <f t="shared" si="9"/>
        <v>0</v>
      </c>
      <c r="DK21">
        <f t="shared" si="9"/>
        <v>0</v>
      </c>
      <c r="DL21">
        <f t="shared" si="9"/>
        <v>0</v>
      </c>
      <c r="DM21">
        <f t="shared" si="9"/>
        <v>0</v>
      </c>
      <c r="DN21">
        <f t="shared" si="9"/>
        <v>0</v>
      </c>
      <c r="DO21">
        <f t="shared" si="9"/>
        <v>0</v>
      </c>
      <c r="DP21">
        <f t="shared" si="9"/>
        <v>0</v>
      </c>
      <c r="DQ21">
        <f t="shared" si="9"/>
        <v>0</v>
      </c>
      <c r="DR21">
        <f t="shared" si="9"/>
        <v>0</v>
      </c>
      <c r="DS21">
        <f t="shared" si="9"/>
        <v>0</v>
      </c>
      <c r="DT21">
        <f t="shared" si="9"/>
        <v>0</v>
      </c>
      <c r="DU21">
        <f t="shared" si="9"/>
        <v>0</v>
      </c>
      <c r="DV21">
        <f t="shared" si="9"/>
        <v>0</v>
      </c>
      <c r="DW21">
        <f t="shared" si="9"/>
        <v>0</v>
      </c>
      <c r="DX21">
        <f t="shared" si="9"/>
        <v>0</v>
      </c>
      <c r="DY21">
        <f t="shared" si="9"/>
        <v>0</v>
      </c>
      <c r="DZ21">
        <f t="shared" si="9"/>
        <v>0</v>
      </c>
      <c r="EA21">
        <f t="shared" si="9"/>
        <v>0</v>
      </c>
      <c r="EB21">
        <f t="shared" si="9"/>
        <v>0</v>
      </c>
      <c r="EC21">
        <f t="shared" ref="EC21:FU23" si="16">EC7-ROUNDUP(EC7*0.3,2)</f>
        <v>0</v>
      </c>
      <c r="ED21">
        <f t="shared" si="16"/>
        <v>0</v>
      </c>
      <c r="EE21">
        <f t="shared" si="16"/>
        <v>0</v>
      </c>
      <c r="EF21">
        <f t="shared" si="16"/>
        <v>0</v>
      </c>
      <c r="EG21">
        <f t="shared" si="16"/>
        <v>0</v>
      </c>
      <c r="EH21">
        <f t="shared" si="16"/>
        <v>0</v>
      </c>
      <c r="EI21">
        <f t="shared" si="16"/>
        <v>0</v>
      </c>
      <c r="EJ21">
        <f t="shared" si="16"/>
        <v>0</v>
      </c>
      <c r="EK21">
        <f t="shared" si="16"/>
        <v>0</v>
      </c>
      <c r="EL21">
        <f t="shared" si="16"/>
        <v>0</v>
      </c>
      <c r="EM21">
        <f t="shared" si="16"/>
        <v>0</v>
      </c>
      <c r="EN21">
        <f t="shared" si="16"/>
        <v>0</v>
      </c>
      <c r="EO21">
        <f t="shared" si="16"/>
        <v>0</v>
      </c>
      <c r="EP21">
        <f t="shared" si="16"/>
        <v>0</v>
      </c>
      <c r="EQ21">
        <f t="shared" si="16"/>
        <v>0</v>
      </c>
      <c r="ER21">
        <f t="shared" si="16"/>
        <v>0</v>
      </c>
      <c r="ES21">
        <f t="shared" si="16"/>
        <v>0</v>
      </c>
      <c r="ET21">
        <f t="shared" si="16"/>
        <v>0</v>
      </c>
      <c r="EU21">
        <f t="shared" si="16"/>
        <v>0</v>
      </c>
      <c r="EV21">
        <f t="shared" si="16"/>
        <v>0</v>
      </c>
      <c r="EW21">
        <f t="shared" si="16"/>
        <v>0</v>
      </c>
      <c r="EX21">
        <f t="shared" si="16"/>
        <v>0</v>
      </c>
      <c r="EY21">
        <f t="shared" si="16"/>
        <v>0</v>
      </c>
      <c r="EZ21">
        <f t="shared" si="16"/>
        <v>0</v>
      </c>
      <c r="FA21">
        <f t="shared" si="16"/>
        <v>0</v>
      </c>
      <c r="FB21">
        <f t="shared" si="16"/>
        <v>0</v>
      </c>
      <c r="FC21">
        <f t="shared" si="16"/>
        <v>0</v>
      </c>
      <c r="FD21">
        <f t="shared" si="16"/>
        <v>0</v>
      </c>
      <c r="FE21">
        <f t="shared" si="16"/>
        <v>0</v>
      </c>
      <c r="FF21">
        <f t="shared" si="16"/>
        <v>0</v>
      </c>
      <c r="FG21">
        <f t="shared" si="16"/>
        <v>0</v>
      </c>
      <c r="FH21">
        <f t="shared" si="16"/>
        <v>0</v>
      </c>
      <c r="FI21">
        <f t="shared" si="16"/>
        <v>0</v>
      </c>
      <c r="FJ21">
        <f t="shared" si="16"/>
        <v>0</v>
      </c>
      <c r="FK21">
        <f t="shared" si="16"/>
        <v>0</v>
      </c>
      <c r="FL21">
        <f t="shared" si="16"/>
        <v>0</v>
      </c>
      <c r="FM21">
        <f t="shared" si="16"/>
        <v>0</v>
      </c>
      <c r="FN21">
        <f t="shared" si="16"/>
        <v>0</v>
      </c>
      <c r="FO21">
        <f t="shared" si="16"/>
        <v>0</v>
      </c>
      <c r="FP21">
        <f t="shared" si="16"/>
        <v>0</v>
      </c>
      <c r="FQ21">
        <f t="shared" si="16"/>
        <v>0</v>
      </c>
      <c r="FR21">
        <f t="shared" si="16"/>
        <v>0</v>
      </c>
      <c r="FS21">
        <f t="shared" si="16"/>
        <v>0</v>
      </c>
      <c r="FT21">
        <f t="shared" si="16"/>
        <v>0</v>
      </c>
      <c r="FU21">
        <f t="shared" si="16"/>
        <v>0</v>
      </c>
    </row>
    <row r="22" spans="1:177" x14ac:dyDescent="0.25">
      <c r="A22" t="str">
        <f t="shared" ref="A22:D22" si="17">A8</f>
        <v>AK-47</v>
      </c>
      <c r="B22" t="str">
        <f t="shared" si="17"/>
        <v>Vulcan MW</v>
      </c>
      <c r="C22" t="str">
        <f t="shared" si="17"/>
        <v>AK-47</v>
      </c>
      <c r="D22" t="str">
        <f t="shared" si="17"/>
        <v>Huntsman</v>
      </c>
      <c r="E22">
        <f t="shared" si="12"/>
        <v>135.09</v>
      </c>
      <c r="F22">
        <f t="shared" si="14"/>
        <v>142.35000000000002</v>
      </c>
      <c r="G22">
        <f t="shared" si="14"/>
        <v>147.57</v>
      </c>
      <c r="H22">
        <f t="shared" si="14"/>
        <v>140.98999999999998</v>
      </c>
      <c r="I22">
        <f t="shared" si="14"/>
        <v>148.68</v>
      </c>
      <c r="J22">
        <f t="shared" si="14"/>
        <v>138.22000000000003</v>
      </c>
      <c r="K22">
        <f t="shared" si="14"/>
        <v>140.51</v>
      </c>
      <c r="L22">
        <f t="shared" si="14"/>
        <v>145.51</v>
      </c>
      <c r="M22">
        <f t="shared" si="14"/>
        <v>136.38</v>
      </c>
      <c r="N22">
        <f t="shared" si="14"/>
        <v>151.10000000000002</v>
      </c>
      <c r="O22">
        <f t="shared" si="14"/>
        <v>150.93</v>
      </c>
      <c r="P22">
        <f t="shared" si="14"/>
        <v>149.20000000000002</v>
      </c>
      <c r="Q22">
        <f t="shared" si="14"/>
        <v>136.68</v>
      </c>
      <c r="R22">
        <f t="shared" si="14"/>
        <v>144.78</v>
      </c>
      <c r="S22">
        <f t="shared" si="14"/>
        <v>144.33999999999997</v>
      </c>
      <c r="T22">
        <f t="shared" si="14"/>
        <v>152.49</v>
      </c>
      <c r="U22">
        <f t="shared" si="14"/>
        <v>150.07999999999998</v>
      </c>
      <c r="V22">
        <f t="shared" si="14"/>
        <v>153.53</v>
      </c>
      <c r="W22">
        <f t="shared" si="14"/>
        <v>158.85999999999999</v>
      </c>
      <c r="X22">
        <f t="shared" si="14"/>
        <v>186.09000000000003</v>
      </c>
      <c r="Y22">
        <f t="shared" si="14"/>
        <v>175.27999999999997</v>
      </c>
      <c r="Z22">
        <f t="shared" si="14"/>
        <v>0</v>
      </c>
      <c r="AA22">
        <f t="shared" si="14"/>
        <v>0</v>
      </c>
      <c r="AB22">
        <f t="shared" si="14"/>
        <v>0</v>
      </c>
      <c r="AC22">
        <f t="shared" si="14"/>
        <v>0</v>
      </c>
      <c r="AD22">
        <f t="shared" si="14"/>
        <v>0</v>
      </c>
      <c r="AE22">
        <f t="shared" si="14"/>
        <v>0</v>
      </c>
      <c r="AF22">
        <f t="shared" si="14"/>
        <v>0</v>
      </c>
      <c r="AG22">
        <f t="shared" si="14"/>
        <v>0</v>
      </c>
      <c r="AH22">
        <f t="shared" si="14"/>
        <v>0</v>
      </c>
      <c r="AI22">
        <f t="shared" si="14"/>
        <v>0</v>
      </c>
      <c r="AJ22">
        <f t="shared" si="14"/>
        <v>0</v>
      </c>
      <c r="AK22">
        <f t="shared" si="14"/>
        <v>0</v>
      </c>
      <c r="AL22">
        <f t="shared" si="14"/>
        <v>0</v>
      </c>
      <c r="AM22">
        <f t="shared" si="14"/>
        <v>0</v>
      </c>
      <c r="AN22">
        <f t="shared" si="14"/>
        <v>0</v>
      </c>
      <c r="AO22">
        <f t="shared" si="14"/>
        <v>0</v>
      </c>
      <c r="AP22">
        <f t="shared" si="14"/>
        <v>0</v>
      </c>
      <c r="AQ22">
        <f t="shared" si="14"/>
        <v>0</v>
      </c>
      <c r="AR22">
        <f t="shared" si="14"/>
        <v>0</v>
      </c>
      <c r="AS22">
        <f t="shared" si="14"/>
        <v>0</v>
      </c>
      <c r="AT22">
        <f t="shared" si="14"/>
        <v>0</v>
      </c>
      <c r="AU22">
        <f t="shared" si="14"/>
        <v>0</v>
      </c>
      <c r="AV22">
        <f t="shared" si="14"/>
        <v>0</v>
      </c>
      <c r="AW22">
        <f t="shared" si="14"/>
        <v>0</v>
      </c>
      <c r="AX22">
        <f t="shared" si="14"/>
        <v>0</v>
      </c>
      <c r="AY22">
        <f t="shared" si="14"/>
        <v>0</v>
      </c>
      <c r="AZ22">
        <f t="shared" si="14"/>
        <v>0</v>
      </c>
      <c r="BA22">
        <f t="shared" si="14"/>
        <v>0</v>
      </c>
      <c r="BB22">
        <f t="shared" si="14"/>
        <v>0</v>
      </c>
      <c r="BC22">
        <f t="shared" si="14"/>
        <v>0</v>
      </c>
      <c r="BD22">
        <f t="shared" si="14"/>
        <v>0</v>
      </c>
      <c r="BE22">
        <f t="shared" si="14"/>
        <v>0</v>
      </c>
      <c r="BF22">
        <f t="shared" si="14"/>
        <v>0</v>
      </c>
      <c r="BG22">
        <f t="shared" si="14"/>
        <v>0</v>
      </c>
      <c r="BH22">
        <f t="shared" si="14"/>
        <v>0</v>
      </c>
      <c r="BI22">
        <f t="shared" si="14"/>
        <v>0</v>
      </c>
      <c r="BJ22">
        <f t="shared" si="14"/>
        <v>0</v>
      </c>
      <c r="BK22">
        <f t="shared" si="14"/>
        <v>0</v>
      </c>
      <c r="BL22">
        <f t="shared" si="14"/>
        <v>0</v>
      </c>
      <c r="BM22">
        <f t="shared" si="14"/>
        <v>0</v>
      </c>
      <c r="BN22">
        <f t="shared" si="14"/>
        <v>0</v>
      </c>
      <c r="BO22">
        <f t="shared" si="14"/>
        <v>0</v>
      </c>
      <c r="BP22">
        <f t="shared" si="14"/>
        <v>0</v>
      </c>
      <c r="BQ22">
        <f t="shared" si="14"/>
        <v>0</v>
      </c>
      <c r="BR22">
        <f t="shared" ref="BR22:EC23" si="18">BR8-ROUNDUP(BR8*0.3,2)</f>
        <v>0</v>
      </c>
      <c r="BS22">
        <f t="shared" si="18"/>
        <v>0</v>
      </c>
      <c r="BT22">
        <f t="shared" si="18"/>
        <v>0</v>
      </c>
      <c r="BU22">
        <f t="shared" si="18"/>
        <v>0</v>
      </c>
      <c r="BV22">
        <f t="shared" si="18"/>
        <v>0</v>
      </c>
      <c r="BW22">
        <f t="shared" si="18"/>
        <v>0</v>
      </c>
      <c r="BX22">
        <f t="shared" si="18"/>
        <v>0</v>
      </c>
      <c r="BY22">
        <f t="shared" si="18"/>
        <v>0</v>
      </c>
      <c r="BZ22">
        <f t="shared" si="18"/>
        <v>0</v>
      </c>
      <c r="CA22">
        <f t="shared" si="18"/>
        <v>0</v>
      </c>
      <c r="CB22">
        <f t="shared" si="18"/>
        <v>0</v>
      </c>
      <c r="CC22">
        <f t="shared" si="18"/>
        <v>0</v>
      </c>
      <c r="CD22">
        <f t="shared" si="18"/>
        <v>0</v>
      </c>
      <c r="CE22">
        <f t="shared" si="18"/>
        <v>0</v>
      </c>
      <c r="CF22">
        <f t="shared" si="18"/>
        <v>0</v>
      </c>
      <c r="CG22">
        <f t="shared" si="18"/>
        <v>0</v>
      </c>
      <c r="CH22">
        <f t="shared" si="18"/>
        <v>0</v>
      </c>
      <c r="CI22">
        <f t="shared" si="18"/>
        <v>0</v>
      </c>
      <c r="CJ22">
        <f t="shared" si="18"/>
        <v>0</v>
      </c>
      <c r="CK22">
        <f t="shared" si="18"/>
        <v>0</v>
      </c>
      <c r="CL22">
        <f t="shared" si="18"/>
        <v>0</v>
      </c>
      <c r="CM22">
        <f t="shared" si="18"/>
        <v>0</v>
      </c>
      <c r="CN22">
        <f t="shared" si="18"/>
        <v>0</v>
      </c>
      <c r="CO22">
        <f t="shared" si="18"/>
        <v>0</v>
      </c>
      <c r="CP22">
        <f t="shared" si="18"/>
        <v>0</v>
      </c>
      <c r="CQ22">
        <f t="shared" si="18"/>
        <v>0</v>
      </c>
      <c r="CR22">
        <f t="shared" si="18"/>
        <v>0</v>
      </c>
      <c r="CS22">
        <f t="shared" si="18"/>
        <v>0</v>
      </c>
      <c r="CT22">
        <f t="shared" si="18"/>
        <v>0</v>
      </c>
      <c r="CU22">
        <f t="shared" si="18"/>
        <v>0</v>
      </c>
      <c r="CV22">
        <f t="shared" si="18"/>
        <v>0</v>
      </c>
      <c r="CW22">
        <f t="shared" si="18"/>
        <v>0</v>
      </c>
      <c r="CX22">
        <f t="shared" si="18"/>
        <v>0</v>
      </c>
      <c r="CY22">
        <f t="shared" si="18"/>
        <v>0</v>
      </c>
      <c r="CZ22">
        <f t="shared" si="18"/>
        <v>0</v>
      </c>
      <c r="DA22">
        <f t="shared" si="18"/>
        <v>0</v>
      </c>
      <c r="DB22">
        <f t="shared" si="18"/>
        <v>0</v>
      </c>
      <c r="DC22">
        <f t="shared" si="18"/>
        <v>0</v>
      </c>
      <c r="DD22">
        <f t="shared" si="18"/>
        <v>0</v>
      </c>
      <c r="DE22">
        <f t="shared" si="18"/>
        <v>0</v>
      </c>
      <c r="DF22">
        <f t="shared" si="18"/>
        <v>0</v>
      </c>
      <c r="DG22">
        <f t="shared" si="18"/>
        <v>0</v>
      </c>
      <c r="DH22">
        <f t="shared" si="18"/>
        <v>0</v>
      </c>
      <c r="DI22">
        <f t="shared" si="18"/>
        <v>0</v>
      </c>
      <c r="DJ22">
        <f t="shared" si="18"/>
        <v>0</v>
      </c>
      <c r="DK22">
        <f t="shared" si="18"/>
        <v>0</v>
      </c>
      <c r="DL22">
        <f t="shared" si="18"/>
        <v>0</v>
      </c>
      <c r="DM22">
        <f t="shared" si="18"/>
        <v>0</v>
      </c>
      <c r="DN22">
        <f t="shared" si="18"/>
        <v>0</v>
      </c>
      <c r="DO22">
        <f t="shared" si="18"/>
        <v>0</v>
      </c>
      <c r="DP22">
        <f t="shared" si="18"/>
        <v>0</v>
      </c>
      <c r="DQ22">
        <f t="shared" si="18"/>
        <v>0</v>
      </c>
      <c r="DR22">
        <f t="shared" si="18"/>
        <v>0</v>
      </c>
      <c r="DS22">
        <f t="shared" si="18"/>
        <v>0</v>
      </c>
      <c r="DT22">
        <f t="shared" si="18"/>
        <v>0</v>
      </c>
      <c r="DU22">
        <f t="shared" si="18"/>
        <v>0</v>
      </c>
      <c r="DV22">
        <f t="shared" si="18"/>
        <v>0</v>
      </c>
      <c r="DW22">
        <f t="shared" si="18"/>
        <v>0</v>
      </c>
      <c r="DX22">
        <f t="shared" si="18"/>
        <v>0</v>
      </c>
      <c r="DY22">
        <f t="shared" si="18"/>
        <v>0</v>
      </c>
      <c r="DZ22">
        <f t="shared" si="18"/>
        <v>0</v>
      </c>
      <c r="EA22">
        <f t="shared" si="18"/>
        <v>0</v>
      </c>
      <c r="EB22">
        <f t="shared" si="18"/>
        <v>0</v>
      </c>
      <c r="EC22">
        <f t="shared" si="18"/>
        <v>0</v>
      </c>
      <c r="ED22">
        <f t="shared" si="16"/>
        <v>0</v>
      </c>
      <c r="EE22">
        <f t="shared" si="16"/>
        <v>0</v>
      </c>
      <c r="EF22">
        <f t="shared" si="16"/>
        <v>0</v>
      </c>
      <c r="EG22">
        <f t="shared" si="16"/>
        <v>0</v>
      </c>
      <c r="EH22">
        <f t="shared" si="16"/>
        <v>0</v>
      </c>
      <c r="EI22">
        <f t="shared" si="16"/>
        <v>0</v>
      </c>
      <c r="EJ22">
        <f t="shared" si="16"/>
        <v>0</v>
      </c>
      <c r="EK22">
        <f t="shared" si="16"/>
        <v>0</v>
      </c>
      <c r="EL22">
        <f t="shared" si="16"/>
        <v>0</v>
      </c>
      <c r="EM22">
        <f t="shared" si="16"/>
        <v>0</v>
      </c>
      <c r="EN22">
        <f t="shared" si="16"/>
        <v>0</v>
      </c>
      <c r="EO22">
        <f t="shared" si="16"/>
        <v>0</v>
      </c>
      <c r="EP22">
        <f t="shared" si="16"/>
        <v>0</v>
      </c>
      <c r="EQ22">
        <f t="shared" si="16"/>
        <v>0</v>
      </c>
      <c r="ER22">
        <f t="shared" si="16"/>
        <v>0</v>
      </c>
      <c r="ES22">
        <f t="shared" si="16"/>
        <v>0</v>
      </c>
      <c r="ET22">
        <f t="shared" si="16"/>
        <v>0</v>
      </c>
      <c r="EU22">
        <f t="shared" si="16"/>
        <v>0</v>
      </c>
      <c r="EV22">
        <f t="shared" si="16"/>
        <v>0</v>
      </c>
      <c r="EW22">
        <f t="shared" si="16"/>
        <v>0</v>
      </c>
      <c r="EX22">
        <f t="shared" si="16"/>
        <v>0</v>
      </c>
      <c r="EY22">
        <f t="shared" si="16"/>
        <v>0</v>
      </c>
      <c r="EZ22">
        <f t="shared" si="16"/>
        <v>0</v>
      </c>
      <c r="FA22">
        <f t="shared" si="16"/>
        <v>0</v>
      </c>
      <c r="FB22">
        <f t="shared" si="16"/>
        <v>0</v>
      </c>
      <c r="FC22">
        <f t="shared" si="16"/>
        <v>0</v>
      </c>
      <c r="FD22">
        <f t="shared" si="16"/>
        <v>0</v>
      </c>
      <c r="FE22">
        <f t="shared" si="16"/>
        <v>0</v>
      </c>
      <c r="FF22">
        <f t="shared" si="16"/>
        <v>0</v>
      </c>
      <c r="FG22">
        <f t="shared" si="16"/>
        <v>0</v>
      </c>
      <c r="FH22">
        <f t="shared" si="16"/>
        <v>0</v>
      </c>
      <c r="FI22">
        <f t="shared" si="16"/>
        <v>0</v>
      </c>
      <c r="FJ22">
        <f t="shared" si="16"/>
        <v>0</v>
      </c>
      <c r="FK22">
        <f t="shared" si="16"/>
        <v>0</v>
      </c>
      <c r="FL22">
        <f t="shared" si="16"/>
        <v>0</v>
      </c>
      <c r="FM22">
        <f t="shared" si="16"/>
        <v>0</v>
      </c>
      <c r="FN22">
        <f t="shared" si="16"/>
        <v>0</v>
      </c>
      <c r="FO22">
        <f t="shared" si="16"/>
        <v>0</v>
      </c>
      <c r="FP22">
        <f t="shared" si="16"/>
        <v>0</v>
      </c>
      <c r="FQ22">
        <f t="shared" si="16"/>
        <v>0</v>
      </c>
      <c r="FR22">
        <f t="shared" si="16"/>
        <v>0</v>
      </c>
      <c r="FS22">
        <f t="shared" si="16"/>
        <v>0</v>
      </c>
      <c r="FT22">
        <f t="shared" si="16"/>
        <v>0</v>
      </c>
      <c r="FU22">
        <f t="shared" si="16"/>
        <v>0</v>
      </c>
    </row>
    <row r="23" spans="1:177" x14ac:dyDescent="0.25">
      <c r="A23" t="str">
        <f t="shared" ref="A23:D23" si="19">A9</f>
        <v>AK-47</v>
      </c>
      <c r="B23" t="str">
        <f t="shared" si="19"/>
        <v>Redline FT</v>
      </c>
      <c r="C23" t="str">
        <f t="shared" si="19"/>
        <v>AK-47</v>
      </c>
      <c r="D23" t="str">
        <f t="shared" si="19"/>
        <v>Phoenix</v>
      </c>
      <c r="E23">
        <f t="shared" si="12"/>
        <v>12.740000000000002</v>
      </c>
      <c r="F23">
        <f t="shared" si="14"/>
        <v>12.740000000000002</v>
      </c>
      <c r="G23">
        <f t="shared" si="14"/>
        <v>12.85</v>
      </c>
      <c r="H23">
        <f t="shared" si="14"/>
        <v>12.740000000000002</v>
      </c>
      <c r="I23">
        <f t="shared" si="14"/>
        <v>12.739999999999998</v>
      </c>
      <c r="J23">
        <f t="shared" si="14"/>
        <v>13.229999999999999</v>
      </c>
      <c r="K23">
        <f t="shared" si="14"/>
        <v>12.529999999999998</v>
      </c>
      <c r="L23">
        <f t="shared" si="14"/>
        <v>12.600000000000001</v>
      </c>
      <c r="M23">
        <f t="shared" si="14"/>
        <v>12.63</v>
      </c>
      <c r="N23">
        <f t="shared" si="14"/>
        <v>12.670000000000002</v>
      </c>
      <c r="O23">
        <f t="shared" si="14"/>
        <v>12.67</v>
      </c>
      <c r="P23">
        <f t="shared" si="14"/>
        <v>12.29</v>
      </c>
      <c r="Q23">
        <f t="shared" si="14"/>
        <v>12.63</v>
      </c>
      <c r="R23">
        <f t="shared" si="14"/>
        <v>12.479999999999999</v>
      </c>
      <c r="S23">
        <f t="shared" si="14"/>
        <v>12.270000000000001</v>
      </c>
      <c r="T23">
        <f t="shared" si="14"/>
        <v>12.129999999999999</v>
      </c>
      <c r="U23">
        <f t="shared" si="14"/>
        <v>12.280000000000001</v>
      </c>
      <c r="V23">
        <f t="shared" si="14"/>
        <v>12.2</v>
      </c>
      <c r="W23">
        <f t="shared" si="14"/>
        <v>12.29</v>
      </c>
      <c r="X23">
        <f t="shared" si="14"/>
        <v>12.34</v>
      </c>
      <c r="Y23">
        <f t="shared" si="14"/>
        <v>12.509999999999998</v>
      </c>
      <c r="Z23">
        <f t="shared" si="14"/>
        <v>0</v>
      </c>
      <c r="AA23">
        <f t="shared" si="14"/>
        <v>0</v>
      </c>
      <c r="AB23">
        <f t="shared" si="14"/>
        <v>0</v>
      </c>
      <c r="AC23">
        <f t="shared" si="14"/>
        <v>0</v>
      </c>
      <c r="AD23">
        <f t="shared" si="14"/>
        <v>0</v>
      </c>
      <c r="AE23">
        <f t="shared" si="14"/>
        <v>0</v>
      </c>
      <c r="AF23">
        <f t="shared" si="14"/>
        <v>0</v>
      </c>
      <c r="AG23">
        <f t="shared" si="14"/>
        <v>0</v>
      </c>
      <c r="AH23">
        <f t="shared" si="14"/>
        <v>0</v>
      </c>
      <c r="AI23">
        <f t="shared" si="14"/>
        <v>0</v>
      </c>
      <c r="AJ23">
        <f t="shared" si="14"/>
        <v>0</v>
      </c>
      <c r="AK23">
        <f t="shared" si="14"/>
        <v>0</v>
      </c>
      <c r="AL23">
        <f t="shared" si="14"/>
        <v>0</v>
      </c>
      <c r="AM23">
        <f t="shared" si="14"/>
        <v>0</v>
      </c>
      <c r="AN23">
        <f t="shared" si="14"/>
        <v>0</v>
      </c>
      <c r="AO23">
        <f t="shared" si="14"/>
        <v>0</v>
      </c>
      <c r="AP23">
        <f t="shared" si="14"/>
        <v>0</v>
      </c>
      <c r="AQ23">
        <f t="shared" si="14"/>
        <v>0</v>
      </c>
      <c r="AR23">
        <f t="shared" si="14"/>
        <v>0</v>
      </c>
      <c r="AS23">
        <f t="shared" si="14"/>
        <v>0</v>
      </c>
      <c r="AT23">
        <f t="shared" si="14"/>
        <v>0</v>
      </c>
      <c r="AU23">
        <f t="shared" si="14"/>
        <v>0</v>
      </c>
      <c r="AV23">
        <f t="shared" si="14"/>
        <v>0</v>
      </c>
      <c r="AW23">
        <f t="shared" si="14"/>
        <v>0</v>
      </c>
      <c r="AX23">
        <f t="shared" si="14"/>
        <v>0</v>
      </c>
      <c r="AY23">
        <f t="shared" si="14"/>
        <v>0</v>
      </c>
      <c r="AZ23">
        <f t="shared" si="14"/>
        <v>0</v>
      </c>
      <c r="BA23">
        <f t="shared" si="14"/>
        <v>0</v>
      </c>
      <c r="BB23">
        <f t="shared" si="14"/>
        <v>0</v>
      </c>
      <c r="BC23">
        <f t="shared" si="14"/>
        <v>0</v>
      </c>
      <c r="BD23">
        <f t="shared" si="14"/>
        <v>0</v>
      </c>
      <c r="BE23">
        <f t="shared" si="14"/>
        <v>0</v>
      </c>
      <c r="BF23">
        <f t="shared" si="14"/>
        <v>0</v>
      </c>
      <c r="BG23">
        <f t="shared" si="14"/>
        <v>0</v>
      </c>
      <c r="BH23">
        <f t="shared" si="14"/>
        <v>0</v>
      </c>
      <c r="BI23">
        <f t="shared" si="14"/>
        <v>0</v>
      </c>
      <c r="BJ23">
        <f t="shared" si="14"/>
        <v>0</v>
      </c>
      <c r="BK23">
        <f t="shared" si="14"/>
        <v>0</v>
      </c>
      <c r="BL23">
        <f t="shared" si="14"/>
        <v>0</v>
      </c>
      <c r="BM23">
        <f t="shared" si="14"/>
        <v>0</v>
      </c>
      <c r="BN23">
        <f t="shared" si="14"/>
        <v>0</v>
      </c>
      <c r="BO23">
        <f t="shared" si="14"/>
        <v>0</v>
      </c>
      <c r="BP23">
        <f t="shared" si="14"/>
        <v>0</v>
      </c>
      <c r="BQ23">
        <f t="shared" ref="BQ23:EB23" si="20">BQ9-ROUNDUP(BQ9*0.3,2)</f>
        <v>0</v>
      </c>
      <c r="BR23">
        <f t="shared" si="20"/>
        <v>0</v>
      </c>
      <c r="BS23">
        <f t="shared" si="20"/>
        <v>0</v>
      </c>
      <c r="BT23">
        <f t="shared" si="20"/>
        <v>0</v>
      </c>
      <c r="BU23">
        <f t="shared" si="20"/>
        <v>0</v>
      </c>
      <c r="BV23">
        <f t="shared" si="20"/>
        <v>0</v>
      </c>
      <c r="BW23">
        <f t="shared" si="20"/>
        <v>0</v>
      </c>
      <c r="BX23">
        <f t="shared" si="20"/>
        <v>0</v>
      </c>
      <c r="BY23">
        <f t="shared" si="20"/>
        <v>0</v>
      </c>
      <c r="BZ23">
        <f t="shared" si="20"/>
        <v>0</v>
      </c>
      <c r="CA23">
        <f t="shared" si="20"/>
        <v>0</v>
      </c>
      <c r="CB23">
        <f t="shared" si="20"/>
        <v>0</v>
      </c>
      <c r="CC23">
        <f t="shared" si="20"/>
        <v>0</v>
      </c>
      <c r="CD23">
        <f t="shared" si="20"/>
        <v>0</v>
      </c>
      <c r="CE23">
        <f t="shared" si="20"/>
        <v>0</v>
      </c>
      <c r="CF23">
        <f t="shared" si="20"/>
        <v>0</v>
      </c>
      <c r="CG23">
        <f t="shared" si="20"/>
        <v>0</v>
      </c>
      <c r="CH23">
        <f t="shared" si="20"/>
        <v>0</v>
      </c>
      <c r="CI23">
        <f t="shared" si="20"/>
        <v>0</v>
      </c>
      <c r="CJ23">
        <f t="shared" si="20"/>
        <v>0</v>
      </c>
      <c r="CK23">
        <f t="shared" si="20"/>
        <v>0</v>
      </c>
      <c r="CL23">
        <f t="shared" si="20"/>
        <v>0</v>
      </c>
      <c r="CM23">
        <f t="shared" si="20"/>
        <v>0</v>
      </c>
      <c r="CN23">
        <f t="shared" si="20"/>
        <v>0</v>
      </c>
      <c r="CO23">
        <f t="shared" si="20"/>
        <v>0</v>
      </c>
      <c r="CP23">
        <f t="shared" si="20"/>
        <v>0</v>
      </c>
      <c r="CQ23">
        <f t="shared" si="20"/>
        <v>0</v>
      </c>
      <c r="CR23">
        <f t="shared" si="20"/>
        <v>0</v>
      </c>
      <c r="CS23">
        <f t="shared" si="20"/>
        <v>0</v>
      </c>
      <c r="CT23">
        <f t="shared" si="20"/>
        <v>0</v>
      </c>
      <c r="CU23">
        <f t="shared" si="20"/>
        <v>0</v>
      </c>
      <c r="CV23">
        <f t="shared" si="20"/>
        <v>0</v>
      </c>
      <c r="CW23">
        <f t="shared" si="20"/>
        <v>0</v>
      </c>
      <c r="CX23">
        <f t="shared" si="20"/>
        <v>0</v>
      </c>
      <c r="CY23">
        <f t="shared" si="20"/>
        <v>0</v>
      </c>
      <c r="CZ23">
        <f t="shared" si="20"/>
        <v>0</v>
      </c>
      <c r="DA23">
        <f t="shared" si="20"/>
        <v>0</v>
      </c>
      <c r="DB23">
        <f t="shared" si="20"/>
        <v>0</v>
      </c>
      <c r="DC23">
        <f t="shared" si="20"/>
        <v>0</v>
      </c>
      <c r="DD23">
        <f t="shared" si="20"/>
        <v>0</v>
      </c>
      <c r="DE23">
        <f t="shared" si="20"/>
        <v>0</v>
      </c>
      <c r="DF23">
        <f t="shared" si="20"/>
        <v>0</v>
      </c>
      <c r="DG23">
        <f t="shared" si="20"/>
        <v>0</v>
      </c>
      <c r="DH23">
        <f t="shared" si="20"/>
        <v>0</v>
      </c>
      <c r="DI23">
        <f t="shared" si="20"/>
        <v>0</v>
      </c>
      <c r="DJ23">
        <f t="shared" si="20"/>
        <v>0</v>
      </c>
      <c r="DK23">
        <f t="shared" si="20"/>
        <v>0</v>
      </c>
      <c r="DL23">
        <f t="shared" si="20"/>
        <v>0</v>
      </c>
      <c r="DM23">
        <f t="shared" si="20"/>
        <v>0</v>
      </c>
      <c r="DN23">
        <f t="shared" si="20"/>
        <v>0</v>
      </c>
      <c r="DO23">
        <f t="shared" si="20"/>
        <v>0</v>
      </c>
      <c r="DP23">
        <f t="shared" si="20"/>
        <v>0</v>
      </c>
      <c r="DQ23">
        <f t="shared" si="20"/>
        <v>0</v>
      </c>
      <c r="DR23">
        <f t="shared" si="20"/>
        <v>0</v>
      </c>
      <c r="DS23">
        <f t="shared" si="20"/>
        <v>0</v>
      </c>
      <c r="DT23">
        <f t="shared" si="20"/>
        <v>0</v>
      </c>
      <c r="DU23">
        <f t="shared" si="20"/>
        <v>0</v>
      </c>
      <c r="DV23">
        <f t="shared" si="20"/>
        <v>0</v>
      </c>
      <c r="DW23">
        <f t="shared" si="20"/>
        <v>0</v>
      </c>
      <c r="DX23">
        <f t="shared" si="20"/>
        <v>0</v>
      </c>
      <c r="DY23">
        <f t="shared" si="20"/>
        <v>0</v>
      </c>
      <c r="DZ23">
        <f t="shared" si="20"/>
        <v>0</v>
      </c>
      <c r="EA23">
        <f t="shared" si="20"/>
        <v>0</v>
      </c>
      <c r="EB23">
        <f t="shared" si="20"/>
        <v>0</v>
      </c>
      <c r="EC23">
        <f t="shared" si="18"/>
        <v>0</v>
      </c>
      <c r="ED23">
        <f t="shared" si="16"/>
        <v>0</v>
      </c>
      <c r="EE23">
        <f t="shared" si="16"/>
        <v>0</v>
      </c>
      <c r="EF23">
        <f t="shared" si="16"/>
        <v>0</v>
      </c>
      <c r="EG23">
        <f t="shared" si="16"/>
        <v>0</v>
      </c>
      <c r="EH23">
        <f t="shared" si="16"/>
        <v>0</v>
      </c>
      <c r="EI23">
        <f t="shared" si="16"/>
        <v>0</v>
      </c>
      <c r="EJ23">
        <f t="shared" si="16"/>
        <v>0</v>
      </c>
      <c r="EK23">
        <f t="shared" si="16"/>
        <v>0</v>
      </c>
      <c r="EL23">
        <f t="shared" si="16"/>
        <v>0</v>
      </c>
      <c r="EM23">
        <f t="shared" si="16"/>
        <v>0</v>
      </c>
      <c r="EN23">
        <f t="shared" si="16"/>
        <v>0</v>
      </c>
      <c r="EO23">
        <f t="shared" si="16"/>
        <v>0</v>
      </c>
      <c r="EP23">
        <f t="shared" si="16"/>
        <v>0</v>
      </c>
      <c r="EQ23">
        <f t="shared" si="16"/>
        <v>0</v>
      </c>
      <c r="ER23">
        <f t="shared" si="16"/>
        <v>0</v>
      </c>
      <c r="ES23">
        <f t="shared" si="16"/>
        <v>0</v>
      </c>
      <c r="ET23">
        <f t="shared" si="16"/>
        <v>0</v>
      </c>
      <c r="EU23">
        <f t="shared" si="16"/>
        <v>0</v>
      </c>
      <c r="EV23">
        <f t="shared" si="16"/>
        <v>0</v>
      </c>
      <c r="EW23">
        <f t="shared" si="16"/>
        <v>0</v>
      </c>
      <c r="EX23">
        <f t="shared" si="16"/>
        <v>0</v>
      </c>
      <c r="EY23">
        <f t="shared" si="16"/>
        <v>0</v>
      </c>
      <c r="EZ23">
        <f t="shared" si="16"/>
        <v>0</v>
      </c>
      <c r="FA23">
        <f t="shared" si="16"/>
        <v>0</v>
      </c>
      <c r="FB23">
        <f t="shared" si="16"/>
        <v>0</v>
      </c>
      <c r="FC23">
        <f t="shared" si="16"/>
        <v>0</v>
      </c>
      <c r="FD23">
        <f t="shared" si="16"/>
        <v>0</v>
      </c>
      <c r="FE23">
        <f t="shared" si="16"/>
        <v>0</v>
      </c>
      <c r="FF23">
        <f t="shared" si="16"/>
        <v>0</v>
      </c>
      <c r="FG23">
        <f t="shared" si="16"/>
        <v>0</v>
      </c>
      <c r="FH23">
        <f t="shared" si="16"/>
        <v>0</v>
      </c>
      <c r="FI23">
        <f t="shared" si="16"/>
        <v>0</v>
      </c>
      <c r="FJ23">
        <f t="shared" si="16"/>
        <v>0</v>
      </c>
      <c r="FK23">
        <f t="shared" si="16"/>
        <v>0</v>
      </c>
      <c r="FL23">
        <f t="shared" si="16"/>
        <v>0</v>
      </c>
      <c r="FM23">
        <f t="shared" si="16"/>
        <v>0</v>
      </c>
      <c r="FN23">
        <f t="shared" si="16"/>
        <v>0</v>
      </c>
      <c r="FO23">
        <f t="shared" si="16"/>
        <v>0</v>
      </c>
      <c r="FP23">
        <f t="shared" si="16"/>
        <v>0</v>
      </c>
      <c r="FQ23">
        <f t="shared" si="16"/>
        <v>0</v>
      </c>
      <c r="FR23">
        <f t="shared" si="16"/>
        <v>0</v>
      </c>
      <c r="FS23">
        <f t="shared" si="16"/>
        <v>0</v>
      </c>
      <c r="FT23">
        <f t="shared" si="16"/>
        <v>0</v>
      </c>
      <c r="FU23">
        <f t="shared" si="16"/>
        <v>0</v>
      </c>
    </row>
    <row r="26" spans="1:177" x14ac:dyDescent="0.25">
      <c r="D26" s="1" t="s">
        <v>186</v>
      </c>
      <c r="E26">
        <f>SUM(E18:E23)</f>
        <v>269.60000000000002</v>
      </c>
      <c r="F26">
        <f t="shared" ref="F26:BQ26" si="21">SUM(F18:F23)</f>
        <v>278.80000000000007</v>
      </c>
      <c r="G26">
        <f t="shared" si="21"/>
        <v>285.96000000000004</v>
      </c>
      <c r="H26">
        <f t="shared" si="21"/>
        <v>277.49</v>
      </c>
      <c r="I26">
        <f t="shared" si="21"/>
        <v>281.24</v>
      </c>
      <c r="J26">
        <f t="shared" si="21"/>
        <v>272.62</v>
      </c>
      <c r="K26">
        <f t="shared" si="21"/>
        <v>272.68999999999994</v>
      </c>
      <c r="L26">
        <f t="shared" si="21"/>
        <v>276.5</v>
      </c>
      <c r="M26">
        <f t="shared" si="21"/>
        <v>267.69</v>
      </c>
      <c r="N26">
        <f t="shared" si="21"/>
        <v>282.74000000000007</v>
      </c>
      <c r="O26">
        <f t="shared" si="21"/>
        <v>283.05</v>
      </c>
      <c r="P26">
        <f t="shared" si="21"/>
        <v>281.14000000000004</v>
      </c>
      <c r="Q26">
        <f t="shared" si="21"/>
        <v>268.64999999999998</v>
      </c>
      <c r="R26">
        <f t="shared" si="21"/>
        <v>274.72000000000003</v>
      </c>
      <c r="S26">
        <f t="shared" si="21"/>
        <v>277.19999999999993</v>
      </c>
      <c r="T26">
        <f t="shared" si="21"/>
        <v>283.85000000000002</v>
      </c>
      <c r="U26">
        <f t="shared" si="21"/>
        <v>282.56999999999994</v>
      </c>
      <c r="V26">
        <f t="shared" si="21"/>
        <v>286.42</v>
      </c>
      <c r="W26">
        <f t="shared" si="21"/>
        <v>287.85000000000002</v>
      </c>
      <c r="X26">
        <f t="shared" si="21"/>
        <v>313.3</v>
      </c>
      <c r="Y26">
        <f t="shared" si="21"/>
        <v>305.87999999999994</v>
      </c>
      <c r="Z26">
        <f t="shared" si="21"/>
        <v>0</v>
      </c>
      <c r="AA26">
        <f t="shared" si="21"/>
        <v>0</v>
      </c>
      <c r="AB26">
        <f t="shared" si="21"/>
        <v>0</v>
      </c>
      <c r="AC26">
        <f t="shared" si="21"/>
        <v>0</v>
      </c>
      <c r="AD26">
        <f t="shared" si="21"/>
        <v>0</v>
      </c>
      <c r="AE26">
        <f t="shared" si="21"/>
        <v>0</v>
      </c>
      <c r="AF26">
        <f t="shared" si="21"/>
        <v>0</v>
      </c>
      <c r="AG26">
        <f t="shared" si="21"/>
        <v>0</v>
      </c>
      <c r="AH26">
        <f t="shared" si="21"/>
        <v>0</v>
      </c>
      <c r="AI26">
        <f t="shared" si="21"/>
        <v>0</v>
      </c>
      <c r="AJ26">
        <f t="shared" si="21"/>
        <v>0</v>
      </c>
      <c r="AK26">
        <f t="shared" si="21"/>
        <v>0</v>
      </c>
      <c r="AL26">
        <f t="shared" si="21"/>
        <v>0</v>
      </c>
      <c r="AM26">
        <f t="shared" si="21"/>
        <v>0</v>
      </c>
      <c r="AN26">
        <f t="shared" si="21"/>
        <v>0</v>
      </c>
      <c r="AO26">
        <f t="shared" si="21"/>
        <v>0</v>
      </c>
      <c r="AP26">
        <f t="shared" si="21"/>
        <v>0</v>
      </c>
      <c r="AQ26">
        <f t="shared" si="21"/>
        <v>0</v>
      </c>
      <c r="AR26">
        <f t="shared" si="21"/>
        <v>0</v>
      </c>
      <c r="AS26">
        <f t="shared" si="21"/>
        <v>0</v>
      </c>
      <c r="AT26">
        <f t="shared" si="21"/>
        <v>0</v>
      </c>
      <c r="AU26">
        <f t="shared" si="21"/>
        <v>0</v>
      </c>
      <c r="AV26">
        <f t="shared" si="21"/>
        <v>0</v>
      </c>
      <c r="AW26">
        <f t="shared" si="21"/>
        <v>0</v>
      </c>
      <c r="AX26">
        <f t="shared" si="21"/>
        <v>0</v>
      </c>
      <c r="AY26">
        <f t="shared" si="21"/>
        <v>0</v>
      </c>
      <c r="AZ26">
        <f t="shared" si="21"/>
        <v>0</v>
      </c>
      <c r="BA26">
        <f t="shared" si="21"/>
        <v>0</v>
      </c>
      <c r="BB26">
        <f t="shared" si="21"/>
        <v>0</v>
      </c>
      <c r="BC26">
        <f t="shared" si="21"/>
        <v>0</v>
      </c>
      <c r="BD26">
        <f t="shared" si="21"/>
        <v>0</v>
      </c>
      <c r="BE26">
        <f t="shared" si="21"/>
        <v>0</v>
      </c>
      <c r="BF26">
        <f t="shared" si="21"/>
        <v>0</v>
      </c>
      <c r="BG26">
        <f t="shared" si="21"/>
        <v>0</v>
      </c>
      <c r="BH26">
        <f t="shared" si="21"/>
        <v>0</v>
      </c>
      <c r="BI26">
        <f t="shared" si="21"/>
        <v>0</v>
      </c>
      <c r="BJ26">
        <f t="shared" si="21"/>
        <v>0</v>
      </c>
      <c r="BK26">
        <f t="shared" si="21"/>
        <v>0</v>
      </c>
      <c r="BL26">
        <f t="shared" si="21"/>
        <v>0</v>
      </c>
      <c r="BM26">
        <f t="shared" si="21"/>
        <v>0</v>
      </c>
      <c r="BN26">
        <f t="shared" si="21"/>
        <v>0</v>
      </c>
      <c r="BO26">
        <f t="shared" si="21"/>
        <v>0</v>
      </c>
      <c r="BP26">
        <f t="shared" si="21"/>
        <v>0</v>
      </c>
      <c r="BQ26">
        <f t="shared" si="21"/>
        <v>0</v>
      </c>
      <c r="BR26">
        <f t="shared" ref="BR26:EC26" si="22">SUM(BR18:BR23)</f>
        <v>0</v>
      </c>
      <c r="BS26">
        <f t="shared" si="22"/>
        <v>0</v>
      </c>
      <c r="BT26">
        <f t="shared" si="22"/>
        <v>0</v>
      </c>
      <c r="BU26">
        <f t="shared" si="22"/>
        <v>0</v>
      </c>
      <c r="BV26">
        <f t="shared" si="22"/>
        <v>0</v>
      </c>
      <c r="BW26">
        <f t="shared" si="22"/>
        <v>0</v>
      </c>
      <c r="BX26">
        <f t="shared" si="22"/>
        <v>0</v>
      </c>
      <c r="BY26">
        <f t="shared" si="22"/>
        <v>0</v>
      </c>
      <c r="BZ26">
        <f t="shared" si="22"/>
        <v>0</v>
      </c>
      <c r="CA26">
        <f t="shared" si="22"/>
        <v>0</v>
      </c>
      <c r="CB26">
        <f t="shared" si="22"/>
        <v>0</v>
      </c>
      <c r="CC26">
        <f t="shared" si="22"/>
        <v>0</v>
      </c>
      <c r="CD26">
        <f t="shared" si="22"/>
        <v>0</v>
      </c>
      <c r="CE26">
        <f t="shared" si="22"/>
        <v>0</v>
      </c>
      <c r="CF26">
        <f t="shared" si="22"/>
        <v>0</v>
      </c>
      <c r="CG26">
        <f t="shared" si="22"/>
        <v>0</v>
      </c>
      <c r="CH26">
        <f t="shared" si="22"/>
        <v>0</v>
      </c>
      <c r="CI26">
        <f t="shared" si="22"/>
        <v>0</v>
      </c>
      <c r="CJ26">
        <f t="shared" si="22"/>
        <v>0</v>
      </c>
      <c r="CK26">
        <f t="shared" si="22"/>
        <v>0</v>
      </c>
      <c r="CL26">
        <f t="shared" si="22"/>
        <v>0</v>
      </c>
      <c r="CM26">
        <f t="shared" si="22"/>
        <v>0</v>
      </c>
      <c r="CN26">
        <f t="shared" si="22"/>
        <v>0</v>
      </c>
      <c r="CO26">
        <f t="shared" si="22"/>
        <v>0</v>
      </c>
      <c r="CP26">
        <f t="shared" si="22"/>
        <v>0</v>
      </c>
      <c r="CQ26">
        <f t="shared" si="22"/>
        <v>0</v>
      </c>
      <c r="CR26">
        <f t="shared" si="22"/>
        <v>0</v>
      </c>
      <c r="CS26">
        <f t="shared" si="22"/>
        <v>0</v>
      </c>
      <c r="CT26">
        <f t="shared" si="22"/>
        <v>0</v>
      </c>
      <c r="CU26">
        <f t="shared" si="22"/>
        <v>0</v>
      </c>
      <c r="CV26">
        <f t="shared" si="22"/>
        <v>0</v>
      </c>
      <c r="CW26">
        <f t="shared" si="22"/>
        <v>0</v>
      </c>
      <c r="CX26">
        <f t="shared" si="22"/>
        <v>0</v>
      </c>
      <c r="CY26">
        <f t="shared" si="22"/>
        <v>0</v>
      </c>
      <c r="CZ26">
        <f t="shared" si="22"/>
        <v>0</v>
      </c>
      <c r="DA26">
        <f t="shared" si="22"/>
        <v>0</v>
      </c>
      <c r="DB26">
        <f t="shared" si="22"/>
        <v>0</v>
      </c>
      <c r="DC26">
        <f t="shared" si="22"/>
        <v>0</v>
      </c>
      <c r="DD26">
        <f t="shared" si="22"/>
        <v>0</v>
      </c>
      <c r="DE26">
        <f t="shared" si="22"/>
        <v>0</v>
      </c>
      <c r="DF26">
        <f t="shared" si="22"/>
        <v>0</v>
      </c>
      <c r="DG26">
        <f t="shared" si="22"/>
        <v>0</v>
      </c>
      <c r="DH26">
        <f t="shared" si="22"/>
        <v>0</v>
      </c>
      <c r="DI26">
        <f t="shared" si="22"/>
        <v>0</v>
      </c>
      <c r="DJ26">
        <f t="shared" si="22"/>
        <v>0</v>
      </c>
      <c r="DK26">
        <f t="shared" si="22"/>
        <v>0</v>
      </c>
      <c r="DL26">
        <f t="shared" si="22"/>
        <v>0</v>
      </c>
      <c r="DM26">
        <f t="shared" si="22"/>
        <v>0</v>
      </c>
      <c r="DN26">
        <f t="shared" si="22"/>
        <v>0</v>
      </c>
      <c r="DO26">
        <f t="shared" si="22"/>
        <v>0</v>
      </c>
      <c r="DP26">
        <f t="shared" si="22"/>
        <v>0</v>
      </c>
      <c r="DQ26">
        <f t="shared" si="22"/>
        <v>0</v>
      </c>
      <c r="DR26">
        <f t="shared" si="22"/>
        <v>0</v>
      </c>
      <c r="DS26">
        <f t="shared" si="22"/>
        <v>0</v>
      </c>
      <c r="DT26">
        <f t="shared" si="22"/>
        <v>0</v>
      </c>
      <c r="DU26">
        <f t="shared" si="22"/>
        <v>0</v>
      </c>
      <c r="DV26">
        <f t="shared" si="22"/>
        <v>0</v>
      </c>
      <c r="DW26">
        <f t="shared" si="22"/>
        <v>0</v>
      </c>
      <c r="DX26">
        <f t="shared" si="22"/>
        <v>0</v>
      </c>
      <c r="DY26">
        <f t="shared" si="22"/>
        <v>0</v>
      </c>
      <c r="DZ26">
        <f t="shared" si="22"/>
        <v>0</v>
      </c>
      <c r="EA26">
        <f t="shared" si="22"/>
        <v>0</v>
      </c>
      <c r="EB26">
        <f t="shared" si="22"/>
        <v>0</v>
      </c>
      <c r="EC26">
        <f t="shared" si="22"/>
        <v>0</v>
      </c>
      <c r="ED26">
        <f t="shared" ref="ED26:FU26" si="23">SUM(ED18:ED23)</f>
        <v>0</v>
      </c>
      <c r="EE26">
        <f t="shared" si="23"/>
        <v>0</v>
      </c>
      <c r="EF26">
        <f t="shared" si="23"/>
        <v>0</v>
      </c>
      <c r="EG26">
        <f t="shared" si="23"/>
        <v>0</v>
      </c>
      <c r="EH26">
        <f t="shared" si="23"/>
        <v>0</v>
      </c>
      <c r="EI26">
        <f t="shared" si="23"/>
        <v>0</v>
      </c>
      <c r="EJ26">
        <f t="shared" si="23"/>
        <v>0</v>
      </c>
      <c r="EK26">
        <f t="shared" si="23"/>
        <v>0</v>
      </c>
      <c r="EL26">
        <f t="shared" si="23"/>
        <v>0</v>
      </c>
      <c r="EM26">
        <f t="shared" si="23"/>
        <v>0</v>
      </c>
      <c r="EN26">
        <f t="shared" si="23"/>
        <v>0</v>
      </c>
      <c r="EO26">
        <f t="shared" si="23"/>
        <v>0</v>
      </c>
      <c r="EP26">
        <f t="shared" si="23"/>
        <v>0</v>
      </c>
      <c r="EQ26">
        <f t="shared" si="23"/>
        <v>0</v>
      </c>
      <c r="ER26">
        <f t="shared" si="23"/>
        <v>0</v>
      </c>
      <c r="ES26">
        <f t="shared" si="23"/>
        <v>0</v>
      </c>
      <c r="ET26">
        <f t="shared" si="23"/>
        <v>0</v>
      </c>
      <c r="EU26">
        <f t="shared" si="23"/>
        <v>0</v>
      </c>
      <c r="EV26">
        <f t="shared" si="23"/>
        <v>0</v>
      </c>
      <c r="EW26">
        <f t="shared" si="23"/>
        <v>0</v>
      </c>
      <c r="EX26">
        <f t="shared" si="23"/>
        <v>0</v>
      </c>
      <c r="EY26">
        <f t="shared" si="23"/>
        <v>0</v>
      </c>
      <c r="EZ26">
        <f t="shared" si="23"/>
        <v>0</v>
      </c>
      <c r="FA26">
        <f t="shared" si="23"/>
        <v>0</v>
      </c>
      <c r="FB26">
        <f t="shared" si="23"/>
        <v>0</v>
      </c>
      <c r="FC26">
        <f t="shared" si="23"/>
        <v>0</v>
      </c>
      <c r="FD26">
        <f t="shared" si="23"/>
        <v>0</v>
      </c>
      <c r="FE26">
        <f t="shared" si="23"/>
        <v>0</v>
      </c>
      <c r="FF26">
        <f t="shared" si="23"/>
        <v>0</v>
      </c>
      <c r="FG26">
        <f t="shared" si="23"/>
        <v>0</v>
      </c>
      <c r="FH26">
        <f t="shared" si="23"/>
        <v>0</v>
      </c>
      <c r="FI26">
        <f t="shared" si="23"/>
        <v>0</v>
      </c>
      <c r="FJ26">
        <f t="shared" si="23"/>
        <v>0</v>
      </c>
      <c r="FK26">
        <f t="shared" si="23"/>
        <v>0</v>
      </c>
      <c r="FL26">
        <f t="shared" si="23"/>
        <v>0</v>
      </c>
      <c r="FM26">
        <f t="shared" si="23"/>
        <v>0</v>
      </c>
      <c r="FN26">
        <f t="shared" si="23"/>
        <v>0</v>
      </c>
      <c r="FO26">
        <f t="shared" si="23"/>
        <v>0</v>
      </c>
      <c r="FP26">
        <f t="shared" si="23"/>
        <v>0</v>
      </c>
      <c r="FQ26">
        <f t="shared" si="23"/>
        <v>0</v>
      </c>
      <c r="FR26">
        <f t="shared" si="23"/>
        <v>0</v>
      </c>
      <c r="FS26">
        <f t="shared" si="23"/>
        <v>0</v>
      </c>
      <c r="FT26">
        <f t="shared" si="23"/>
        <v>0</v>
      </c>
      <c r="FU26">
        <f t="shared" si="2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CF46-6E78-4316-8375-36FAFB5A38E9}">
  <dimension ref="A1:FU30"/>
  <sheetViews>
    <sheetView workbookViewId="0">
      <pane xSplit="4" topLeftCell="E1" activePane="topRight" state="frozen"/>
      <selection pane="topRight" activeCell="E30" sqref="E30:FU30"/>
    </sheetView>
  </sheetViews>
  <sheetFormatPr defaultRowHeight="15" x14ac:dyDescent="0.25"/>
  <cols>
    <col min="1" max="1" width="9.140625" customWidth="1"/>
    <col min="2" max="2" width="30.140625" customWidth="1"/>
    <col min="3" max="3" width="0" hidden="1" customWidth="1"/>
    <col min="4" max="4" width="12.5703125" customWidth="1"/>
    <col min="5" max="177" width="10.42578125" customWidth="1"/>
  </cols>
  <sheetData>
    <row r="1" spans="1:177" x14ac:dyDescent="0.25">
      <c r="B1" t="s">
        <v>3</v>
      </c>
    </row>
    <row r="3" spans="1:177" x14ac:dyDescent="0.25">
      <c r="A3" s="1" t="s">
        <v>0</v>
      </c>
      <c r="B3" s="1" t="s">
        <v>1</v>
      </c>
      <c r="C3" s="1" t="s">
        <v>2</v>
      </c>
      <c r="D3" s="1" t="s">
        <v>8</v>
      </c>
      <c r="E3" s="2">
        <f>Inventory!E1</f>
        <v>44331</v>
      </c>
      <c r="F3" s="2">
        <f>Inventory!F1</f>
        <v>44332</v>
      </c>
      <c r="G3" s="2">
        <f>Inventory!G1</f>
        <v>44334</v>
      </c>
      <c r="H3" s="2">
        <f>Inventory!H1</f>
        <v>44336</v>
      </c>
      <c r="I3" s="2">
        <f>Inventory!I1</f>
        <v>44337</v>
      </c>
      <c r="J3" s="2">
        <f>Inventory!J1</f>
        <v>44338</v>
      </c>
      <c r="K3" s="2">
        <f>Inventory!K1</f>
        <v>44339</v>
      </c>
      <c r="L3" s="2">
        <f>Inventory!L1</f>
        <v>44340</v>
      </c>
      <c r="M3" s="2">
        <f>Inventory!M1</f>
        <v>44341</v>
      </c>
      <c r="N3" s="2">
        <f>Inventory!N1</f>
        <v>44342</v>
      </c>
      <c r="O3" s="2">
        <f>Inventory!O1</f>
        <v>44343</v>
      </c>
      <c r="P3" s="2">
        <f>Inventory!P1</f>
        <v>44344</v>
      </c>
      <c r="Q3" s="2">
        <f>Inventory!Q1</f>
        <v>44345</v>
      </c>
      <c r="R3" s="2">
        <f>Inventory!R1</f>
        <v>44346</v>
      </c>
      <c r="S3" s="2">
        <f>Inventory!S1</f>
        <v>44347</v>
      </c>
      <c r="T3" s="2">
        <f>Inventory!T1</f>
        <v>44348</v>
      </c>
      <c r="U3" s="2">
        <f>Inventory!U1</f>
        <v>44349</v>
      </c>
      <c r="V3" s="2">
        <f>Inventory!V1</f>
        <v>44350</v>
      </c>
      <c r="W3" s="2">
        <f>Inventory!W1</f>
        <v>44351</v>
      </c>
      <c r="X3" s="2">
        <f>Inventory!X1</f>
        <v>44352</v>
      </c>
      <c r="Y3" s="2">
        <f>Inventory!Y1</f>
        <v>44353</v>
      </c>
      <c r="Z3" s="2">
        <f>Inventory!Z1</f>
        <v>44354</v>
      </c>
      <c r="AA3" s="2">
        <f>Inventory!AA1</f>
        <v>44355</v>
      </c>
      <c r="AB3" s="2">
        <f>Inventory!AB1</f>
        <v>44356</v>
      </c>
      <c r="AC3" s="2">
        <f>Inventory!AC1</f>
        <v>44357</v>
      </c>
      <c r="AD3" s="2">
        <f>Inventory!AD1</f>
        <v>44358</v>
      </c>
      <c r="AE3" s="2">
        <f>Inventory!AE1</f>
        <v>44359</v>
      </c>
      <c r="AF3" s="2">
        <f>Inventory!AF1</f>
        <v>44360</v>
      </c>
      <c r="AG3" s="2">
        <f>Inventory!AG1</f>
        <v>44361</v>
      </c>
      <c r="AH3" s="2">
        <f>Inventory!AH1</f>
        <v>44362</v>
      </c>
      <c r="AI3" s="2">
        <f>Inventory!AI1</f>
        <v>44363</v>
      </c>
      <c r="AJ3" s="2">
        <f>Inventory!AJ1</f>
        <v>44364</v>
      </c>
      <c r="AK3" s="2">
        <f>Inventory!AK1</f>
        <v>44365</v>
      </c>
      <c r="AL3" s="2">
        <f>Inventory!AL1</f>
        <v>44366</v>
      </c>
      <c r="AM3" s="2">
        <f>Inventory!AM1</f>
        <v>44367</v>
      </c>
      <c r="AN3" s="2">
        <f>Inventory!AN1</f>
        <v>44368</v>
      </c>
      <c r="AO3" s="2">
        <f>Inventory!AO1</f>
        <v>44369</v>
      </c>
      <c r="AP3" s="2">
        <f>Inventory!AP1</f>
        <v>44370</v>
      </c>
      <c r="AQ3" s="2">
        <f>Inventory!AQ1</f>
        <v>44371</v>
      </c>
      <c r="AR3" s="2">
        <f>Inventory!AR1</f>
        <v>44372</v>
      </c>
      <c r="AS3" s="2">
        <f>Inventory!AS1</f>
        <v>44373</v>
      </c>
      <c r="AT3" s="2">
        <f>Inventory!AT1</f>
        <v>44374</v>
      </c>
      <c r="AU3" s="2">
        <f>Inventory!AU1</f>
        <v>44375</v>
      </c>
      <c r="AV3" s="2">
        <f>Inventory!AV1</f>
        <v>44376</v>
      </c>
      <c r="AW3" s="2">
        <f>Inventory!AW1</f>
        <v>44377</v>
      </c>
      <c r="AX3" s="2">
        <f>Inventory!AX1</f>
        <v>44378</v>
      </c>
      <c r="AY3" s="2">
        <f>Inventory!AY1</f>
        <v>44379</v>
      </c>
      <c r="AZ3" s="2">
        <f>Inventory!AZ1</f>
        <v>44380</v>
      </c>
      <c r="BA3" s="2">
        <f>Inventory!BA1</f>
        <v>44381</v>
      </c>
      <c r="BB3" s="2">
        <f>Inventory!BB1</f>
        <v>44382</v>
      </c>
      <c r="BC3" s="2">
        <f>Inventory!BC1</f>
        <v>44383</v>
      </c>
      <c r="BD3" s="2">
        <f>Inventory!BD1</f>
        <v>44384</v>
      </c>
      <c r="BE3" s="2">
        <f>Inventory!BE1</f>
        <v>44385</v>
      </c>
      <c r="BF3" s="2">
        <f>Inventory!BF1</f>
        <v>44386</v>
      </c>
      <c r="BG3" s="2">
        <f>Inventory!BG1</f>
        <v>44387</v>
      </c>
      <c r="BH3" s="2">
        <f>Inventory!BH1</f>
        <v>44388</v>
      </c>
      <c r="BI3" s="2">
        <f>Inventory!BI1</f>
        <v>44389</v>
      </c>
      <c r="BJ3" s="2">
        <f>Inventory!BJ1</f>
        <v>44390</v>
      </c>
      <c r="BK3" s="2">
        <f>Inventory!BK1</f>
        <v>44391</v>
      </c>
      <c r="BL3" s="2">
        <f>Inventory!BL1</f>
        <v>44392</v>
      </c>
      <c r="BM3" s="2">
        <f>Inventory!BM1</f>
        <v>44393</v>
      </c>
      <c r="BN3" s="2">
        <f>Inventory!BN1</f>
        <v>44394</v>
      </c>
      <c r="BO3" s="2">
        <f>Inventory!BO1</f>
        <v>44395</v>
      </c>
      <c r="BP3" s="2">
        <f>Inventory!BP1</f>
        <v>44396</v>
      </c>
      <c r="BQ3" s="2">
        <f>Inventory!BQ1</f>
        <v>44397</v>
      </c>
      <c r="BR3" s="2">
        <f>Inventory!BR1</f>
        <v>44398</v>
      </c>
      <c r="BS3" s="2">
        <f>Inventory!BS1</f>
        <v>44399</v>
      </c>
      <c r="BT3" s="2">
        <f>Inventory!BT1</f>
        <v>44400</v>
      </c>
      <c r="BU3" s="2">
        <f>Inventory!BU1</f>
        <v>44401</v>
      </c>
      <c r="BV3" s="2">
        <f>Inventory!BV1</f>
        <v>44402</v>
      </c>
      <c r="BW3" s="2">
        <f>Inventory!BW1</f>
        <v>44403</v>
      </c>
      <c r="BX3" s="2">
        <f>Inventory!BX1</f>
        <v>44404</v>
      </c>
      <c r="BY3" s="2">
        <f>Inventory!BY1</f>
        <v>44405</v>
      </c>
      <c r="BZ3" s="2">
        <f>Inventory!BZ1</f>
        <v>44406</v>
      </c>
      <c r="CA3" s="2">
        <f>Inventory!CA1</f>
        <v>44407</v>
      </c>
      <c r="CB3" s="2">
        <f>Inventory!CB1</f>
        <v>44408</v>
      </c>
      <c r="CC3" s="2">
        <f>Inventory!CC1</f>
        <v>44409</v>
      </c>
      <c r="CD3" s="2">
        <f>Inventory!CD1</f>
        <v>44410</v>
      </c>
      <c r="CE3" s="2">
        <f>Inventory!CE1</f>
        <v>44411</v>
      </c>
      <c r="CF3" s="2">
        <f>Inventory!CF1</f>
        <v>44412</v>
      </c>
      <c r="CG3" s="2">
        <f>Inventory!CG1</f>
        <v>44413</v>
      </c>
      <c r="CH3" s="2">
        <f>Inventory!CH1</f>
        <v>44414</v>
      </c>
      <c r="CI3" s="2">
        <f>Inventory!CI1</f>
        <v>44415</v>
      </c>
      <c r="CJ3" s="2">
        <f>Inventory!CJ1</f>
        <v>44416</v>
      </c>
      <c r="CK3" s="2">
        <f>Inventory!CK1</f>
        <v>44417</v>
      </c>
      <c r="CL3" s="2">
        <f>Inventory!CL1</f>
        <v>44418</v>
      </c>
      <c r="CM3" s="2">
        <f>Inventory!CM1</f>
        <v>44419</v>
      </c>
      <c r="CN3" s="2">
        <f>Inventory!CN1</f>
        <v>44420</v>
      </c>
      <c r="CO3" s="2">
        <f>Inventory!CO1</f>
        <v>44421</v>
      </c>
      <c r="CP3" s="2">
        <f>Inventory!CP1</f>
        <v>44422</v>
      </c>
      <c r="CQ3" s="2">
        <f>Inventory!CQ1</f>
        <v>44423</v>
      </c>
      <c r="CR3" s="2">
        <f>Inventory!CR1</f>
        <v>44424</v>
      </c>
      <c r="CS3" s="2">
        <f>Inventory!CS1</f>
        <v>44425</v>
      </c>
      <c r="CT3" s="2">
        <f>Inventory!CT1</f>
        <v>44426</v>
      </c>
      <c r="CU3" s="2">
        <f>Inventory!CU1</f>
        <v>44427</v>
      </c>
      <c r="CV3" s="2">
        <f>Inventory!CV1</f>
        <v>44428</v>
      </c>
      <c r="CW3" s="2">
        <f>Inventory!CW1</f>
        <v>44429</v>
      </c>
      <c r="CX3" s="2">
        <f>Inventory!CX1</f>
        <v>44430</v>
      </c>
      <c r="CY3" s="2">
        <f>Inventory!CY1</f>
        <v>44431</v>
      </c>
      <c r="CZ3" s="2">
        <f>Inventory!CZ1</f>
        <v>44432</v>
      </c>
      <c r="DA3" s="2">
        <f>Inventory!DA1</f>
        <v>44433</v>
      </c>
      <c r="DB3" s="2">
        <f>Inventory!DB1</f>
        <v>44434</v>
      </c>
      <c r="DC3" s="2">
        <f>Inventory!DC1</f>
        <v>44435</v>
      </c>
      <c r="DD3" s="2">
        <f>Inventory!DD1</f>
        <v>44436</v>
      </c>
      <c r="DE3" s="2">
        <f>Inventory!DE1</f>
        <v>44437</v>
      </c>
      <c r="DF3" s="2">
        <f>Inventory!DF1</f>
        <v>44438</v>
      </c>
      <c r="DG3" s="2">
        <f>Inventory!DG1</f>
        <v>44439</v>
      </c>
      <c r="DH3" s="2">
        <f>Inventory!DH1</f>
        <v>44440</v>
      </c>
      <c r="DI3" s="2">
        <f>Inventory!DI1</f>
        <v>44441</v>
      </c>
      <c r="DJ3" s="2">
        <f>Inventory!DJ1</f>
        <v>44442</v>
      </c>
      <c r="DK3" s="2">
        <f>Inventory!DK1</f>
        <v>44443</v>
      </c>
      <c r="DL3" s="2">
        <f>Inventory!DL1</f>
        <v>44444</v>
      </c>
      <c r="DM3" s="2">
        <f>Inventory!DM1</f>
        <v>44445</v>
      </c>
      <c r="DN3" s="2">
        <f>Inventory!DN1</f>
        <v>44446</v>
      </c>
      <c r="DO3" s="2">
        <f>Inventory!DO1</f>
        <v>44447</v>
      </c>
      <c r="DP3" s="2">
        <f>Inventory!DP1</f>
        <v>44448</v>
      </c>
      <c r="DQ3" s="2">
        <f>Inventory!DQ1</f>
        <v>44449</v>
      </c>
      <c r="DR3" s="2">
        <f>Inventory!DR1</f>
        <v>44450</v>
      </c>
      <c r="DS3" s="2">
        <f>Inventory!DS1</f>
        <v>44451</v>
      </c>
      <c r="DT3" s="2">
        <f>Inventory!DT1</f>
        <v>44452</v>
      </c>
      <c r="DU3" s="2">
        <f>Inventory!DU1</f>
        <v>44453</v>
      </c>
      <c r="DV3" s="2">
        <f>Inventory!DV1</f>
        <v>44454</v>
      </c>
      <c r="DW3" s="2">
        <f>Inventory!DW1</f>
        <v>44455</v>
      </c>
      <c r="DX3" s="2">
        <f>Inventory!DX1</f>
        <v>44456</v>
      </c>
      <c r="DY3" s="2">
        <f>Inventory!DY1</f>
        <v>44457</v>
      </c>
      <c r="DZ3" s="2">
        <f>Inventory!DZ1</f>
        <v>44458</v>
      </c>
      <c r="EA3" s="2">
        <f>Inventory!EA1</f>
        <v>44459</v>
      </c>
      <c r="EB3" s="2">
        <f>Inventory!EB1</f>
        <v>44460</v>
      </c>
      <c r="EC3" s="2">
        <f>Inventory!EC1</f>
        <v>44461</v>
      </c>
      <c r="ED3" s="2">
        <f>Inventory!ED1</f>
        <v>44462</v>
      </c>
      <c r="EE3" s="2">
        <f>Inventory!EE1</f>
        <v>44463</v>
      </c>
      <c r="EF3" s="2">
        <f>Inventory!EF1</f>
        <v>44464</v>
      </c>
      <c r="EG3" s="2">
        <f>Inventory!EG1</f>
        <v>44465</v>
      </c>
      <c r="EH3" s="2">
        <f>Inventory!EH1</f>
        <v>44466</v>
      </c>
      <c r="EI3" s="2">
        <f>Inventory!EI1</f>
        <v>44467</v>
      </c>
      <c r="EJ3" s="2">
        <f>Inventory!EJ1</f>
        <v>44468</v>
      </c>
      <c r="EK3" s="2">
        <f>Inventory!EK1</f>
        <v>44469</v>
      </c>
      <c r="EL3" s="2">
        <f>Inventory!EL1</f>
        <v>44470</v>
      </c>
      <c r="EM3" s="2">
        <f>Inventory!EM1</f>
        <v>44471</v>
      </c>
      <c r="EN3" s="2">
        <f>Inventory!EN1</f>
        <v>44472</v>
      </c>
      <c r="EO3" s="2">
        <f>Inventory!EO1</f>
        <v>44473</v>
      </c>
      <c r="EP3" s="2">
        <f>Inventory!EP1</f>
        <v>44474</v>
      </c>
      <c r="EQ3" s="2">
        <f>Inventory!EQ1</f>
        <v>44475</v>
      </c>
      <c r="ER3" s="2">
        <f>Inventory!ER1</f>
        <v>44476</v>
      </c>
      <c r="ES3" s="2">
        <f>Inventory!ES1</f>
        <v>44477</v>
      </c>
      <c r="ET3" s="2">
        <f>Inventory!ET1</f>
        <v>44478</v>
      </c>
      <c r="EU3" s="2">
        <f>Inventory!EU1</f>
        <v>44479</v>
      </c>
      <c r="EV3" s="2">
        <f>Inventory!EV1</f>
        <v>44480</v>
      </c>
      <c r="EW3" s="2">
        <f>Inventory!EW1</f>
        <v>44481</v>
      </c>
      <c r="EX3" s="2">
        <f>Inventory!EX1</f>
        <v>44482</v>
      </c>
      <c r="EY3" s="2">
        <f>Inventory!EY1</f>
        <v>44483</v>
      </c>
      <c r="EZ3" s="2">
        <f>Inventory!EZ1</f>
        <v>44484</v>
      </c>
      <c r="FA3" s="2">
        <f>Inventory!FA1</f>
        <v>44485</v>
      </c>
      <c r="FB3" s="2">
        <f>Inventory!FB1</f>
        <v>44486</v>
      </c>
      <c r="FC3" s="2">
        <f>Inventory!FC1</f>
        <v>44487</v>
      </c>
      <c r="FD3" s="2">
        <f>Inventory!FD1</f>
        <v>44488</v>
      </c>
      <c r="FE3" s="2">
        <f>Inventory!FE1</f>
        <v>44489</v>
      </c>
      <c r="FF3" s="2">
        <f>Inventory!FF1</f>
        <v>44490</v>
      </c>
      <c r="FG3" s="2">
        <f>Inventory!FG1</f>
        <v>44491</v>
      </c>
      <c r="FH3" s="2">
        <f>Inventory!FH1</f>
        <v>44492</v>
      </c>
      <c r="FI3" s="2">
        <f>Inventory!FI1</f>
        <v>44493</v>
      </c>
      <c r="FJ3" s="2">
        <f>Inventory!FJ1</f>
        <v>44494</v>
      </c>
      <c r="FK3" s="2">
        <f>Inventory!FK1</f>
        <v>44495</v>
      </c>
      <c r="FL3" s="2">
        <f>Inventory!FL1</f>
        <v>44496</v>
      </c>
      <c r="FM3" s="2">
        <f>Inventory!FM1</f>
        <v>44497</v>
      </c>
      <c r="FN3" s="2">
        <f>Inventory!FN1</f>
        <v>44498</v>
      </c>
      <c r="FO3" s="2">
        <f>Inventory!FO1</f>
        <v>44499</v>
      </c>
      <c r="FP3" s="2">
        <f>Inventory!FP1</f>
        <v>44500</v>
      </c>
      <c r="FQ3" s="2">
        <f>Inventory!FQ1</f>
        <v>44501</v>
      </c>
      <c r="FR3" s="2">
        <f>Inventory!FR1</f>
        <v>44502</v>
      </c>
      <c r="FS3" s="2">
        <f>Inventory!FS1</f>
        <v>44503</v>
      </c>
      <c r="FT3" s="2">
        <f>Inventory!FT1</f>
        <v>44504</v>
      </c>
      <c r="FU3" s="2">
        <f>Inventory!FU1</f>
        <v>44505</v>
      </c>
    </row>
    <row r="4" spans="1:177" x14ac:dyDescent="0.25">
      <c r="A4" t="str" cm="1">
        <f t="array" ref="A4:FU11">_xlfn._xlws.FILTER(Inventory!$A$2:$FU$103, (Inventory!C2:C103="M4A4"))</f>
        <v>M4A4</v>
      </c>
      <c r="B4" t="str">
        <v>StatTrak Cyber Security MW</v>
      </c>
      <c r="C4" t="str">
        <v>M4A4</v>
      </c>
      <c r="D4" t="str">
        <v>Broken Fang</v>
      </c>
      <c r="E4">
        <v>33.21</v>
      </c>
      <c r="F4">
        <v>31.65</v>
      </c>
      <c r="G4">
        <v>29.18</v>
      </c>
      <c r="H4">
        <v>31.74</v>
      </c>
      <c r="I4">
        <v>29.35</v>
      </c>
      <c r="J4">
        <v>30.3</v>
      </c>
      <c r="K4">
        <v>30.75</v>
      </c>
      <c r="L4">
        <v>28.8</v>
      </c>
      <c r="M4">
        <v>30.22</v>
      </c>
      <c r="N4">
        <v>28.81</v>
      </c>
      <c r="O4">
        <v>28.69</v>
      </c>
      <c r="P4">
        <v>27.92</v>
      </c>
      <c r="Q4">
        <v>28.87</v>
      </c>
      <c r="R4">
        <v>29.99</v>
      </c>
      <c r="S4">
        <v>28.9</v>
      </c>
      <c r="T4">
        <v>29.12</v>
      </c>
      <c r="U4">
        <v>29.62</v>
      </c>
      <c r="V4">
        <v>28.55</v>
      </c>
      <c r="W4">
        <v>29.16</v>
      </c>
      <c r="X4">
        <v>29.07</v>
      </c>
      <c r="Y4">
        <v>29.04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</row>
    <row r="5" spans="1:177" x14ac:dyDescent="0.25">
      <c r="A5" t="str">
        <v>M4A4</v>
      </c>
      <c r="B5" t="str">
        <v>The Battlestar FN</v>
      </c>
      <c r="C5" t="str">
        <v>M4A4</v>
      </c>
      <c r="D5" t="str">
        <v>Wildfire</v>
      </c>
      <c r="E5">
        <v>14.52</v>
      </c>
      <c r="F5">
        <v>13.27</v>
      </c>
      <c r="G5">
        <v>13.26</v>
      </c>
      <c r="H5">
        <v>14.11</v>
      </c>
      <c r="I5">
        <v>14.06</v>
      </c>
      <c r="J5">
        <v>14.27</v>
      </c>
      <c r="K5">
        <v>13.84</v>
      </c>
      <c r="L5">
        <v>13.34</v>
      </c>
      <c r="M5">
        <v>12.49</v>
      </c>
      <c r="N5">
        <v>12.85</v>
      </c>
      <c r="O5">
        <v>12.48</v>
      </c>
      <c r="P5">
        <v>13.5</v>
      </c>
      <c r="Q5">
        <v>13.54</v>
      </c>
      <c r="R5">
        <v>13.54</v>
      </c>
      <c r="S5">
        <v>14.22</v>
      </c>
      <c r="T5">
        <v>13.54</v>
      </c>
      <c r="U5">
        <v>13.19</v>
      </c>
      <c r="V5">
        <v>13.66</v>
      </c>
      <c r="W5">
        <v>12.69</v>
      </c>
      <c r="X5">
        <v>13.66</v>
      </c>
      <c r="Y5">
        <v>13.27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</row>
    <row r="6" spans="1:177" x14ac:dyDescent="0.25">
      <c r="A6" t="str">
        <v>M4A4</v>
      </c>
      <c r="B6" t="str">
        <v>Neo-Noir MW</v>
      </c>
      <c r="C6" t="str">
        <v>M4A4</v>
      </c>
      <c r="D6" t="str">
        <v>Clutch</v>
      </c>
      <c r="E6">
        <v>29.07</v>
      </c>
      <c r="F6">
        <v>29.37</v>
      </c>
      <c r="G6">
        <v>26.79</v>
      </c>
      <c r="H6">
        <v>27.5</v>
      </c>
      <c r="I6">
        <v>27.26</v>
      </c>
      <c r="J6">
        <v>28.86</v>
      </c>
      <c r="K6">
        <v>27.29</v>
      </c>
      <c r="L6">
        <v>25.83</v>
      </c>
      <c r="M6">
        <v>26.17</v>
      </c>
      <c r="N6">
        <v>25.72</v>
      </c>
      <c r="O6">
        <v>27.42</v>
      </c>
      <c r="P6">
        <v>25.94</v>
      </c>
      <c r="Q6">
        <v>26.04</v>
      </c>
      <c r="R6">
        <v>25.26</v>
      </c>
      <c r="S6">
        <v>27.4</v>
      </c>
      <c r="T6">
        <v>27.17</v>
      </c>
      <c r="U6">
        <v>26.02</v>
      </c>
      <c r="V6">
        <v>26.27</v>
      </c>
      <c r="W6">
        <v>27.83</v>
      </c>
      <c r="X6">
        <v>26.99</v>
      </c>
      <c r="Y6">
        <v>25.85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</row>
    <row r="7" spans="1:177" x14ac:dyDescent="0.25">
      <c r="A7" t="str">
        <v>M4A4</v>
      </c>
      <c r="B7" t="str">
        <v>Hellfire MW</v>
      </c>
      <c r="C7" t="str">
        <v>M4A4</v>
      </c>
      <c r="D7" t="str">
        <v>Hydra</v>
      </c>
      <c r="E7">
        <v>26.86</v>
      </c>
      <c r="F7">
        <v>25.93</v>
      </c>
      <c r="G7">
        <v>25.2</v>
      </c>
      <c r="H7">
        <v>26.25</v>
      </c>
      <c r="I7">
        <v>26.3</v>
      </c>
      <c r="J7">
        <v>26.9</v>
      </c>
      <c r="K7">
        <v>24.86</v>
      </c>
      <c r="L7">
        <v>27.3</v>
      </c>
      <c r="M7">
        <v>25.21</v>
      </c>
      <c r="N7">
        <v>26.11</v>
      </c>
      <c r="O7">
        <v>27.42</v>
      </c>
      <c r="P7">
        <v>27.34</v>
      </c>
      <c r="Q7">
        <v>27.33</v>
      </c>
      <c r="R7">
        <v>28.52</v>
      </c>
      <c r="S7">
        <v>28.58</v>
      </c>
      <c r="T7">
        <v>29.09</v>
      </c>
      <c r="U7">
        <v>29.49</v>
      </c>
      <c r="V7">
        <v>28.06</v>
      </c>
      <c r="W7">
        <v>32.92</v>
      </c>
      <c r="X7">
        <v>38.33</v>
      </c>
      <c r="Y7">
        <v>35.700000000000003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</row>
    <row r="8" spans="1:177" x14ac:dyDescent="0.25">
      <c r="A8" t="str">
        <v>M4A4</v>
      </c>
      <c r="B8" t="str">
        <v>Evil Daimyo FN</v>
      </c>
      <c r="C8" t="str">
        <v>M4A4</v>
      </c>
      <c r="D8" t="str">
        <v>Falchion</v>
      </c>
      <c r="E8">
        <v>6.9</v>
      </c>
      <c r="F8">
        <v>7.37</v>
      </c>
      <c r="G8">
        <v>6.99</v>
      </c>
      <c r="H8">
        <v>6.87</v>
      </c>
      <c r="I8">
        <v>6.82</v>
      </c>
      <c r="J8">
        <v>7.06</v>
      </c>
      <c r="K8">
        <v>6.74</v>
      </c>
      <c r="L8">
        <v>7.04</v>
      </c>
      <c r="M8">
        <v>6.99</v>
      </c>
      <c r="N8">
        <v>7.14</v>
      </c>
      <c r="O8">
        <v>6.68</v>
      </c>
      <c r="P8">
        <v>6.85</v>
      </c>
      <c r="Q8">
        <v>6.98</v>
      </c>
      <c r="R8">
        <v>7.03</v>
      </c>
      <c r="S8">
        <v>6.48</v>
      </c>
      <c r="T8">
        <v>6.63</v>
      </c>
      <c r="U8">
        <v>6.64</v>
      </c>
      <c r="V8">
        <v>7.06</v>
      </c>
      <c r="W8">
        <v>6.58</v>
      </c>
      <c r="X8">
        <v>6.51</v>
      </c>
      <c r="Y8">
        <v>6.59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</row>
    <row r="9" spans="1:177" x14ac:dyDescent="0.25">
      <c r="A9" t="str">
        <v>M4A4</v>
      </c>
      <c r="B9" t="str">
        <v>Bullet Rain MW</v>
      </c>
      <c r="C9" t="str">
        <v>M4A4</v>
      </c>
      <c r="D9" t="str">
        <v>eSports 2014</v>
      </c>
      <c r="E9">
        <v>17.309999999999999</v>
      </c>
      <c r="F9">
        <v>16.39</v>
      </c>
      <c r="G9">
        <v>18.760000000000002</v>
      </c>
      <c r="H9">
        <v>18.239999999999998</v>
      </c>
      <c r="I9">
        <v>18.28</v>
      </c>
      <c r="J9">
        <v>17.510000000000002</v>
      </c>
      <c r="K9">
        <v>17.170000000000002</v>
      </c>
      <c r="L9">
        <v>18.43</v>
      </c>
      <c r="M9">
        <v>17.95</v>
      </c>
      <c r="N9">
        <v>18.690000000000001</v>
      </c>
      <c r="O9">
        <v>17.260000000000002</v>
      </c>
      <c r="P9">
        <v>18.41</v>
      </c>
      <c r="Q9">
        <v>18.350000000000001</v>
      </c>
      <c r="R9">
        <v>18.91</v>
      </c>
      <c r="S9">
        <v>17.68</v>
      </c>
      <c r="T9">
        <v>18.25</v>
      </c>
      <c r="U9">
        <v>18.32</v>
      </c>
      <c r="V9">
        <v>18.260000000000002</v>
      </c>
      <c r="W9">
        <v>17.87</v>
      </c>
      <c r="X9">
        <v>18.21</v>
      </c>
      <c r="Y9">
        <v>18.78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</row>
    <row r="10" spans="1:177" x14ac:dyDescent="0.25">
      <c r="A10" t="str">
        <v>M4A4</v>
      </c>
      <c r="B10" t="str">
        <v>Desolate Space MW</v>
      </c>
      <c r="C10" t="str">
        <v>M4A4</v>
      </c>
      <c r="D10" t="str">
        <v>Gamma</v>
      </c>
      <c r="E10">
        <v>13.77</v>
      </c>
      <c r="F10">
        <v>14.43</v>
      </c>
      <c r="G10">
        <v>13.96</v>
      </c>
      <c r="H10">
        <v>13.19</v>
      </c>
      <c r="I10">
        <v>14.41</v>
      </c>
      <c r="J10">
        <v>14.08</v>
      </c>
      <c r="K10">
        <v>14.66</v>
      </c>
      <c r="L10">
        <v>13.65</v>
      </c>
      <c r="M10">
        <v>13.29</v>
      </c>
      <c r="N10">
        <v>13.64</v>
      </c>
      <c r="O10">
        <v>13.24</v>
      </c>
      <c r="P10">
        <v>13.22</v>
      </c>
      <c r="Q10">
        <v>13.98</v>
      </c>
      <c r="R10">
        <v>13.53</v>
      </c>
      <c r="S10">
        <v>13.74</v>
      </c>
      <c r="T10">
        <v>13.68</v>
      </c>
      <c r="U10">
        <v>13.85</v>
      </c>
      <c r="V10">
        <v>12.95</v>
      </c>
      <c r="W10">
        <v>13.12</v>
      </c>
      <c r="X10">
        <v>13.6</v>
      </c>
      <c r="Y10">
        <v>13.04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</row>
    <row r="11" spans="1:177" x14ac:dyDescent="0.25">
      <c r="A11" t="str">
        <v>M4A4</v>
      </c>
      <c r="B11" t="str">
        <v>StatTrak Dragon King MW</v>
      </c>
      <c r="C11" t="str">
        <v>M4A4</v>
      </c>
      <c r="D11" t="str">
        <v>Chroma</v>
      </c>
      <c r="E11">
        <v>37.31</v>
      </c>
      <c r="F11">
        <v>36.880000000000003</v>
      </c>
      <c r="G11">
        <v>38.799999999999997</v>
      </c>
      <c r="H11">
        <v>37.92</v>
      </c>
      <c r="I11">
        <v>39.03</v>
      </c>
      <c r="J11">
        <v>38.35</v>
      </c>
      <c r="K11">
        <v>37.799999999999997</v>
      </c>
      <c r="L11">
        <v>36.909999999999997</v>
      </c>
      <c r="M11">
        <v>35.35</v>
      </c>
      <c r="N11">
        <v>38.06</v>
      </c>
      <c r="O11">
        <v>35.93</v>
      </c>
      <c r="P11">
        <v>36.22</v>
      </c>
      <c r="Q11">
        <v>35.090000000000003</v>
      </c>
      <c r="R11">
        <v>36.14</v>
      </c>
      <c r="S11">
        <v>36.81</v>
      </c>
      <c r="T11">
        <v>37.950000000000003</v>
      </c>
      <c r="U11">
        <v>39.409999999999997</v>
      </c>
      <c r="V11">
        <v>37.04</v>
      </c>
      <c r="W11">
        <v>39.44</v>
      </c>
      <c r="X11">
        <v>37.85</v>
      </c>
      <c r="Y11">
        <v>36.15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</row>
    <row r="14" spans="1:177" x14ac:dyDescent="0.25">
      <c r="D14" s="1" t="s">
        <v>186</v>
      </c>
      <c r="E14">
        <f>SUM(E4:E11)</f>
        <v>178.95000000000002</v>
      </c>
      <c r="F14">
        <f t="shared" ref="F14:BQ14" si="0">SUM(F4:F11)</f>
        <v>175.29</v>
      </c>
      <c r="G14">
        <f t="shared" si="0"/>
        <v>172.94</v>
      </c>
      <c r="H14">
        <f t="shared" si="0"/>
        <v>175.82</v>
      </c>
      <c r="I14">
        <f t="shared" si="0"/>
        <v>175.51</v>
      </c>
      <c r="J14">
        <f t="shared" si="0"/>
        <v>177.33</v>
      </c>
      <c r="K14">
        <f t="shared" si="0"/>
        <v>173.11</v>
      </c>
      <c r="L14">
        <f t="shared" si="0"/>
        <v>171.3</v>
      </c>
      <c r="M14">
        <f t="shared" si="0"/>
        <v>167.67</v>
      </c>
      <c r="N14">
        <f t="shared" si="0"/>
        <v>171.01999999999998</v>
      </c>
      <c r="O14">
        <f t="shared" si="0"/>
        <v>169.12</v>
      </c>
      <c r="P14">
        <f t="shared" si="0"/>
        <v>169.4</v>
      </c>
      <c r="Q14">
        <f t="shared" si="0"/>
        <v>170.17999999999998</v>
      </c>
      <c r="R14">
        <f t="shared" si="0"/>
        <v>172.92000000000002</v>
      </c>
      <c r="S14">
        <f t="shared" si="0"/>
        <v>173.81</v>
      </c>
      <c r="T14">
        <f t="shared" si="0"/>
        <v>175.43</v>
      </c>
      <c r="U14">
        <f t="shared" si="0"/>
        <v>176.54</v>
      </c>
      <c r="V14">
        <f t="shared" si="0"/>
        <v>171.85</v>
      </c>
      <c r="W14">
        <f t="shared" si="0"/>
        <v>179.61</v>
      </c>
      <c r="X14">
        <f t="shared" si="0"/>
        <v>184.22</v>
      </c>
      <c r="Y14">
        <f t="shared" si="0"/>
        <v>178.42000000000002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  <c r="AF14">
        <f t="shared" si="0"/>
        <v>0</v>
      </c>
      <c r="AG14">
        <f t="shared" si="0"/>
        <v>0</v>
      </c>
      <c r="AH14">
        <f t="shared" si="0"/>
        <v>0</v>
      </c>
      <c r="AI14">
        <f t="shared" si="0"/>
        <v>0</v>
      </c>
      <c r="AJ14">
        <f t="shared" si="0"/>
        <v>0</v>
      </c>
      <c r="AK14">
        <f t="shared" si="0"/>
        <v>0</v>
      </c>
      <c r="AL14">
        <f t="shared" si="0"/>
        <v>0</v>
      </c>
      <c r="AM14">
        <f t="shared" si="0"/>
        <v>0</v>
      </c>
      <c r="AN14">
        <f t="shared" si="0"/>
        <v>0</v>
      </c>
      <c r="AO14">
        <f t="shared" si="0"/>
        <v>0</v>
      </c>
      <c r="AP14">
        <f t="shared" si="0"/>
        <v>0</v>
      </c>
      <c r="AQ14">
        <f t="shared" si="0"/>
        <v>0</v>
      </c>
      <c r="AR14">
        <f t="shared" si="0"/>
        <v>0</v>
      </c>
      <c r="AS14">
        <f t="shared" si="0"/>
        <v>0</v>
      </c>
      <c r="AT14">
        <f t="shared" si="0"/>
        <v>0</v>
      </c>
      <c r="AU14">
        <f t="shared" si="0"/>
        <v>0</v>
      </c>
      <c r="AV14">
        <f t="shared" si="0"/>
        <v>0</v>
      </c>
      <c r="AW14">
        <f t="shared" si="0"/>
        <v>0</v>
      </c>
      <c r="AX14">
        <f t="shared" si="0"/>
        <v>0</v>
      </c>
      <c r="AY14">
        <f t="shared" si="0"/>
        <v>0</v>
      </c>
      <c r="AZ14">
        <f t="shared" si="0"/>
        <v>0</v>
      </c>
      <c r="BA14">
        <f t="shared" si="0"/>
        <v>0</v>
      </c>
      <c r="BB14">
        <f t="shared" si="0"/>
        <v>0</v>
      </c>
      <c r="BC14">
        <f t="shared" si="0"/>
        <v>0</v>
      </c>
      <c r="BD14">
        <f t="shared" si="0"/>
        <v>0</v>
      </c>
      <c r="BE14">
        <f t="shared" si="0"/>
        <v>0</v>
      </c>
      <c r="BF14">
        <f t="shared" si="0"/>
        <v>0</v>
      </c>
      <c r="BG14">
        <f t="shared" si="0"/>
        <v>0</v>
      </c>
      <c r="BH14">
        <f t="shared" si="0"/>
        <v>0</v>
      </c>
      <c r="BI14">
        <f t="shared" si="0"/>
        <v>0</v>
      </c>
      <c r="BJ14">
        <f t="shared" si="0"/>
        <v>0</v>
      </c>
      <c r="BK14">
        <f t="shared" si="0"/>
        <v>0</v>
      </c>
      <c r="BL14">
        <f t="shared" si="0"/>
        <v>0</v>
      </c>
      <c r="BM14">
        <f t="shared" si="0"/>
        <v>0</v>
      </c>
      <c r="BN14">
        <f t="shared" si="0"/>
        <v>0</v>
      </c>
      <c r="BO14">
        <f t="shared" si="0"/>
        <v>0</v>
      </c>
      <c r="BP14">
        <f t="shared" si="0"/>
        <v>0</v>
      </c>
      <c r="BQ14">
        <f t="shared" si="0"/>
        <v>0</v>
      </c>
      <c r="BR14">
        <f t="shared" ref="BR14:EC14" si="1">SUM(BR4:BR11)</f>
        <v>0</v>
      </c>
      <c r="BS14">
        <f t="shared" si="1"/>
        <v>0</v>
      </c>
      <c r="BT14">
        <f t="shared" si="1"/>
        <v>0</v>
      </c>
      <c r="BU14">
        <f t="shared" si="1"/>
        <v>0</v>
      </c>
      <c r="BV14">
        <f t="shared" si="1"/>
        <v>0</v>
      </c>
      <c r="BW14">
        <f t="shared" si="1"/>
        <v>0</v>
      </c>
      <c r="BX14">
        <f t="shared" si="1"/>
        <v>0</v>
      </c>
      <c r="BY14">
        <f t="shared" si="1"/>
        <v>0</v>
      </c>
      <c r="BZ14">
        <f t="shared" si="1"/>
        <v>0</v>
      </c>
      <c r="CA14">
        <f t="shared" si="1"/>
        <v>0</v>
      </c>
      <c r="CB14">
        <f t="shared" si="1"/>
        <v>0</v>
      </c>
      <c r="CC14">
        <f t="shared" si="1"/>
        <v>0</v>
      </c>
      <c r="CD14">
        <f t="shared" si="1"/>
        <v>0</v>
      </c>
      <c r="CE14">
        <f t="shared" si="1"/>
        <v>0</v>
      </c>
      <c r="CF14">
        <f t="shared" si="1"/>
        <v>0</v>
      </c>
      <c r="CG14">
        <f t="shared" si="1"/>
        <v>0</v>
      </c>
      <c r="CH14">
        <f t="shared" si="1"/>
        <v>0</v>
      </c>
      <c r="CI14">
        <f t="shared" si="1"/>
        <v>0</v>
      </c>
      <c r="CJ14">
        <f t="shared" si="1"/>
        <v>0</v>
      </c>
      <c r="CK14">
        <f t="shared" si="1"/>
        <v>0</v>
      </c>
      <c r="CL14">
        <f t="shared" si="1"/>
        <v>0</v>
      </c>
      <c r="CM14">
        <f t="shared" si="1"/>
        <v>0</v>
      </c>
      <c r="CN14">
        <f t="shared" si="1"/>
        <v>0</v>
      </c>
      <c r="CO14">
        <f t="shared" si="1"/>
        <v>0</v>
      </c>
      <c r="CP14">
        <f t="shared" si="1"/>
        <v>0</v>
      </c>
      <c r="CQ14">
        <f t="shared" si="1"/>
        <v>0</v>
      </c>
      <c r="CR14">
        <f t="shared" si="1"/>
        <v>0</v>
      </c>
      <c r="CS14">
        <f t="shared" si="1"/>
        <v>0</v>
      </c>
      <c r="CT14">
        <f t="shared" si="1"/>
        <v>0</v>
      </c>
      <c r="CU14">
        <f t="shared" si="1"/>
        <v>0</v>
      </c>
      <c r="CV14">
        <f t="shared" si="1"/>
        <v>0</v>
      </c>
      <c r="CW14">
        <f t="shared" si="1"/>
        <v>0</v>
      </c>
      <c r="CX14">
        <f t="shared" si="1"/>
        <v>0</v>
      </c>
      <c r="CY14">
        <f t="shared" si="1"/>
        <v>0</v>
      </c>
      <c r="CZ14">
        <f t="shared" si="1"/>
        <v>0</v>
      </c>
      <c r="DA14">
        <f t="shared" si="1"/>
        <v>0</v>
      </c>
      <c r="DB14">
        <f t="shared" si="1"/>
        <v>0</v>
      </c>
      <c r="DC14">
        <f t="shared" si="1"/>
        <v>0</v>
      </c>
      <c r="DD14">
        <f t="shared" si="1"/>
        <v>0</v>
      </c>
      <c r="DE14">
        <f t="shared" si="1"/>
        <v>0</v>
      </c>
      <c r="DF14">
        <f t="shared" si="1"/>
        <v>0</v>
      </c>
      <c r="DG14">
        <f t="shared" si="1"/>
        <v>0</v>
      </c>
      <c r="DH14">
        <f t="shared" si="1"/>
        <v>0</v>
      </c>
      <c r="DI14">
        <f t="shared" si="1"/>
        <v>0</v>
      </c>
      <c r="DJ14">
        <f t="shared" si="1"/>
        <v>0</v>
      </c>
      <c r="DK14">
        <f t="shared" si="1"/>
        <v>0</v>
      </c>
      <c r="DL14">
        <f t="shared" si="1"/>
        <v>0</v>
      </c>
      <c r="DM14">
        <f t="shared" si="1"/>
        <v>0</v>
      </c>
      <c r="DN14">
        <f t="shared" si="1"/>
        <v>0</v>
      </c>
      <c r="DO14">
        <f t="shared" si="1"/>
        <v>0</v>
      </c>
      <c r="DP14">
        <f t="shared" si="1"/>
        <v>0</v>
      </c>
      <c r="DQ14">
        <f t="shared" si="1"/>
        <v>0</v>
      </c>
      <c r="DR14">
        <f t="shared" si="1"/>
        <v>0</v>
      </c>
      <c r="DS14">
        <f t="shared" si="1"/>
        <v>0</v>
      </c>
      <c r="DT14">
        <f t="shared" si="1"/>
        <v>0</v>
      </c>
      <c r="DU14">
        <f t="shared" si="1"/>
        <v>0</v>
      </c>
      <c r="DV14">
        <f t="shared" si="1"/>
        <v>0</v>
      </c>
      <c r="DW14">
        <f t="shared" si="1"/>
        <v>0</v>
      </c>
      <c r="DX14">
        <f t="shared" si="1"/>
        <v>0</v>
      </c>
      <c r="DY14">
        <f t="shared" si="1"/>
        <v>0</v>
      </c>
      <c r="DZ14">
        <f t="shared" si="1"/>
        <v>0</v>
      </c>
      <c r="EA14">
        <f t="shared" si="1"/>
        <v>0</v>
      </c>
      <c r="EB14">
        <f t="shared" si="1"/>
        <v>0</v>
      </c>
      <c r="EC14">
        <f t="shared" si="1"/>
        <v>0</v>
      </c>
      <c r="ED14">
        <f t="shared" ref="ED14:FU14" si="2">SUM(ED4:ED11)</f>
        <v>0</v>
      </c>
      <c r="EE14">
        <f t="shared" si="2"/>
        <v>0</v>
      </c>
      <c r="EF14">
        <f t="shared" si="2"/>
        <v>0</v>
      </c>
      <c r="EG14">
        <f t="shared" si="2"/>
        <v>0</v>
      </c>
      <c r="EH14">
        <f t="shared" si="2"/>
        <v>0</v>
      </c>
      <c r="EI14">
        <f t="shared" si="2"/>
        <v>0</v>
      </c>
      <c r="EJ14">
        <f t="shared" si="2"/>
        <v>0</v>
      </c>
      <c r="EK14">
        <f t="shared" si="2"/>
        <v>0</v>
      </c>
      <c r="EL14">
        <f t="shared" si="2"/>
        <v>0</v>
      </c>
      <c r="EM14">
        <f t="shared" si="2"/>
        <v>0</v>
      </c>
      <c r="EN14">
        <f t="shared" si="2"/>
        <v>0</v>
      </c>
      <c r="EO14">
        <f t="shared" si="2"/>
        <v>0</v>
      </c>
      <c r="EP14">
        <f t="shared" si="2"/>
        <v>0</v>
      </c>
      <c r="EQ14">
        <f t="shared" si="2"/>
        <v>0</v>
      </c>
      <c r="ER14">
        <f t="shared" si="2"/>
        <v>0</v>
      </c>
      <c r="ES14">
        <f t="shared" si="2"/>
        <v>0</v>
      </c>
      <c r="ET14">
        <f t="shared" si="2"/>
        <v>0</v>
      </c>
      <c r="EU14">
        <f t="shared" si="2"/>
        <v>0</v>
      </c>
      <c r="EV14">
        <f t="shared" si="2"/>
        <v>0</v>
      </c>
      <c r="EW14">
        <f t="shared" si="2"/>
        <v>0</v>
      </c>
      <c r="EX14">
        <f t="shared" si="2"/>
        <v>0</v>
      </c>
      <c r="EY14">
        <f t="shared" si="2"/>
        <v>0</v>
      </c>
      <c r="EZ14">
        <f t="shared" si="2"/>
        <v>0</v>
      </c>
      <c r="FA14">
        <f t="shared" si="2"/>
        <v>0</v>
      </c>
      <c r="FB14">
        <f t="shared" si="2"/>
        <v>0</v>
      </c>
      <c r="FC14">
        <f t="shared" si="2"/>
        <v>0</v>
      </c>
      <c r="FD14">
        <f t="shared" si="2"/>
        <v>0</v>
      </c>
      <c r="FE14">
        <f t="shared" si="2"/>
        <v>0</v>
      </c>
      <c r="FF14">
        <f t="shared" si="2"/>
        <v>0</v>
      </c>
      <c r="FG14">
        <f t="shared" si="2"/>
        <v>0</v>
      </c>
      <c r="FH14">
        <f t="shared" si="2"/>
        <v>0</v>
      </c>
      <c r="FI14">
        <f t="shared" si="2"/>
        <v>0</v>
      </c>
      <c r="FJ14">
        <f t="shared" si="2"/>
        <v>0</v>
      </c>
      <c r="FK14">
        <f t="shared" si="2"/>
        <v>0</v>
      </c>
      <c r="FL14">
        <f t="shared" si="2"/>
        <v>0</v>
      </c>
      <c r="FM14">
        <f t="shared" si="2"/>
        <v>0</v>
      </c>
      <c r="FN14">
        <f t="shared" si="2"/>
        <v>0</v>
      </c>
      <c r="FO14">
        <f t="shared" si="2"/>
        <v>0</v>
      </c>
      <c r="FP14">
        <f t="shared" si="2"/>
        <v>0</v>
      </c>
      <c r="FQ14">
        <f t="shared" si="2"/>
        <v>0</v>
      </c>
      <c r="FR14">
        <f t="shared" si="2"/>
        <v>0</v>
      </c>
      <c r="FS14">
        <f t="shared" si="2"/>
        <v>0</v>
      </c>
      <c r="FT14">
        <f t="shared" si="2"/>
        <v>0</v>
      </c>
      <c r="FU14">
        <f t="shared" si="2"/>
        <v>0</v>
      </c>
    </row>
    <row r="19" spans="1:177" x14ac:dyDescent="0.25">
      <c r="A19" s="1" t="s">
        <v>0</v>
      </c>
      <c r="B19" s="1" t="s">
        <v>1</v>
      </c>
      <c r="C19" s="1" t="s">
        <v>2</v>
      </c>
      <c r="D19" s="1" t="s">
        <v>8</v>
      </c>
      <c r="E19" s="2">
        <f>E3</f>
        <v>44331</v>
      </c>
      <c r="F19" s="2">
        <f t="shared" ref="F19:BQ19" si="3">F3</f>
        <v>44332</v>
      </c>
      <c r="G19" s="2">
        <f t="shared" si="3"/>
        <v>44334</v>
      </c>
      <c r="H19" s="2">
        <f t="shared" si="3"/>
        <v>44336</v>
      </c>
      <c r="I19" s="2">
        <f t="shared" si="3"/>
        <v>44337</v>
      </c>
      <c r="J19" s="2">
        <f t="shared" si="3"/>
        <v>44338</v>
      </c>
      <c r="K19" s="2">
        <f t="shared" si="3"/>
        <v>44339</v>
      </c>
      <c r="L19" s="2">
        <f t="shared" si="3"/>
        <v>44340</v>
      </c>
      <c r="M19" s="2">
        <f t="shared" si="3"/>
        <v>44341</v>
      </c>
      <c r="N19" s="2">
        <f t="shared" si="3"/>
        <v>44342</v>
      </c>
      <c r="O19" s="2">
        <f t="shared" si="3"/>
        <v>44343</v>
      </c>
      <c r="P19" s="2">
        <f t="shared" si="3"/>
        <v>44344</v>
      </c>
      <c r="Q19" s="2">
        <f t="shared" si="3"/>
        <v>44345</v>
      </c>
      <c r="R19" s="2">
        <f t="shared" si="3"/>
        <v>44346</v>
      </c>
      <c r="S19" s="2">
        <f t="shared" si="3"/>
        <v>44347</v>
      </c>
      <c r="T19" s="2">
        <f t="shared" si="3"/>
        <v>44348</v>
      </c>
      <c r="U19" s="2">
        <f t="shared" si="3"/>
        <v>44349</v>
      </c>
      <c r="V19" s="2">
        <f t="shared" si="3"/>
        <v>44350</v>
      </c>
      <c r="W19" s="2">
        <f t="shared" si="3"/>
        <v>44351</v>
      </c>
      <c r="X19" s="2">
        <f t="shared" si="3"/>
        <v>44352</v>
      </c>
      <c r="Y19" s="2">
        <f t="shared" si="3"/>
        <v>44353</v>
      </c>
      <c r="Z19" s="2">
        <f t="shared" si="3"/>
        <v>44354</v>
      </c>
      <c r="AA19" s="2">
        <f t="shared" si="3"/>
        <v>44355</v>
      </c>
      <c r="AB19" s="2">
        <f t="shared" si="3"/>
        <v>44356</v>
      </c>
      <c r="AC19" s="2">
        <f t="shared" si="3"/>
        <v>44357</v>
      </c>
      <c r="AD19" s="2">
        <f t="shared" si="3"/>
        <v>44358</v>
      </c>
      <c r="AE19" s="2">
        <f t="shared" si="3"/>
        <v>44359</v>
      </c>
      <c r="AF19" s="2">
        <f t="shared" si="3"/>
        <v>44360</v>
      </c>
      <c r="AG19" s="2">
        <f t="shared" si="3"/>
        <v>44361</v>
      </c>
      <c r="AH19" s="2">
        <f t="shared" si="3"/>
        <v>44362</v>
      </c>
      <c r="AI19" s="2">
        <f t="shared" si="3"/>
        <v>44363</v>
      </c>
      <c r="AJ19" s="2">
        <f t="shared" si="3"/>
        <v>44364</v>
      </c>
      <c r="AK19" s="2">
        <f t="shared" si="3"/>
        <v>44365</v>
      </c>
      <c r="AL19" s="2">
        <f t="shared" si="3"/>
        <v>44366</v>
      </c>
      <c r="AM19" s="2">
        <f t="shared" si="3"/>
        <v>44367</v>
      </c>
      <c r="AN19" s="2">
        <f t="shared" si="3"/>
        <v>44368</v>
      </c>
      <c r="AO19" s="2">
        <f t="shared" si="3"/>
        <v>44369</v>
      </c>
      <c r="AP19" s="2">
        <f t="shared" si="3"/>
        <v>44370</v>
      </c>
      <c r="AQ19" s="2">
        <f t="shared" si="3"/>
        <v>44371</v>
      </c>
      <c r="AR19" s="2">
        <f t="shared" si="3"/>
        <v>44372</v>
      </c>
      <c r="AS19" s="2">
        <f t="shared" si="3"/>
        <v>44373</v>
      </c>
      <c r="AT19" s="2">
        <f t="shared" si="3"/>
        <v>44374</v>
      </c>
      <c r="AU19" s="2">
        <f t="shared" si="3"/>
        <v>44375</v>
      </c>
      <c r="AV19" s="2">
        <f t="shared" si="3"/>
        <v>44376</v>
      </c>
      <c r="AW19" s="2">
        <f t="shared" si="3"/>
        <v>44377</v>
      </c>
      <c r="AX19" s="2">
        <f t="shared" si="3"/>
        <v>44378</v>
      </c>
      <c r="AY19" s="2">
        <f t="shared" si="3"/>
        <v>44379</v>
      </c>
      <c r="AZ19" s="2">
        <f t="shared" si="3"/>
        <v>44380</v>
      </c>
      <c r="BA19" s="2">
        <f t="shared" si="3"/>
        <v>44381</v>
      </c>
      <c r="BB19" s="2">
        <f t="shared" si="3"/>
        <v>44382</v>
      </c>
      <c r="BC19" s="2">
        <f t="shared" si="3"/>
        <v>44383</v>
      </c>
      <c r="BD19" s="2">
        <f t="shared" si="3"/>
        <v>44384</v>
      </c>
      <c r="BE19" s="2">
        <f t="shared" si="3"/>
        <v>44385</v>
      </c>
      <c r="BF19" s="2">
        <f t="shared" si="3"/>
        <v>44386</v>
      </c>
      <c r="BG19" s="2">
        <f t="shared" si="3"/>
        <v>44387</v>
      </c>
      <c r="BH19" s="2">
        <f t="shared" si="3"/>
        <v>44388</v>
      </c>
      <c r="BI19" s="2">
        <f t="shared" si="3"/>
        <v>44389</v>
      </c>
      <c r="BJ19" s="2">
        <f t="shared" si="3"/>
        <v>44390</v>
      </c>
      <c r="BK19" s="2">
        <f t="shared" si="3"/>
        <v>44391</v>
      </c>
      <c r="BL19" s="2">
        <f t="shared" si="3"/>
        <v>44392</v>
      </c>
      <c r="BM19" s="2">
        <f t="shared" si="3"/>
        <v>44393</v>
      </c>
      <c r="BN19" s="2">
        <f t="shared" si="3"/>
        <v>44394</v>
      </c>
      <c r="BO19" s="2">
        <f t="shared" si="3"/>
        <v>44395</v>
      </c>
      <c r="BP19" s="2">
        <f t="shared" si="3"/>
        <v>44396</v>
      </c>
      <c r="BQ19" s="2">
        <f t="shared" si="3"/>
        <v>44397</v>
      </c>
      <c r="BR19" s="2">
        <f t="shared" ref="BR19:EC19" si="4">BR3</f>
        <v>44398</v>
      </c>
      <c r="BS19" s="2">
        <f t="shared" si="4"/>
        <v>44399</v>
      </c>
      <c r="BT19" s="2">
        <f t="shared" si="4"/>
        <v>44400</v>
      </c>
      <c r="BU19" s="2">
        <f t="shared" si="4"/>
        <v>44401</v>
      </c>
      <c r="BV19" s="2">
        <f t="shared" si="4"/>
        <v>44402</v>
      </c>
      <c r="BW19" s="2">
        <f t="shared" si="4"/>
        <v>44403</v>
      </c>
      <c r="BX19" s="2">
        <f t="shared" si="4"/>
        <v>44404</v>
      </c>
      <c r="BY19" s="2">
        <f t="shared" si="4"/>
        <v>44405</v>
      </c>
      <c r="BZ19" s="2">
        <f t="shared" si="4"/>
        <v>44406</v>
      </c>
      <c r="CA19" s="2">
        <f t="shared" si="4"/>
        <v>44407</v>
      </c>
      <c r="CB19" s="2">
        <f t="shared" si="4"/>
        <v>44408</v>
      </c>
      <c r="CC19" s="2">
        <f t="shared" si="4"/>
        <v>44409</v>
      </c>
      <c r="CD19" s="2">
        <f t="shared" si="4"/>
        <v>44410</v>
      </c>
      <c r="CE19" s="2">
        <f t="shared" si="4"/>
        <v>44411</v>
      </c>
      <c r="CF19" s="2">
        <f t="shared" si="4"/>
        <v>44412</v>
      </c>
      <c r="CG19" s="2">
        <f t="shared" si="4"/>
        <v>44413</v>
      </c>
      <c r="CH19" s="2">
        <f t="shared" si="4"/>
        <v>44414</v>
      </c>
      <c r="CI19" s="2">
        <f t="shared" si="4"/>
        <v>44415</v>
      </c>
      <c r="CJ19" s="2">
        <f t="shared" si="4"/>
        <v>44416</v>
      </c>
      <c r="CK19" s="2">
        <f t="shared" si="4"/>
        <v>44417</v>
      </c>
      <c r="CL19" s="2">
        <f t="shared" si="4"/>
        <v>44418</v>
      </c>
      <c r="CM19" s="2">
        <f t="shared" si="4"/>
        <v>44419</v>
      </c>
      <c r="CN19" s="2">
        <f t="shared" si="4"/>
        <v>44420</v>
      </c>
      <c r="CO19" s="2">
        <f t="shared" si="4"/>
        <v>44421</v>
      </c>
      <c r="CP19" s="2">
        <f t="shared" si="4"/>
        <v>44422</v>
      </c>
      <c r="CQ19" s="2">
        <f t="shared" si="4"/>
        <v>44423</v>
      </c>
      <c r="CR19" s="2">
        <f t="shared" si="4"/>
        <v>44424</v>
      </c>
      <c r="CS19" s="2">
        <f t="shared" si="4"/>
        <v>44425</v>
      </c>
      <c r="CT19" s="2">
        <f t="shared" si="4"/>
        <v>44426</v>
      </c>
      <c r="CU19" s="2">
        <f t="shared" si="4"/>
        <v>44427</v>
      </c>
      <c r="CV19" s="2">
        <f t="shared" si="4"/>
        <v>44428</v>
      </c>
      <c r="CW19" s="2">
        <f t="shared" si="4"/>
        <v>44429</v>
      </c>
      <c r="CX19" s="2">
        <f t="shared" si="4"/>
        <v>44430</v>
      </c>
      <c r="CY19" s="2">
        <f t="shared" si="4"/>
        <v>44431</v>
      </c>
      <c r="CZ19" s="2">
        <f t="shared" si="4"/>
        <v>44432</v>
      </c>
      <c r="DA19" s="2">
        <f t="shared" si="4"/>
        <v>44433</v>
      </c>
      <c r="DB19" s="2">
        <f t="shared" si="4"/>
        <v>44434</v>
      </c>
      <c r="DC19" s="2">
        <f t="shared" si="4"/>
        <v>44435</v>
      </c>
      <c r="DD19" s="2">
        <f t="shared" si="4"/>
        <v>44436</v>
      </c>
      <c r="DE19" s="2">
        <f t="shared" si="4"/>
        <v>44437</v>
      </c>
      <c r="DF19" s="2">
        <f t="shared" si="4"/>
        <v>44438</v>
      </c>
      <c r="DG19" s="2">
        <f t="shared" si="4"/>
        <v>44439</v>
      </c>
      <c r="DH19" s="2">
        <f t="shared" si="4"/>
        <v>44440</v>
      </c>
      <c r="DI19" s="2">
        <f t="shared" si="4"/>
        <v>44441</v>
      </c>
      <c r="DJ19" s="2">
        <f t="shared" si="4"/>
        <v>44442</v>
      </c>
      <c r="DK19" s="2">
        <f t="shared" si="4"/>
        <v>44443</v>
      </c>
      <c r="DL19" s="2">
        <f t="shared" si="4"/>
        <v>44444</v>
      </c>
      <c r="DM19" s="2">
        <f t="shared" si="4"/>
        <v>44445</v>
      </c>
      <c r="DN19" s="2">
        <f t="shared" si="4"/>
        <v>44446</v>
      </c>
      <c r="DO19" s="2">
        <f t="shared" si="4"/>
        <v>44447</v>
      </c>
      <c r="DP19" s="2">
        <f t="shared" si="4"/>
        <v>44448</v>
      </c>
      <c r="DQ19" s="2">
        <f t="shared" si="4"/>
        <v>44449</v>
      </c>
      <c r="DR19" s="2">
        <f t="shared" si="4"/>
        <v>44450</v>
      </c>
      <c r="DS19" s="2">
        <f t="shared" si="4"/>
        <v>44451</v>
      </c>
      <c r="DT19" s="2">
        <f t="shared" si="4"/>
        <v>44452</v>
      </c>
      <c r="DU19" s="2">
        <f t="shared" si="4"/>
        <v>44453</v>
      </c>
      <c r="DV19" s="2">
        <f t="shared" si="4"/>
        <v>44454</v>
      </c>
      <c r="DW19" s="2">
        <f t="shared" si="4"/>
        <v>44455</v>
      </c>
      <c r="DX19" s="2">
        <f t="shared" si="4"/>
        <v>44456</v>
      </c>
      <c r="DY19" s="2">
        <f t="shared" si="4"/>
        <v>44457</v>
      </c>
      <c r="DZ19" s="2">
        <f t="shared" si="4"/>
        <v>44458</v>
      </c>
      <c r="EA19" s="2">
        <f t="shared" si="4"/>
        <v>44459</v>
      </c>
      <c r="EB19" s="2">
        <f t="shared" si="4"/>
        <v>44460</v>
      </c>
      <c r="EC19" s="2">
        <f t="shared" si="4"/>
        <v>44461</v>
      </c>
      <c r="ED19" s="2">
        <f t="shared" ref="ED19:FU19" si="5">ED3</f>
        <v>44462</v>
      </c>
      <c r="EE19" s="2">
        <f t="shared" si="5"/>
        <v>44463</v>
      </c>
      <c r="EF19" s="2">
        <f t="shared" si="5"/>
        <v>44464</v>
      </c>
      <c r="EG19" s="2">
        <f t="shared" si="5"/>
        <v>44465</v>
      </c>
      <c r="EH19" s="2">
        <f t="shared" si="5"/>
        <v>44466</v>
      </c>
      <c r="EI19" s="2">
        <f t="shared" si="5"/>
        <v>44467</v>
      </c>
      <c r="EJ19" s="2">
        <f t="shared" si="5"/>
        <v>44468</v>
      </c>
      <c r="EK19" s="2">
        <f t="shared" si="5"/>
        <v>44469</v>
      </c>
      <c r="EL19" s="2">
        <f t="shared" si="5"/>
        <v>44470</v>
      </c>
      <c r="EM19" s="2">
        <f t="shared" si="5"/>
        <v>44471</v>
      </c>
      <c r="EN19" s="2">
        <f t="shared" si="5"/>
        <v>44472</v>
      </c>
      <c r="EO19" s="2">
        <f t="shared" si="5"/>
        <v>44473</v>
      </c>
      <c r="EP19" s="2">
        <f t="shared" si="5"/>
        <v>44474</v>
      </c>
      <c r="EQ19" s="2">
        <f t="shared" si="5"/>
        <v>44475</v>
      </c>
      <c r="ER19" s="2">
        <f t="shared" si="5"/>
        <v>44476</v>
      </c>
      <c r="ES19" s="2">
        <f t="shared" si="5"/>
        <v>44477</v>
      </c>
      <c r="ET19" s="2">
        <f t="shared" si="5"/>
        <v>44478</v>
      </c>
      <c r="EU19" s="2">
        <f t="shared" si="5"/>
        <v>44479</v>
      </c>
      <c r="EV19" s="2">
        <f t="shared" si="5"/>
        <v>44480</v>
      </c>
      <c r="EW19" s="2">
        <f t="shared" si="5"/>
        <v>44481</v>
      </c>
      <c r="EX19" s="2">
        <f t="shared" si="5"/>
        <v>44482</v>
      </c>
      <c r="EY19" s="2">
        <f t="shared" si="5"/>
        <v>44483</v>
      </c>
      <c r="EZ19" s="2">
        <f t="shared" si="5"/>
        <v>44484</v>
      </c>
      <c r="FA19" s="2">
        <f t="shared" si="5"/>
        <v>44485</v>
      </c>
      <c r="FB19" s="2">
        <f t="shared" si="5"/>
        <v>44486</v>
      </c>
      <c r="FC19" s="2">
        <f t="shared" si="5"/>
        <v>44487</v>
      </c>
      <c r="FD19" s="2">
        <f t="shared" si="5"/>
        <v>44488</v>
      </c>
      <c r="FE19" s="2">
        <f t="shared" si="5"/>
        <v>44489</v>
      </c>
      <c r="FF19" s="2">
        <f t="shared" si="5"/>
        <v>44490</v>
      </c>
      <c r="FG19" s="2">
        <f t="shared" si="5"/>
        <v>44491</v>
      </c>
      <c r="FH19" s="2">
        <f t="shared" si="5"/>
        <v>44492</v>
      </c>
      <c r="FI19" s="2">
        <f t="shared" si="5"/>
        <v>44493</v>
      </c>
      <c r="FJ19" s="2">
        <f t="shared" si="5"/>
        <v>44494</v>
      </c>
      <c r="FK19" s="2">
        <f t="shared" si="5"/>
        <v>44495</v>
      </c>
      <c r="FL19" s="2">
        <f t="shared" si="5"/>
        <v>44496</v>
      </c>
      <c r="FM19" s="2">
        <f t="shared" si="5"/>
        <v>44497</v>
      </c>
      <c r="FN19" s="2">
        <f t="shared" si="5"/>
        <v>44498</v>
      </c>
      <c r="FO19" s="2">
        <f t="shared" si="5"/>
        <v>44499</v>
      </c>
      <c r="FP19" s="2">
        <f t="shared" si="5"/>
        <v>44500</v>
      </c>
      <c r="FQ19" s="2">
        <f t="shared" si="5"/>
        <v>44501</v>
      </c>
      <c r="FR19" s="2">
        <f t="shared" si="5"/>
        <v>44502</v>
      </c>
      <c r="FS19" s="2">
        <f t="shared" si="5"/>
        <v>44503</v>
      </c>
      <c r="FT19" s="2">
        <f t="shared" si="5"/>
        <v>44504</v>
      </c>
      <c r="FU19" s="2">
        <f t="shared" si="5"/>
        <v>44505</v>
      </c>
    </row>
    <row r="20" spans="1:177" x14ac:dyDescent="0.25">
      <c r="A20" t="str">
        <f>A4</f>
        <v>M4A4</v>
      </c>
      <c r="B20" t="str">
        <f t="shared" ref="B20:D20" si="6">B4</f>
        <v>StatTrak Cyber Security MW</v>
      </c>
      <c r="C20" t="str">
        <f t="shared" si="6"/>
        <v>M4A4</v>
      </c>
      <c r="D20" t="str">
        <f t="shared" si="6"/>
        <v>Broken Fang</v>
      </c>
      <c r="E20">
        <f>E4-ROUNDUP(E4*0.3,2)</f>
        <v>23.240000000000002</v>
      </c>
      <c r="F20">
        <f t="shared" ref="F20:BQ21" si="7">F4-ROUNDUP(F4*0.3,2)</f>
        <v>22.15</v>
      </c>
      <c r="G20">
        <f t="shared" si="7"/>
        <v>20.420000000000002</v>
      </c>
      <c r="H20">
        <f t="shared" si="7"/>
        <v>22.21</v>
      </c>
      <c r="I20">
        <f t="shared" si="7"/>
        <v>20.54</v>
      </c>
      <c r="J20">
        <f t="shared" si="7"/>
        <v>21.21</v>
      </c>
      <c r="K20">
        <f t="shared" si="7"/>
        <v>21.52</v>
      </c>
      <c r="L20">
        <f t="shared" si="7"/>
        <v>20.16</v>
      </c>
      <c r="M20">
        <f t="shared" si="7"/>
        <v>21.15</v>
      </c>
      <c r="N20">
        <f t="shared" si="7"/>
        <v>20.159999999999997</v>
      </c>
      <c r="O20">
        <f t="shared" si="7"/>
        <v>20.080000000000002</v>
      </c>
      <c r="P20">
        <f t="shared" si="7"/>
        <v>19.540000000000003</v>
      </c>
      <c r="Q20">
        <f t="shared" si="7"/>
        <v>20.200000000000003</v>
      </c>
      <c r="R20">
        <f t="shared" si="7"/>
        <v>20.99</v>
      </c>
      <c r="S20">
        <f t="shared" si="7"/>
        <v>20.229999999999997</v>
      </c>
      <c r="T20">
        <f t="shared" si="7"/>
        <v>20.380000000000003</v>
      </c>
      <c r="U20">
        <f t="shared" si="7"/>
        <v>20.73</v>
      </c>
      <c r="V20">
        <f t="shared" si="7"/>
        <v>19.98</v>
      </c>
      <c r="W20">
        <f t="shared" si="7"/>
        <v>20.41</v>
      </c>
      <c r="X20">
        <f t="shared" si="7"/>
        <v>20.34</v>
      </c>
      <c r="Y20">
        <f t="shared" si="7"/>
        <v>20.32</v>
      </c>
      <c r="Z20">
        <f t="shared" si="7"/>
        <v>0</v>
      </c>
      <c r="AA20">
        <f t="shared" si="7"/>
        <v>0</v>
      </c>
      <c r="AB20">
        <f t="shared" si="7"/>
        <v>0</v>
      </c>
      <c r="AC20">
        <f t="shared" si="7"/>
        <v>0</v>
      </c>
      <c r="AD20">
        <f t="shared" si="7"/>
        <v>0</v>
      </c>
      <c r="AE20">
        <f t="shared" si="7"/>
        <v>0</v>
      </c>
      <c r="AF20">
        <f t="shared" si="7"/>
        <v>0</v>
      </c>
      <c r="AG20">
        <f t="shared" si="7"/>
        <v>0</v>
      </c>
      <c r="AH20">
        <f t="shared" si="7"/>
        <v>0</v>
      </c>
      <c r="AI20">
        <f t="shared" si="7"/>
        <v>0</v>
      </c>
      <c r="AJ20">
        <f t="shared" si="7"/>
        <v>0</v>
      </c>
      <c r="AK20">
        <f t="shared" si="7"/>
        <v>0</v>
      </c>
      <c r="AL20">
        <f t="shared" si="7"/>
        <v>0</v>
      </c>
      <c r="AM20">
        <f t="shared" si="7"/>
        <v>0</v>
      </c>
      <c r="AN20">
        <f t="shared" si="7"/>
        <v>0</v>
      </c>
      <c r="AO20">
        <f t="shared" si="7"/>
        <v>0</v>
      </c>
      <c r="AP20">
        <f t="shared" si="7"/>
        <v>0</v>
      </c>
      <c r="AQ20">
        <f t="shared" si="7"/>
        <v>0</v>
      </c>
      <c r="AR20">
        <f t="shared" si="7"/>
        <v>0</v>
      </c>
      <c r="AS20">
        <f t="shared" si="7"/>
        <v>0</v>
      </c>
      <c r="AT20">
        <f t="shared" si="7"/>
        <v>0</v>
      </c>
      <c r="AU20">
        <f t="shared" si="7"/>
        <v>0</v>
      </c>
      <c r="AV20">
        <f t="shared" si="7"/>
        <v>0</v>
      </c>
      <c r="AW20">
        <f t="shared" si="7"/>
        <v>0</v>
      </c>
      <c r="AX20">
        <f t="shared" si="7"/>
        <v>0</v>
      </c>
      <c r="AY20">
        <f t="shared" si="7"/>
        <v>0</v>
      </c>
      <c r="AZ20">
        <f t="shared" si="7"/>
        <v>0</v>
      </c>
      <c r="BA20">
        <f t="shared" si="7"/>
        <v>0</v>
      </c>
      <c r="BB20">
        <f t="shared" si="7"/>
        <v>0</v>
      </c>
      <c r="BC20">
        <f t="shared" si="7"/>
        <v>0</v>
      </c>
      <c r="BD20">
        <f t="shared" si="7"/>
        <v>0</v>
      </c>
      <c r="BE20">
        <f t="shared" si="7"/>
        <v>0</v>
      </c>
      <c r="BF20">
        <f t="shared" si="7"/>
        <v>0</v>
      </c>
      <c r="BG20">
        <f t="shared" si="7"/>
        <v>0</v>
      </c>
      <c r="BH20">
        <f t="shared" si="7"/>
        <v>0</v>
      </c>
      <c r="BI20">
        <f t="shared" si="7"/>
        <v>0</v>
      </c>
      <c r="BJ20">
        <f t="shared" si="7"/>
        <v>0</v>
      </c>
      <c r="BK20">
        <f t="shared" si="7"/>
        <v>0</v>
      </c>
      <c r="BL20">
        <f t="shared" si="7"/>
        <v>0</v>
      </c>
      <c r="BM20">
        <f t="shared" si="7"/>
        <v>0</v>
      </c>
      <c r="BN20">
        <f t="shared" si="7"/>
        <v>0</v>
      </c>
      <c r="BO20">
        <f t="shared" si="7"/>
        <v>0</v>
      </c>
      <c r="BP20">
        <f t="shared" si="7"/>
        <v>0</v>
      </c>
      <c r="BQ20">
        <f t="shared" si="7"/>
        <v>0</v>
      </c>
      <c r="BR20">
        <f t="shared" ref="BR20:EC23" si="8">BR4-ROUNDUP(BR4*0.3,2)</f>
        <v>0</v>
      </c>
      <c r="BS20">
        <f t="shared" si="8"/>
        <v>0</v>
      </c>
      <c r="BT20">
        <f t="shared" si="8"/>
        <v>0</v>
      </c>
      <c r="BU20">
        <f t="shared" si="8"/>
        <v>0</v>
      </c>
      <c r="BV20">
        <f t="shared" si="8"/>
        <v>0</v>
      </c>
      <c r="BW20">
        <f t="shared" si="8"/>
        <v>0</v>
      </c>
      <c r="BX20">
        <f t="shared" si="8"/>
        <v>0</v>
      </c>
      <c r="BY20">
        <f t="shared" si="8"/>
        <v>0</v>
      </c>
      <c r="BZ20">
        <f t="shared" si="8"/>
        <v>0</v>
      </c>
      <c r="CA20">
        <f t="shared" si="8"/>
        <v>0</v>
      </c>
      <c r="CB20">
        <f t="shared" si="8"/>
        <v>0</v>
      </c>
      <c r="CC20">
        <f t="shared" si="8"/>
        <v>0</v>
      </c>
      <c r="CD20">
        <f t="shared" si="8"/>
        <v>0</v>
      </c>
      <c r="CE20">
        <f t="shared" si="8"/>
        <v>0</v>
      </c>
      <c r="CF20">
        <f t="shared" si="8"/>
        <v>0</v>
      </c>
      <c r="CG20">
        <f t="shared" si="8"/>
        <v>0</v>
      </c>
      <c r="CH20">
        <f t="shared" si="8"/>
        <v>0</v>
      </c>
      <c r="CI20">
        <f t="shared" si="8"/>
        <v>0</v>
      </c>
      <c r="CJ20">
        <f t="shared" si="8"/>
        <v>0</v>
      </c>
      <c r="CK20">
        <f t="shared" si="8"/>
        <v>0</v>
      </c>
      <c r="CL20">
        <f t="shared" si="8"/>
        <v>0</v>
      </c>
      <c r="CM20">
        <f t="shared" si="8"/>
        <v>0</v>
      </c>
      <c r="CN20">
        <f t="shared" si="8"/>
        <v>0</v>
      </c>
      <c r="CO20">
        <f t="shared" si="8"/>
        <v>0</v>
      </c>
      <c r="CP20">
        <f t="shared" si="8"/>
        <v>0</v>
      </c>
      <c r="CQ20">
        <f t="shared" si="8"/>
        <v>0</v>
      </c>
      <c r="CR20">
        <f t="shared" si="8"/>
        <v>0</v>
      </c>
      <c r="CS20">
        <f t="shared" si="8"/>
        <v>0</v>
      </c>
      <c r="CT20">
        <f t="shared" si="8"/>
        <v>0</v>
      </c>
      <c r="CU20">
        <f t="shared" si="8"/>
        <v>0</v>
      </c>
      <c r="CV20">
        <f t="shared" si="8"/>
        <v>0</v>
      </c>
      <c r="CW20">
        <f t="shared" si="8"/>
        <v>0</v>
      </c>
      <c r="CX20">
        <f t="shared" si="8"/>
        <v>0</v>
      </c>
      <c r="CY20">
        <f t="shared" si="8"/>
        <v>0</v>
      </c>
      <c r="CZ20">
        <f t="shared" si="8"/>
        <v>0</v>
      </c>
      <c r="DA20">
        <f t="shared" si="8"/>
        <v>0</v>
      </c>
      <c r="DB20">
        <f t="shared" si="8"/>
        <v>0</v>
      </c>
      <c r="DC20">
        <f t="shared" si="8"/>
        <v>0</v>
      </c>
      <c r="DD20">
        <f t="shared" si="8"/>
        <v>0</v>
      </c>
      <c r="DE20">
        <f t="shared" si="8"/>
        <v>0</v>
      </c>
      <c r="DF20">
        <f t="shared" si="8"/>
        <v>0</v>
      </c>
      <c r="DG20">
        <f t="shared" si="8"/>
        <v>0</v>
      </c>
      <c r="DH20">
        <f t="shared" si="8"/>
        <v>0</v>
      </c>
      <c r="DI20">
        <f t="shared" si="8"/>
        <v>0</v>
      </c>
      <c r="DJ20">
        <f t="shared" si="8"/>
        <v>0</v>
      </c>
      <c r="DK20">
        <f t="shared" si="8"/>
        <v>0</v>
      </c>
      <c r="DL20">
        <f t="shared" si="8"/>
        <v>0</v>
      </c>
      <c r="DM20">
        <f t="shared" si="8"/>
        <v>0</v>
      </c>
      <c r="DN20">
        <f t="shared" si="8"/>
        <v>0</v>
      </c>
      <c r="DO20">
        <f t="shared" si="8"/>
        <v>0</v>
      </c>
      <c r="DP20">
        <f t="shared" si="8"/>
        <v>0</v>
      </c>
      <c r="DQ20">
        <f t="shared" si="8"/>
        <v>0</v>
      </c>
      <c r="DR20">
        <f t="shared" si="8"/>
        <v>0</v>
      </c>
      <c r="DS20">
        <f t="shared" si="8"/>
        <v>0</v>
      </c>
      <c r="DT20">
        <f t="shared" si="8"/>
        <v>0</v>
      </c>
      <c r="DU20">
        <f t="shared" si="8"/>
        <v>0</v>
      </c>
      <c r="DV20">
        <f t="shared" si="8"/>
        <v>0</v>
      </c>
      <c r="DW20">
        <f t="shared" si="8"/>
        <v>0</v>
      </c>
      <c r="DX20">
        <f t="shared" si="8"/>
        <v>0</v>
      </c>
      <c r="DY20">
        <f t="shared" si="8"/>
        <v>0</v>
      </c>
      <c r="DZ20">
        <f t="shared" si="8"/>
        <v>0</v>
      </c>
      <c r="EA20">
        <f t="shared" si="8"/>
        <v>0</v>
      </c>
      <c r="EB20">
        <f t="shared" si="8"/>
        <v>0</v>
      </c>
      <c r="EC20">
        <f t="shared" si="8"/>
        <v>0</v>
      </c>
      <c r="ED20">
        <f t="shared" ref="ED20:FU22" si="9">ED4-ROUNDUP(ED4*0.3,2)</f>
        <v>0</v>
      </c>
      <c r="EE20">
        <f t="shared" si="9"/>
        <v>0</v>
      </c>
      <c r="EF20">
        <f t="shared" si="9"/>
        <v>0</v>
      </c>
      <c r="EG20">
        <f t="shared" si="9"/>
        <v>0</v>
      </c>
      <c r="EH20">
        <f t="shared" si="9"/>
        <v>0</v>
      </c>
      <c r="EI20">
        <f t="shared" si="9"/>
        <v>0</v>
      </c>
      <c r="EJ20">
        <f t="shared" si="9"/>
        <v>0</v>
      </c>
      <c r="EK20">
        <f t="shared" si="9"/>
        <v>0</v>
      </c>
      <c r="EL20">
        <f t="shared" si="9"/>
        <v>0</v>
      </c>
      <c r="EM20">
        <f t="shared" si="9"/>
        <v>0</v>
      </c>
      <c r="EN20">
        <f t="shared" si="9"/>
        <v>0</v>
      </c>
      <c r="EO20">
        <f t="shared" si="9"/>
        <v>0</v>
      </c>
      <c r="EP20">
        <f t="shared" si="9"/>
        <v>0</v>
      </c>
      <c r="EQ20">
        <f t="shared" si="9"/>
        <v>0</v>
      </c>
      <c r="ER20">
        <f t="shared" si="9"/>
        <v>0</v>
      </c>
      <c r="ES20">
        <f t="shared" si="9"/>
        <v>0</v>
      </c>
      <c r="ET20">
        <f t="shared" si="9"/>
        <v>0</v>
      </c>
      <c r="EU20">
        <f t="shared" si="9"/>
        <v>0</v>
      </c>
      <c r="EV20">
        <f t="shared" si="9"/>
        <v>0</v>
      </c>
      <c r="EW20">
        <f t="shared" si="9"/>
        <v>0</v>
      </c>
      <c r="EX20">
        <f t="shared" si="9"/>
        <v>0</v>
      </c>
      <c r="EY20">
        <f t="shared" si="9"/>
        <v>0</v>
      </c>
      <c r="EZ20">
        <f t="shared" si="9"/>
        <v>0</v>
      </c>
      <c r="FA20">
        <f t="shared" si="9"/>
        <v>0</v>
      </c>
      <c r="FB20">
        <f t="shared" si="9"/>
        <v>0</v>
      </c>
      <c r="FC20">
        <f t="shared" si="9"/>
        <v>0</v>
      </c>
      <c r="FD20">
        <f t="shared" si="9"/>
        <v>0</v>
      </c>
      <c r="FE20">
        <f t="shared" si="9"/>
        <v>0</v>
      </c>
      <c r="FF20">
        <f t="shared" si="9"/>
        <v>0</v>
      </c>
      <c r="FG20">
        <f t="shared" si="9"/>
        <v>0</v>
      </c>
      <c r="FH20">
        <f t="shared" si="9"/>
        <v>0</v>
      </c>
      <c r="FI20">
        <f t="shared" si="9"/>
        <v>0</v>
      </c>
      <c r="FJ20">
        <f t="shared" si="9"/>
        <v>0</v>
      </c>
      <c r="FK20">
        <f t="shared" si="9"/>
        <v>0</v>
      </c>
      <c r="FL20">
        <f t="shared" si="9"/>
        <v>0</v>
      </c>
      <c r="FM20">
        <f t="shared" si="9"/>
        <v>0</v>
      </c>
      <c r="FN20">
        <f t="shared" si="9"/>
        <v>0</v>
      </c>
      <c r="FO20">
        <f t="shared" si="9"/>
        <v>0</v>
      </c>
      <c r="FP20">
        <f t="shared" si="9"/>
        <v>0</v>
      </c>
      <c r="FQ20">
        <f t="shared" si="9"/>
        <v>0</v>
      </c>
      <c r="FR20">
        <f t="shared" si="9"/>
        <v>0</v>
      </c>
      <c r="FS20">
        <f t="shared" si="9"/>
        <v>0</v>
      </c>
      <c r="FT20">
        <f t="shared" si="9"/>
        <v>0</v>
      </c>
      <c r="FU20">
        <f t="shared" si="9"/>
        <v>0</v>
      </c>
    </row>
    <row r="21" spans="1:177" x14ac:dyDescent="0.25">
      <c r="A21" t="str">
        <f t="shared" ref="A21:D21" si="10">A5</f>
        <v>M4A4</v>
      </c>
      <c r="B21" t="str">
        <f t="shared" si="10"/>
        <v>The Battlestar FN</v>
      </c>
      <c r="C21" t="str">
        <f t="shared" si="10"/>
        <v>M4A4</v>
      </c>
      <c r="D21" t="str">
        <f t="shared" si="10"/>
        <v>Wildfire</v>
      </c>
      <c r="E21">
        <f t="shared" ref="E21:T27" si="11">E5-ROUNDUP(E5*0.3,2)</f>
        <v>10.16</v>
      </c>
      <c r="F21">
        <f t="shared" si="11"/>
        <v>9.2799999999999994</v>
      </c>
      <c r="G21">
        <f t="shared" si="11"/>
        <v>9.2799999999999994</v>
      </c>
      <c r="H21">
        <f t="shared" si="11"/>
        <v>9.8699999999999992</v>
      </c>
      <c r="I21">
        <f t="shared" si="11"/>
        <v>9.84</v>
      </c>
      <c r="J21">
        <f t="shared" si="11"/>
        <v>9.98</v>
      </c>
      <c r="K21">
        <f t="shared" si="11"/>
        <v>9.68</v>
      </c>
      <c r="L21">
        <f t="shared" si="11"/>
        <v>9.33</v>
      </c>
      <c r="M21">
        <f t="shared" si="11"/>
        <v>8.74</v>
      </c>
      <c r="N21">
        <f t="shared" si="11"/>
        <v>8.99</v>
      </c>
      <c r="O21">
        <f t="shared" si="11"/>
        <v>8.73</v>
      </c>
      <c r="P21">
        <f t="shared" si="11"/>
        <v>9.4499999999999993</v>
      </c>
      <c r="Q21">
        <f t="shared" si="11"/>
        <v>9.4699999999999989</v>
      </c>
      <c r="R21">
        <f t="shared" si="11"/>
        <v>9.4699999999999989</v>
      </c>
      <c r="S21">
        <f t="shared" si="11"/>
        <v>9.9500000000000011</v>
      </c>
      <c r="T21">
        <f t="shared" si="11"/>
        <v>9.4699999999999989</v>
      </c>
      <c r="U21">
        <f t="shared" si="7"/>
        <v>9.23</v>
      </c>
      <c r="V21">
        <f t="shared" si="7"/>
        <v>9.56</v>
      </c>
      <c r="W21">
        <f t="shared" si="7"/>
        <v>8.879999999999999</v>
      </c>
      <c r="X21">
        <f t="shared" si="7"/>
        <v>9.56</v>
      </c>
      <c r="Y21">
        <f t="shared" si="7"/>
        <v>9.2799999999999994</v>
      </c>
      <c r="Z21">
        <f t="shared" si="7"/>
        <v>0</v>
      </c>
      <c r="AA21">
        <f t="shared" si="7"/>
        <v>0</v>
      </c>
      <c r="AB21">
        <f t="shared" si="7"/>
        <v>0</v>
      </c>
      <c r="AC21">
        <f t="shared" si="7"/>
        <v>0</v>
      </c>
      <c r="AD21">
        <f t="shared" si="7"/>
        <v>0</v>
      </c>
      <c r="AE21">
        <f t="shared" si="7"/>
        <v>0</v>
      </c>
      <c r="AF21">
        <f t="shared" si="7"/>
        <v>0</v>
      </c>
      <c r="AG21">
        <f t="shared" si="7"/>
        <v>0</v>
      </c>
      <c r="AH21">
        <f t="shared" si="7"/>
        <v>0</v>
      </c>
      <c r="AI21">
        <f t="shared" si="7"/>
        <v>0</v>
      </c>
      <c r="AJ21">
        <f t="shared" si="7"/>
        <v>0</v>
      </c>
      <c r="AK21">
        <f t="shared" si="7"/>
        <v>0</v>
      </c>
      <c r="AL21">
        <f t="shared" si="7"/>
        <v>0</v>
      </c>
      <c r="AM21">
        <f t="shared" si="7"/>
        <v>0</v>
      </c>
      <c r="AN21">
        <f t="shared" si="7"/>
        <v>0</v>
      </c>
      <c r="AO21">
        <f t="shared" si="7"/>
        <v>0</v>
      </c>
      <c r="AP21">
        <f t="shared" si="7"/>
        <v>0</v>
      </c>
      <c r="AQ21">
        <f t="shared" si="7"/>
        <v>0</v>
      </c>
      <c r="AR21">
        <f t="shared" si="7"/>
        <v>0</v>
      </c>
      <c r="AS21">
        <f t="shared" si="7"/>
        <v>0</v>
      </c>
      <c r="AT21">
        <f t="shared" si="7"/>
        <v>0</v>
      </c>
      <c r="AU21">
        <f t="shared" si="7"/>
        <v>0</v>
      </c>
      <c r="AV21">
        <f t="shared" si="7"/>
        <v>0</v>
      </c>
      <c r="AW21">
        <f t="shared" si="7"/>
        <v>0</v>
      </c>
      <c r="AX21">
        <f t="shared" si="7"/>
        <v>0</v>
      </c>
      <c r="AY21">
        <f t="shared" si="7"/>
        <v>0</v>
      </c>
      <c r="AZ21">
        <f t="shared" si="7"/>
        <v>0</v>
      </c>
      <c r="BA21">
        <f t="shared" si="7"/>
        <v>0</v>
      </c>
      <c r="BB21">
        <f t="shared" si="7"/>
        <v>0</v>
      </c>
      <c r="BC21">
        <f t="shared" si="7"/>
        <v>0</v>
      </c>
      <c r="BD21">
        <f t="shared" si="7"/>
        <v>0</v>
      </c>
      <c r="BE21">
        <f t="shared" si="7"/>
        <v>0</v>
      </c>
      <c r="BF21">
        <f t="shared" si="7"/>
        <v>0</v>
      </c>
      <c r="BG21">
        <f t="shared" si="7"/>
        <v>0</v>
      </c>
      <c r="BH21">
        <f t="shared" si="7"/>
        <v>0</v>
      </c>
      <c r="BI21">
        <f t="shared" si="7"/>
        <v>0</v>
      </c>
      <c r="BJ21">
        <f t="shared" si="7"/>
        <v>0</v>
      </c>
      <c r="BK21">
        <f t="shared" si="7"/>
        <v>0</v>
      </c>
      <c r="BL21">
        <f t="shared" si="7"/>
        <v>0</v>
      </c>
      <c r="BM21">
        <f t="shared" si="7"/>
        <v>0</v>
      </c>
      <c r="BN21">
        <f t="shared" si="7"/>
        <v>0</v>
      </c>
      <c r="BO21">
        <f t="shared" si="7"/>
        <v>0</v>
      </c>
      <c r="BP21">
        <f t="shared" si="7"/>
        <v>0</v>
      </c>
      <c r="BQ21">
        <f t="shared" si="7"/>
        <v>0</v>
      </c>
      <c r="BR21">
        <f t="shared" si="8"/>
        <v>0</v>
      </c>
      <c r="BS21">
        <f t="shared" si="8"/>
        <v>0</v>
      </c>
      <c r="BT21">
        <f t="shared" si="8"/>
        <v>0</v>
      </c>
      <c r="BU21">
        <f t="shared" si="8"/>
        <v>0</v>
      </c>
      <c r="BV21">
        <f t="shared" si="8"/>
        <v>0</v>
      </c>
      <c r="BW21">
        <f t="shared" si="8"/>
        <v>0</v>
      </c>
      <c r="BX21">
        <f t="shared" si="8"/>
        <v>0</v>
      </c>
      <c r="BY21">
        <f t="shared" si="8"/>
        <v>0</v>
      </c>
      <c r="BZ21">
        <f t="shared" si="8"/>
        <v>0</v>
      </c>
      <c r="CA21">
        <f t="shared" si="8"/>
        <v>0</v>
      </c>
      <c r="CB21">
        <f t="shared" si="8"/>
        <v>0</v>
      </c>
      <c r="CC21">
        <f t="shared" si="8"/>
        <v>0</v>
      </c>
      <c r="CD21">
        <f t="shared" si="8"/>
        <v>0</v>
      </c>
      <c r="CE21">
        <f t="shared" si="8"/>
        <v>0</v>
      </c>
      <c r="CF21">
        <f t="shared" si="8"/>
        <v>0</v>
      </c>
      <c r="CG21">
        <f t="shared" si="8"/>
        <v>0</v>
      </c>
      <c r="CH21">
        <f t="shared" si="8"/>
        <v>0</v>
      </c>
      <c r="CI21">
        <f t="shared" si="8"/>
        <v>0</v>
      </c>
      <c r="CJ21">
        <f t="shared" si="8"/>
        <v>0</v>
      </c>
      <c r="CK21">
        <f t="shared" si="8"/>
        <v>0</v>
      </c>
      <c r="CL21">
        <f t="shared" si="8"/>
        <v>0</v>
      </c>
      <c r="CM21">
        <f t="shared" si="8"/>
        <v>0</v>
      </c>
      <c r="CN21">
        <f t="shared" si="8"/>
        <v>0</v>
      </c>
      <c r="CO21">
        <f t="shared" si="8"/>
        <v>0</v>
      </c>
      <c r="CP21">
        <f t="shared" si="8"/>
        <v>0</v>
      </c>
      <c r="CQ21">
        <f t="shared" si="8"/>
        <v>0</v>
      </c>
      <c r="CR21">
        <f t="shared" si="8"/>
        <v>0</v>
      </c>
      <c r="CS21">
        <f t="shared" si="8"/>
        <v>0</v>
      </c>
      <c r="CT21">
        <f t="shared" si="8"/>
        <v>0</v>
      </c>
      <c r="CU21">
        <f t="shared" si="8"/>
        <v>0</v>
      </c>
      <c r="CV21">
        <f t="shared" si="8"/>
        <v>0</v>
      </c>
      <c r="CW21">
        <f t="shared" si="8"/>
        <v>0</v>
      </c>
      <c r="CX21">
        <f t="shared" si="8"/>
        <v>0</v>
      </c>
      <c r="CY21">
        <f t="shared" si="8"/>
        <v>0</v>
      </c>
      <c r="CZ21">
        <f t="shared" si="8"/>
        <v>0</v>
      </c>
      <c r="DA21">
        <f t="shared" si="8"/>
        <v>0</v>
      </c>
      <c r="DB21">
        <f t="shared" si="8"/>
        <v>0</v>
      </c>
      <c r="DC21">
        <f t="shared" si="8"/>
        <v>0</v>
      </c>
      <c r="DD21">
        <f t="shared" si="8"/>
        <v>0</v>
      </c>
      <c r="DE21">
        <f t="shared" si="8"/>
        <v>0</v>
      </c>
      <c r="DF21">
        <f t="shared" si="8"/>
        <v>0</v>
      </c>
      <c r="DG21">
        <f t="shared" si="8"/>
        <v>0</v>
      </c>
      <c r="DH21">
        <f t="shared" si="8"/>
        <v>0</v>
      </c>
      <c r="DI21">
        <f t="shared" si="8"/>
        <v>0</v>
      </c>
      <c r="DJ21">
        <f t="shared" si="8"/>
        <v>0</v>
      </c>
      <c r="DK21">
        <f t="shared" si="8"/>
        <v>0</v>
      </c>
      <c r="DL21">
        <f t="shared" si="8"/>
        <v>0</v>
      </c>
      <c r="DM21">
        <f t="shared" si="8"/>
        <v>0</v>
      </c>
      <c r="DN21">
        <f t="shared" si="8"/>
        <v>0</v>
      </c>
      <c r="DO21">
        <f t="shared" si="8"/>
        <v>0</v>
      </c>
      <c r="DP21">
        <f t="shared" si="8"/>
        <v>0</v>
      </c>
      <c r="DQ21">
        <f t="shared" si="8"/>
        <v>0</v>
      </c>
      <c r="DR21">
        <f t="shared" si="8"/>
        <v>0</v>
      </c>
      <c r="DS21">
        <f t="shared" si="8"/>
        <v>0</v>
      </c>
      <c r="DT21">
        <f t="shared" si="8"/>
        <v>0</v>
      </c>
      <c r="DU21">
        <f t="shared" si="8"/>
        <v>0</v>
      </c>
      <c r="DV21">
        <f t="shared" si="8"/>
        <v>0</v>
      </c>
      <c r="DW21">
        <f t="shared" si="8"/>
        <v>0</v>
      </c>
      <c r="DX21">
        <f t="shared" si="8"/>
        <v>0</v>
      </c>
      <c r="DY21">
        <f t="shared" si="8"/>
        <v>0</v>
      </c>
      <c r="DZ21">
        <f t="shared" si="8"/>
        <v>0</v>
      </c>
      <c r="EA21">
        <f t="shared" si="8"/>
        <v>0</v>
      </c>
      <c r="EB21">
        <f t="shared" si="8"/>
        <v>0</v>
      </c>
      <c r="EC21">
        <f t="shared" si="8"/>
        <v>0</v>
      </c>
      <c r="ED21">
        <f t="shared" si="9"/>
        <v>0</v>
      </c>
      <c r="EE21">
        <f t="shared" si="9"/>
        <v>0</v>
      </c>
      <c r="EF21">
        <f t="shared" si="9"/>
        <v>0</v>
      </c>
      <c r="EG21">
        <f t="shared" si="9"/>
        <v>0</v>
      </c>
      <c r="EH21">
        <f t="shared" si="9"/>
        <v>0</v>
      </c>
      <c r="EI21">
        <f t="shared" si="9"/>
        <v>0</v>
      </c>
      <c r="EJ21">
        <f t="shared" si="9"/>
        <v>0</v>
      </c>
      <c r="EK21">
        <f t="shared" si="9"/>
        <v>0</v>
      </c>
      <c r="EL21">
        <f t="shared" si="9"/>
        <v>0</v>
      </c>
      <c r="EM21">
        <f t="shared" si="9"/>
        <v>0</v>
      </c>
      <c r="EN21">
        <f t="shared" si="9"/>
        <v>0</v>
      </c>
      <c r="EO21">
        <f t="shared" si="9"/>
        <v>0</v>
      </c>
      <c r="EP21">
        <f t="shared" si="9"/>
        <v>0</v>
      </c>
      <c r="EQ21">
        <f t="shared" si="9"/>
        <v>0</v>
      </c>
      <c r="ER21">
        <f t="shared" si="9"/>
        <v>0</v>
      </c>
      <c r="ES21">
        <f t="shared" si="9"/>
        <v>0</v>
      </c>
      <c r="ET21">
        <f t="shared" si="9"/>
        <v>0</v>
      </c>
      <c r="EU21">
        <f t="shared" si="9"/>
        <v>0</v>
      </c>
      <c r="EV21">
        <f t="shared" si="9"/>
        <v>0</v>
      </c>
      <c r="EW21">
        <f t="shared" si="9"/>
        <v>0</v>
      </c>
      <c r="EX21">
        <f t="shared" si="9"/>
        <v>0</v>
      </c>
      <c r="EY21">
        <f t="shared" si="9"/>
        <v>0</v>
      </c>
      <c r="EZ21">
        <f t="shared" si="9"/>
        <v>0</v>
      </c>
      <c r="FA21">
        <f t="shared" si="9"/>
        <v>0</v>
      </c>
      <c r="FB21">
        <f t="shared" si="9"/>
        <v>0</v>
      </c>
      <c r="FC21">
        <f t="shared" si="9"/>
        <v>0</v>
      </c>
      <c r="FD21">
        <f t="shared" si="9"/>
        <v>0</v>
      </c>
      <c r="FE21">
        <f t="shared" si="9"/>
        <v>0</v>
      </c>
      <c r="FF21">
        <f t="shared" si="9"/>
        <v>0</v>
      </c>
      <c r="FG21">
        <f t="shared" si="9"/>
        <v>0</v>
      </c>
      <c r="FH21">
        <f t="shared" si="9"/>
        <v>0</v>
      </c>
      <c r="FI21">
        <f t="shared" si="9"/>
        <v>0</v>
      </c>
      <c r="FJ21">
        <f t="shared" si="9"/>
        <v>0</v>
      </c>
      <c r="FK21">
        <f t="shared" si="9"/>
        <v>0</v>
      </c>
      <c r="FL21">
        <f t="shared" si="9"/>
        <v>0</v>
      </c>
      <c r="FM21">
        <f t="shared" si="9"/>
        <v>0</v>
      </c>
      <c r="FN21">
        <f t="shared" si="9"/>
        <v>0</v>
      </c>
      <c r="FO21">
        <f t="shared" si="9"/>
        <v>0</v>
      </c>
      <c r="FP21">
        <f t="shared" si="9"/>
        <v>0</v>
      </c>
      <c r="FQ21">
        <f t="shared" si="9"/>
        <v>0</v>
      </c>
      <c r="FR21">
        <f t="shared" si="9"/>
        <v>0</v>
      </c>
      <c r="FS21">
        <f t="shared" si="9"/>
        <v>0</v>
      </c>
      <c r="FT21">
        <f t="shared" si="9"/>
        <v>0</v>
      </c>
      <c r="FU21">
        <f t="shared" si="9"/>
        <v>0</v>
      </c>
    </row>
    <row r="22" spans="1:177" x14ac:dyDescent="0.25">
      <c r="A22" t="str">
        <f t="shared" ref="A22:D22" si="12">A6</f>
        <v>M4A4</v>
      </c>
      <c r="B22" t="str">
        <f t="shared" si="12"/>
        <v>Neo-Noir MW</v>
      </c>
      <c r="C22" t="str">
        <f t="shared" si="12"/>
        <v>M4A4</v>
      </c>
      <c r="D22" t="str">
        <f t="shared" si="12"/>
        <v>Clutch</v>
      </c>
      <c r="E22">
        <f t="shared" si="11"/>
        <v>20.34</v>
      </c>
      <c r="F22">
        <f t="shared" ref="F22:BQ25" si="13">F6-ROUNDUP(F6*0.3,2)</f>
        <v>20.55</v>
      </c>
      <c r="G22">
        <f t="shared" si="13"/>
        <v>18.75</v>
      </c>
      <c r="H22">
        <f t="shared" si="13"/>
        <v>19.25</v>
      </c>
      <c r="I22">
        <f t="shared" si="13"/>
        <v>19.080000000000002</v>
      </c>
      <c r="J22">
        <f t="shared" si="13"/>
        <v>20.2</v>
      </c>
      <c r="K22">
        <f t="shared" si="13"/>
        <v>19.100000000000001</v>
      </c>
      <c r="L22">
        <f t="shared" si="13"/>
        <v>18.079999999999998</v>
      </c>
      <c r="M22">
        <f t="shared" si="13"/>
        <v>18.310000000000002</v>
      </c>
      <c r="N22">
        <f t="shared" si="13"/>
        <v>18</v>
      </c>
      <c r="O22">
        <f t="shared" si="13"/>
        <v>19.190000000000001</v>
      </c>
      <c r="P22">
        <f t="shared" si="13"/>
        <v>18.150000000000002</v>
      </c>
      <c r="Q22">
        <f t="shared" si="13"/>
        <v>18.22</v>
      </c>
      <c r="R22">
        <f t="shared" si="13"/>
        <v>17.68</v>
      </c>
      <c r="S22">
        <f t="shared" si="13"/>
        <v>19.18</v>
      </c>
      <c r="T22">
        <f t="shared" si="13"/>
        <v>19.010000000000002</v>
      </c>
      <c r="U22">
        <f t="shared" si="13"/>
        <v>18.21</v>
      </c>
      <c r="V22">
        <f t="shared" si="13"/>
        <v>18.38</v>
      </c>
      <c r="W22">
        <f t="shared" si="13"/>
        <v>19.479999999999997</v>
      </c>
      <c r="X22">
        <f t="shared" si="13"/>
        <v>18.89</v>
      </c>
      <c r="Y22">
        <f t="shared" si="13"/>
        <v>18.090000000000003</v>
      </c>
      <c r="Z22">
        <f t="shared" si="13"/>
        <v>0</v>
      </c>
      <c r="AA22">
        <f t="shared" si="13"/>
        <v>0</v>
      </c>
      <c r="AB22">
        <f t="shared" si="13"/>
        <v>0</v>
      </c>
      <c r="AC22">
        <f t="shared" si="13"/>
        <v>0</v>
      </c>
      <c r="AD22">
        <f t="shared" si="13"/>
        <v>0</v>
      </c>
      <c r="AE22">
        <f t="shared" si="13"/>
        <v>0</v>
      </c>
      <c r="AF22">
        <f t="shared" si="13"/>
        <v>0</v>
      </c>
      <c r="AG22">
        <f t="shared" si="13"/>
        <v>0</v>
      </c>
      <c r="AH22">
        <f t="shared" si="13"/>
        <v>0</v>
      </c>
      <c r="AI22">
        <f t="shared" si="13"/>
        <v>0</v>
      </c>
      <c r="AJ22">
        <f t="shared" si="13"/>
        <v>0</v>
      </c>
      <c r="AK22">
        <f t="shared" si="13"/>
        <v>0</v>
      </c>
      <c r="AL22">
        <f t="shared" si="13"/>
        <v>0</v>
      </c>
      <c r="AM22">
        <f t="shared" si="13"/>
        <v>0</v>
      </c>
      <c r="AN22">
        <f t="shared" si="13"/>
        <v>0</v>
      </c>
      <c r="AO22">
        <f t="shared" si="13"/>
        <v>0</v>
      </c>
      <c r="AP22">
        <f t="shared" si="13"/>
        <v>0</v>
      </c>
      <c r="AQ22">
        <f t="shared" si="13"/>
        <v>0</v>
      </c>
      <c r="AR22">
        <f t="shared" si="13"/>
        <v>0</v>
      </c>
      <c r="AS22">
        <f t="shared" si="13"/>
        <v>0</v>
      </c>
      <c r="AT22">
        <f t="shared" si="13"/>
        <v>0</v>
      </c>
      <c r="AU22">
        <f t="shared" si="13"/>
        <v>0</v>
      </c>
      <c r="AV22">
        <f t="shared" si="13"/>
        <v>0</v>
      </c>
      <c r="AW22">
        <f t="shared" si="13"/>
        <v>0</v>
      </c>
      <c r="AX22">
        <f t="shared" si="13"/>
        <v>0</v>
      </c>
      <c r="AY22">
        <f t="shared" si="13"/>
        <v>0</v>
      </c>
      <c r="AZ22">
        <f t="shared" si="13"/>
        <v>0</v>
      </c>
      <c r="BA22">
        <f t="shared" si="13"/>
        <v>0</v>
      </c>
      <c r="BB22">
        <f t="shared" si="13"/>
        <v>0</v>
      </c>
      <c r="BC22">
        <f t="shared" si="13"/>
        <v>0</v>
      </c>
      <c r="BD22">
        <f t="shared" si="13"/>
        <v>0</v>
      </c>
      <c r="BE22">
        <f t="shared" si="13"/>
        <v>0</v>
      </c>
      <c r="BF22">
        <f t="shared" si="13"/>
        <v>0</v>
      </c>
      <c r="BG22">
        <f t="shared" si="13"/>
        <v>0</v>
      </c>
      <c r="BH22">
        <f t="shared" si="13"/>
        <v>0</v>
      </c>
      <c r="BI22">
        <f t="shared" si="13"/>
        <v>0</v>
      </c>
      <c r="BJ22">
        <f t="shared" si="13"/>
        <v>0</v>
      </c>
      <c r="BK22">
        <f t="shared" si="13"/>
        <v>0</v>
      </c>
      <c r="BL22">
        <f t="shared" si="13"/>
        <v>0</v>
      </c>
      <c r="BM22">
        <f t="shared" si="13"/>
        <v>0</v>
      </c>
      <c r="BN22">
        <f t="shared" si="13"/>
        <v>0</v>
      </c>
      <c r="BO22">
        <f t="shared" si="13"/>
        <v>0</v>
      </c>
      <c r="BP22">
        <f t="shared" si="13"/>
        <v>0</v>
      </c>
      <c r="BQ22">
        <f t="shared" si="13"/>
        <v>0</v>
      </c>
      <c r="BR22">
        <f t="shared" si="8"/>
        <v>0</v>
      </c>
      <c r="BS22">
        <f t="shared" si="8"/>
        <v>0</v>
      </c>
      <c r="BT22">
        <f t="shared" si="8"/>
        <v>0</v>
      </c>
      <c r="BU22">
        <f t="shared" si="8"/>
        <v>0</v>
      </c>
      <c r="BV22">
        <f t="shared" si="8"/>
        <v>0</v>
      </c>
      <c r="BW22">
        <f t="shared" si="8"/>
        <v>0</v>
      </c>
      <c r="BX22">
        <f t="shared" si="8"/>
        <v>0</v>
      </c>
      <c r="BY22">
        <f t="shared" si="8"/>
        <v>0</v>
      </c>
      <c r="BZ22">
        <f t="shared" si="8"/>
        <v>0</v>
      </c>
      <c r="CA22">
        <f t="shared" si="8"/>
        <v>0</v>
      </c>
      <c r="CB22">
        <f t="shared" si="8"/>
        <v>0</v>
      </c>
      <c r="CC22">
        <f t="shared" si="8"/>
        <v>0</v>
      </c>
      <c r="CD22">
        <f t="shared" si="8"/>
        <v>0</v>
      </c>
      <c r="CE22">
        <f t="shared" si="8"/>
        <v>0</v>
      </c>
      <c r="CF22">
        <f t="shared" si="8"/>
        <v>0</v>
      </c>
      <c r="CG22">
        <f t="shared" si="8"/>
        <v>0</v>
      </c>
      <c r="CH22">
        <f t="shared" si="8"/>
        <v>0</v>
      </c>
      <c r="CI22">
        <f t="shared" si="8"/>
        <v>0</v>
      </c>
      <c r="CJ22">
        <f t="shared" si="8"/>
        <v>0</v>
      </c>
      <c r="CK22">
        <f t="shared" si="8"/>
        <v>0</v>
      </c>
      <c r="CL22">
        <f t="shared" si="8"/>
        <v>0</v>
      </c>
      <c r="CM22">
        <f t="shared" si="8"/>
        <v>0</v>
      </c>
      <c r="CN22">
        <f t="shared" si="8"/>
        <v>0</v>
      </c>
      <c r="CO22">
        <f t="shared" si="8"/>
        <v>0</v>
      </c>
      <c r="CP22">
        <f t="shared" si="8"/>
        <v>0</v>
      </c>
      <c r="CQ22">
        <f t="shared" si="8"/>
        <v>0</v>
      </c>
      <c r="CR22">
        <f t="shared" si="8"/>
        <v>0</v>
      </c>
      <c r="CS22">
        <f t="shared" si="8"/>
        <v>0</v>
      </c>
      <c r="CT22">
        <f t="shared" si="8"/>
        <v>0</v>
      </c>
      <c r="CU22">
        <f t="shared" si="8"/>
        <v>0</v>
      </c>
      <c r="CV22">
        <f t="shared" si="8"/>
        <v>0</v>
      </c>
      <c r="CW22">
        <f t="shared" si="8"/>
        <v>0</v>
      </c>
      <c r="CX22">
        <f t="shared" si="8"/>
        <v>0</v>
      </c>
      <c r="CY22">
        <f t="shared" si="8"/>
        <v>0</v>
      </c>
      <c r="CZ22">
        <f t="shared" si="8"/>
        <v>0</v>
      </c>
      <c r="DA22">
        <f t="shared" si="8"/>
        <v>0</v>
      </c>
      <c r="DB22">
        <f t="shared" si="8"/>
        <v>0</v>
      </c>
      <c r="DC22">
        <f t="shared" si="8"/>
        <v>0</v>
      </c>
      <c r="DD22">
        <f t="shared" si="8"/>
        <v>0</v>
      </c>
      <c r="DE22">
        <f t="shared" si="8"/>
        <v>0</v>
      </c>
      <c r="DF22">
        <f t="shared" si="8"/>
        <v>0</v>
      </c>
      <c r="DG22">
        <f t="shared" si="8"/>
        <v>0</v>
      </c>
      <c r="DH22">
        <f t="shared" si="8"/>
        <v>0</v>
      </c>
      <c r="DI22">
        <f t="shared" si="8"/>
        <v>0</v>
      </c>
      <c r="DJ22">
        <f t="shared" si="8"/>
        <v>0</v>
      </c>
      <c r="DK22">
        <f t="shared" si="8"/>
        <v>0</v>
      </c>
      <c r="DL22">
        <f t="shared" si="8"/>
        <v>0</v>
      </c>
      <c r="DM22">
        <f t="shared" si="8"/>
        <v>0</v>
      </c>
      <c r="DN22">
        <f t="shared" si="8"/>
        <v>0</v>
      </c>
      <c r="DO22">
        <f t="shared" si="8"/>
        <v>0</v>
      </c>
      <c r="DP22">
        <f t="shared" si="8"/>
        <v>0</v>
      </c>
      <c r="DQ22">
        <f t="shared" si="8"/>
        <v>0</v>
      </c>
      <c r="DR22">
        <f t="shared" si="8"/>
        <v>0</v>
      </c>
      <c r="DS22">
        <f t="shared" si="8"/>
        <v>0</v>
      </c>
      <c r="DT22">
        <f t="shared" si="8"/>
        <v>0</v>
      </c>
      <c r="DU22">
        <f t="shared" si="8"/>
        <v>0</v>
      </c>
      <c r="DV22">
        <f t="shared" si="8"/>
        <v>0</v>
      </c>
      <c r="DW22">
        <f t="shared" si="8"/>
        <v>0</v>
      </c>
      <c r="DX22">
        <f t="shared" si="8"/>
        <v>0</v>
      </c>
      <c r="DY22">
        <f t="shared" si="8"/>
        <v>0</v>
      </c>
      <c r="DZ22">
        <f t="shared" si="8"/>
        <v>0</v>
      </c>
      <c r="EA22">
        <f t="shared" si="8"/>
        <v>0</v>
      </c>
      <c r="EB22">
        <f t="shared" si="8"/>
        <v>0</v>
      </c>
      <c r="EC22">
        <f t="shared" si="8"/>
        <v>0</v>
      </c>
      <c r="ED22">
        <f t="shared" si="9"/>
        <v>0</v>
      </c>
      <c r="EE22">
        <f t="shared" si="9"/>
        <v>0</v>
      </c>
      <c r="EF22">
        <f t="shared" si="9"/>
        <v>0</v>
      </c>
      <c r="EG22">
        <f t="shared" si="9"/>
        <v>0</v>
      </c>
      <c r="EH22">
        <f t="shared" si="9"/>
        <v>0</v>
      </c>
      <c r="EI22">
        <f t="shared" si="9"/>
        <v>0</v>
      </c>
      <c r="EJ22">
        <f t="shared" si="9"/>
        <v>0</v>
      </c>
      <c r="EK22">
        <f t="shared" si="9"/>
        <v>0</v>
      </c>
      <c r="EL22">
        <f t="shared" si="9"/>
        <v>0</v>
      </c>
      <c r="EM22">
        <f t="shared" si="9"/>
        <v>0</v>
      </c>
      <c r="EN22">
        <f t="shared" si="9"/>
        <v>0</v>
      </c>
      <c r="EO22">
        <f t="shared" si="9"/>
        <v>0</v>
      </c>
      <c r="EP22">
        <f t="shared" si="9"/>
        <v>0</v>
      </c>
      <c r="EQ22">
        <f t="shared" si="9"/>
        <v>0</v>
      </c>
      <c r="ER22">
        <f t="shared" si="9"/>
        <v>0</v>
      </c>
      <c r="ES22">
        <f t="shared" si="9"/>
        <v>0</v>
      </c>
      <c r="ET22">
        <f t="shared" si="9"/>
        <v>0</v>
      </c>
      <c r="EU22">
        <f t="shared" si="9"/>
        <v>0</v>
      </c>
      <c r="EV22">
        <f t="shared" si="9"/>
        <v>0</v>
      </c>
      <c r="EW22">
        <f t="shared" si="9"/>
        <v>0</v>
      </c>
      <c r="EX22">
        <f t="shared" si="9"/>
        <v>0</v>
      </c>
      <c r="EY22">
        <f t="shared" si="9"/>
        <v>0</v>
      </c>
      <c r="EZ22">
        <f t="shared" si="9"/>
        <v>0</v>
      </c>
      <c r="FA22">
        <f t="shared" si="9"/>
        <v>0</v>
      </c>
      <c r="FB22">
        <f t="shared" si="9"/>
        <v>0</v>
      </c>
      <c r="FC22">
        <f t="shared" si="9"/>
        <v>0</v>
      </c>
      <c r="FD22">
        <f t="shared" si="9"/>
        <v>0</v>
      </c>
      <c r="FE22">
        <f t="shared" si="9"/>
        <v>0</v>
      </c>
      <c r="FF22">
        <f t="shared" si="9"/>
        <v>0</v>
      </c>
      <c r="FG22">
        <f t="shared" si="9"/>
        <v>0</v>
      </c>
      <c r="FH22">
        <f t="shared" si="9"/>
        <v>0</v>
      </c>
      <c r="FI22">
        <f t="shared" si="9"/>
        <v>0</v>
      </c>
      <c r="FJ22">
        <f t="shared" si="9"/>
        <v>0</v>
      </c>
      <c r="FK22">
        <f t="shared" si="9"/>
        <v>0</v>
      </c>
      <c r="FL22">
        <f t="shared" si="9"/>
        <v>0</v>
      </c>
      <c r="FM22">
        <f t="shared" si="9"/>
        <v>0</v>
      </c>
      <c r="FN22">
        <f t="shared" si="9"/>
        <v>0</v>
      </c>
      <c r="FO22">
        <f t="shared" si="9"/>
        <v>0</v>
      </c>
      <c r="FP22">
        <f t="shared" si="9"/>
        <v>0</v>
      </c>
      <c r="FQ22">
        <f t="shared" si="9"/>
        <v>0</v>
      </c>
      <c r="FR22">
        <f t="shared" si="9"/>
        <v>0</v>
      </c>
      <c r="FS22">
        <f t="shared" si="9"/>
        <v>0</v>
      </c>
      <c r="FT22">
        <f t="shared" si="9"/>
        <v>0</v>
      </c>
      <c r="FU22">
        <f t="shared" si="9"/>
        <v>0</v>
      </c>
    </row>
    <row r="23" spans="1:177" x14ac:dyDescent="0.25">
      <c r="A23" t="str">
        <f t="shared" ref="A23:D23" si="14">A7</f>
        <v>M4A4</v>
      </c>
      <c r="B23" t="str">
        <f t="shared" si="14"/>
        <v>Hellfire MW</v>
      </c>
      <c r="C23" t="str">
        <f t="shared" si="14"/>
        <v>M4A4</v>
      </c>
      <c r="D23" t="str">
        <f t="shared" si="14"/>
        <v>Hydra</v>
      </c>
      <c r="E23">
        <f t="shared" si="11"/>
        <v>18.799999999999997</v>
      </c>
      <c r="F23">
        <f t="shared" si="13"/>
        <v>18.149999999999999</v>
      </c>
      <c r="G23">
        <f t="shared" si="13"/>
        <v>17.64</v>
      </c>
      <c r="H23">
        <f t="shared" si="13"/>
        <v>18.37</v>
      </c>
      <c r="I23">
        <f t="shared" si="13"/>
        <v>18.41</v>
      </c>
      <c r="J23">
        <f t="shared" si="13"/>
        <v>18.829999999999998</v>
      </c>
      <c r="K23">
        <f t="shared" si="13"/>
        <v>17.399999999999999</v>
      </c>
      <c r="L23">
        <f t="shared" si="13"/>
        <v>19.11</v>
      </c>
      <c r="M23">
        <f t="shared" si="13"/>
        <v>17.64</v>
      </c>
      <c r="N23">
        <f t="shared" si="13"/>
        <v>18.27</v>
      </c>
      <c r="O23">
        <f t="shared" si="13"/>
        <v>19.190000000000001</v>
      </c>
      <c r="P23">
        <f t="shared" si="13"/>
        <v>19.130000000000003</v>
      </c>
      <c r="Q23">
        <f t="shared" si="13"/>
        <v>19.13</v>
      </c>
      <c r="R23">
        <f t="shared" si="13"/>
        <v>19.96</v>
      </c>
      <c r="S23">
        <f t="shared" si="13"/>
        <v>20</v>
      </c>
      <c r="T23">
        <f t="shared" si="13"/>
        <v>20.36</v>
      </c>
      <c r="U23">
        <f t="shared" si="13"/>
        <v>20.64</v>
      </c>
      <c r="V23">
        <f t="shared" si="13"/>
        <v>19.64</v>
      </c>
      <c r="W23">
        <f t="shared" si="13"/>
        <v>23.040000000000003</v>
      </c>
      <c r="X23">
        <f t="shared" si="13"/>
        <v>26.83</v>
      </c>
      <c r="Y23">
        <f t="shared" si="13"/>
        <v>24.990000000000002</v>
      </c>
      <c r="Z23">
        <f t="shared" si="13"/>
        <v>0</v>
      </c>
      <c r="AA23">
        <f t="shared" si="13"/>
        <v>0</v>
      </c>
      <c r="AB23">
        <f t="shared" si="13"/>
        <v>0</v>
      </c>
      <c r="AC23">
        <f t="shared" si="13"/>
        <v>0</v>
      </c>
      <c r="AD23">
        <f t="shared" si="13"/>
        <v>0</v>
      </c>
      <c r="AE23">
        <f t="shared" si="13"/>
        <v>0</v>
      </c>
      <c r="AF23">
        <f t="shared" si="13"/>
        <v>0</v>
      </c>
      <c r="AG23">
        <f t="shared" si="13"/>
        <v>0</v>
      </c>
      <c r="AH23">
        <f t="shared" si="13"/>
        <v>0</v>
      </c>
      <c r="AI23">
        <f t="shared" si="13"/>
        <v>0</v>
      </c>
      <c r="AJ23">
        <f t="shared" si="13"/>
        <v>0</v>
      </c>
      <c r="AK23">
        <f t="shared" si="13"/>
        <v>0</v>
      </c>
      <c r="AL23">
        <f t="shared" si="13"/>
        <v>0</v>
      </c>
      <c r="AM23">
        <f t="shared" si="13"/>
        <v>0</v>
      </c>
      <c r="AN23">
        <f t="shared" si="13"/>
        <v>0</v>
      </c>
      <c r="AO23">
        <f t="shared" si="13"/>
        <v>0</v>
      </c>
      <c r="AP23">
        <f t="shared" si="13"/>
        <v>0</v>
      </c>
      <c r="AQ23">
        <f t="shared" si="13"/>
        <v>0</v>
      </c>
      <c r="AR23">
        <f t="shared" si="13"/>
        <v>0</v>
      </c>
      <c r="AS23">
        <f t="shared" si="13"/>
        <v>0</v>
      </c>
      <c r="AT23">
        <f t="shared" si="13"/>
        <v>0</v>
      </c>
      <c r="AU23">
        <f t="shared" si="13"/>
        <v>0</v>
      </c>
      <c r="AV23">
        <f t="shared" si="13"/>
        <v>0</v>
      </c>
      <c r="AW23">
        <f t="shared" si="13"/>
        <v>0</v>
      </c>
      <c r="AX23">
        <f t="shared" si="13"/>
        <v>0</v>
      </c>
      <c r="AY23">
        <f t="shared" si="13"/>
        <v>0</v>
      </c>
      <c r="AZ23">
        <f t="shared" si="13"/>
        <v>0</v>
      </c>
      <c r="BA23">
        <f t="shared" si="13"/>
        <v>0</v>
      </c>
      <c r="BB23">
        <f t="shared" si="13"/>
        <v>0</v>
      </c>
      <c r="BC23">
        <f t="shared" si="13"/>
        <v>0</v>
      </c>
      <c r="BD23">
        <f t="shared" si="13"/>
        <v>0</v>
      </c>
      <c r="BE23">
        <f t="shared" si="13"/>
        <v>0</v>
      </c>
      <c r="BF23">
        <f t="shared" si="13"/>
        <v>0</v>
      </c>
      <c r="BG23">
        <f t="shared" si="13"/>
        <v>0</v>
      </c>
      <c r="BH23">
        <f t="shared" si="13"/>
        <v>0</v>
      </c>
      <c r="BI23">
        <f t="shared" si="13"/>
        <v>0</v>
      </c>
      <c r="BJ23">
        <f t="shared" si="13"/>
        <v>0</v>
      </c>
      <c r="BK23">
        <f t="shared" si="13"/>
        <v>0</v>
      </c>
      <c r="BL23">
        <f t="shared" si="13"/>
        <v>0</v>
      </c>
      <c r="BM23">
        <f t="shared" si="13"/>
        <v>0</v>
      </c>
      <c r="BN23">
        <f t="shared" si="13"/>
        <v>0</v>
      </c>
      <c r="BO23">
        <f t="shared" si="13"/>
        <v>0</v>
      </c>
      <c r="BP23">
        <f t="shared" si="13"/>
        <v>0</v>
      </c>
      <c r="BQ23">
        <f t="shared" si="13"/>
        <v>0</v>
      </c>
      <c r="BR23">
        <f t="shared" si="8"/>
        <v>0</v>
      </c>
      <c r="BS23">
        <f t="shared" si="8"/>
        <v>0</v>
      </c>
      <c r="BT23">
        <f t="shared" si="8"/>
        <v>0</v>
      </c>
      <c r="BU23">
        <f t="shared" si="8"/>
        <v>0</v>
      </c>
      <c r="BV23">
        <f t="shared" si="8"/>
        <v>0</v>
      </c>
      <c r="BW23">
        <f t="shared" si="8"/>
        <v>0</v>
      </c>
      <c r="BX23">
        <f t="shared" si="8"/>
        <v>0</v>
      </c>
      <c r="BY23">
        <f t="shared" si="8"/>
        <v>0</v>
      </c>
      <c r="BZ23">
        <f t="shared" si="8"/>
        <v>0</v>
      </c>
      <c r="CA23">
        <f t="shared" si="8"/>
        <v>0</v>
      </c>
      <c r="CB23">
        <f t="shared" si="8"/>
        <v>0</v>
      </c>
      <c r="CC23">
        <f t="shared" si="8"/>
        <v>0</v>
      </c>
      <c r="CD23">
        <f t="shared" si="8"/>
        <v>0</v>
      </c>
      <c r="CE23">
        <f t="shared" si="8"/>
        <v>0</v>
      </c>
      <c r="CF23">
        <f t="shared" si="8"/>
        <v>0</v>
      </c>
      <c r="CG23">
        <f t="shared" si="8"/>
        <v>0</v>
      </c>
      <c r="CH23">
        <f t="shared" si="8"/>
        <v>0</v>
      </c>
      <c r="CI23">
        <f t="shared" si="8"/>
        <v>0</v>
      </c>
      <c r="CJ23">
        <f t="shared" si="8"/>
        <v>0</v>
      </c>
      <c r="CK23">
        <f t="shared" si="8"/>
        <v>0</v>
      </c>
      <c r="CL23">
        <f t="shared" si="8"/>
        <v>0</v>
      </c>
      <c r="CM23">
        <f t="shared" si="8"/>
        <v>0</v>
      </c>
      <c r="CN23">
        <f t="shared" si="8"/>
        <v>0</v>
      </c>
      <c r="CO23">
        <f t="shared" si="8"/>
        <v>0</v>
      </c>
      <c r="CP23">
        <f t="shared" si="8"/>
        <v>0</v>
      </c>
      <c r="CQ23">
        <f t="shared" si="8"/>
        <v>0</v>
      </c>
      <c r="CR23">
        <f t="shared" si="8"/>
        <v>0</v>
      </c>
      <c r="CS23">
        <f t="shared" si="8"/>
        <v>0</v>
      </c>
      <c r="CT23">
        <f t="shared" si="8"/>
        <v>0</v>
      </c>
      <c r="CU23">
        <f t="shared" si="8"/>
        <v>0</v>
      </c>
      <c r="CV23">
        <f t="shared" si="8"/>
        <v>0</v>
      </c>
      <c r="CW23">
        <f t="shared" si="8"/>
        <v>0</v>
      </c>
      <c r="CX23">
        <f t="shared" si="8"/>
        <v>0</v>
      </c>
      <c r="CY23">
        <f t="shared" si="8"/>
        <v>0</v>
      </c>
      <c r="CZ23">
        <f t="shared" si="8"/>
        <v>0</v>
      </c>
      <c r="DA23">
        <f t="shared" si="8"/>
        <v>0</v>
      </c>
      <c r="DB23">
        <f t="shared" si="8"/>
        <v>0</v>
      </c>
      <c r="DC23">
        <f t="shared" si="8"/>
        <v>0</v>
      </c>
      <c r="DD23">
        <f t="shared" si="8"/>
        <v>0</v>
      </c>
      <c r="DE23">
        <f t="shared" si="8"/>
        <v>0</v>
      </c>
      <c r="DF23">
        <f t="shared" si="8"/>
        <v>0</v>
      </c>
      <c r="DG23">
        <f t="shared" si="8"/>
        <v>0</v>
      </c>
      <c r="DH23">
        <f t="shared" si="8"/>
        <v>0</v>
      </c>
      <c r="DI23">
        <f t="shared" si="8"/>
        <v>0</v>
      </c>
      <c r="DJ23">
        <f t="shared" si="8"/>
        <v>0</v>
      </c>
      <c r="DK23">
        <f t="shared" si="8"/>
        <v>0</v>
      </c>
      <c r="DL23">
        <f t="shared" si="8"/>
        <v>0</v>
      </c>
      <c r="DM23">
        <f t="shared" si="8"/>
        <v>0</v>
      </c>
      <c r="DN23">
        <f t="shared" si="8"/>
        <v>0</v>
      </c>
      <c r="DO23">
        <f t="shared" si="8"/>
        <v>0</v>
      </c>
      <c r="DP23">
        <f t="shared" si="8"/>
        <v>0</v>
      </c>
      <c r="DQ23">
        <f t="shared" si="8"/>
        <v>0</v>
      </c>
      <c r="DR23">
        <f t="shared" si="8"/>
        <v>0</v>
      </c>
      <c r="DS23">
        <f t="shared" si="8"/>
        <v>0</v>
      </c>
      <c r="DT23">
        <f t="shared" si="8"/>
        <v>0</v>
      </c>
      <c r="DU23">
        <f t="shared" si="8"/>
        <v>0</v>
      </c>
      <c r="DV23">
        <f t="shared" si="8"/>
        <v>0</v>
      </c>
      <c r="DW23">
        <f t="shared" si="8"/>
        <v>0</v>
      </c>
      <c r="DX23">
        <f t="shared" si="8"/>
        <v>0</v>
      </c>
      <c r="DY23">
        <f t="shared" si="8"/>
        <v>0</v>
      </c>
      <c r="DZ23">
        <f t="shared" si="8"/>
        <v>0</v>
      </c>
      <c r="EA23">
        <f t="shared" si="8"/>
        <v>0</v>
      </c>
      <c r="EB23">
        <f t="shared" si="8"/>
        <v>0</v>
      </c>
      <c r="EC23">
        <f t="shared" ref="EC23:FU27" si="15">EC7-ROUNDUP(EC7*0.3,2)</f>
        <v>0</v>
      </c>
      <c r="ED23">
        <f t="shared" si="15"/>
        <v>0</v>
      </c>
      <c r="EE23">
        <f t="shared" si="15"/>
        <v>0</v>
      </c>
      <c r="EF23">
        <f t="shared" si="15"/>
        <v>0</v>
      </c>
      <c r="EG23">
        <f t="shared" si="15"/>
        <v>0</v>
      </c>
      <c r="EH23">
        <f t="shared" si="15"/>
        <v>0</v>
      </c>
      <c r="EI23">
        <f t="shared" si="15"/>
        <v>0</v>
      </c>
      <c r="EJ23">
        <f t="shared" si="15"/>
        <v>0</v>
      </c>
      <c r="EK23">
        <f t="shared" si="15"/>
        <v>0</v>
      </c>
      <c r="EL23">
        <f t="shared" si="15"/>
        <v>0</v>
      </c>
      <c r="EM23">
        <f t="shared" si="15"/>
        <v>0</v>
      </c>
      <c r="EN23">
        <f t="shared" si="15"/>
        <v>0</v>
      </c>
      <c r="EO23">
        <f t="shared" si="15"/>
        <v>0</v>
      </c>
      <c r="EP23">
        <f t="shared" si="15"/>
        <v>0</v>
      </c>
      <c r="EQ23">
        <f t="shared" si="15"/>
        <v>0</v>
      </c>
      <c r="ER23">
        <f t="shared" si="15"/>
        <v>0</v>
      </c>
      <c r="ES23">
        <f t="shared" si="15"/>
        <v>0</v>
      </c>
      <c r="ET23">
        <f t="shared" si="15"/>
        <v>0</v>
      </c>
      <c r="EU23">
        <f t="shared" si="15"/>
        <v>0</v>
      </c>
      <c r="EV23">
        <f t="shared" si="15"/>
        <v>0</v>
      </c>
      <c r="EW23">
        <f t="shared" si="15"/>
        <v>0</v>
      </c>
      <c r="EX23">
        <f t="shared" si="15"/>
        <v>0</v>
      </c>
      <c r="EY23">
        <f t="shared" si="15"/>
        <v>0</v>
      </c>
      <c r="EZ23">
        <f t="shared" si="15"/>
        <v>0</v>
      </c>
      <c r="FA23">
        <f t="shared" si="15"/>
        <v>0</v>
      </c>
      <c r="FB23">
        <f t="shared" si="15"/>
        <v>0</v>
      </c>
      <c r="FC23">
        <f t="shared" si="15"/>
        <v>0</v>
      </c>
      <c r="FD23">
        <f t="shared" si="15"/>
        <v>0</v>
      </c>
      <c r="FE23">
        <f t="shared" si="15"/>
        <v>0</v>
      </c>
      <c r="FF23">
        <f t="shared" si="15"/>
        <v>0</v>
      </c>
      <c r="FG23">
        <f t="shared" si="15"/>
        <v>0</v>
      </c>
      <c r="FH23">
        <f t="shared" si="15"/>
        <v>0</v>
      </c>
      <c r="FI23">
        <f t="shared" si="15"/>
        <v>0</v>
      </c>
      <c r="FJ23">
        <f t="shared" si="15"/>
        <v>0</v>
      </c>
      <c r="FK23">
        <f t="shared" si="15"/>
        <v>0</v>
      </c>
      <c r="FL23">
        <f t="shared" si="15"/>
        <v>0</v>
      </c>
      <c r="FM23">
        <f t="shared" si="15"/>
        <v>0</v>
      </c>
      <c r="FN23">
        <f t="shared" si="15"/>
        <v>0</v>
      </c>
      <c r="FO23">
        <f t="shared" si="15"/>
        <v>0</v>
      </c>
      <c r="FP23">
        <f t="shared" si="15"/>
        <v>0</v>
      </c>
      <c r="FQ23">
        <f t="shared" si="15"/>
        <v>0</v>
      </c>
      <c r="FR23">
        <f t="shared" si="15"/>
        <v>0</v>
      </c>
      <c r="FS23">
        <f t="shared" si="15"/>
        <v>0</v>
      </c>
      <c r="FT23">
        <f t="shared" si="15"/>
        <v>0</v>
      </c>
      <c r="FU23">
        <f t="shared" si="15"/>
        <v>0</v>
      </c>
    </row>
    <row r="24" spans="1:177" x14ac:dyDescent="0.25">
      <c r="A24" t="str">
        <f t="shared" ref="A24:D24" si="16">A8</f>
        <v>M4A4</v>
      </c>
      <c r="B24" t="str">
        <f t="shared" si="16"/>
        <v>Evil Daimyo FN</v>
      </c>
      <c r="C24" t="str">
        <f t="shared" si="16"/>
        <v>M4A4</v>
      </c>
      <c r="D24" t="str">
        <f t="shared" si="16"/>
        <v>Falchion</v>
      </c>
      <c r="E24">
        <f t="shared" si="11"/>
        <v>4.83</v>
      </c>
      <c r="F24">
        <f t="shared" si="13"/>
        <v>5.15</v>
      </c>
      <c r="G24">
        <f t="shared" si="13"/>
        <v>4.8900000000000006</v>
      </c>
      <c r="H24">
        <f t="shared" si="13"/>
        <v>4.8000000000000007</v>
      </c>
      <c r="I24">
        <f t="shared" si="13"/>
        <v>4.7700000000000005</v>
      </c>
      <c r="J24">
        <f t="shared" si="13"/>
        <v>4.9399999999999995</v>
      </c>
      <c r="K24">
        <f t="shared" si="13"/>
        <v>4.7100000000000009</v>
      </c>
      <c r="L24">
        <f t="shared" si="13"/>
        <v>4.92</v>
      </c>
      <c r="M24">
        <f t="shared" si="13"/>
        <v>4.8900000000000006</v>
      </c>
      <c r="N24">
        <f t="shared" si="13"/>
        <v>4.99</v>
      </c>
      <c r="O24">
        <f t="shared" si="13"/>
        <v>4.67</v>
      </c>
      <c r="P24">
        <f t="shared" si="13"/>
        <v>4.79</v>
      </c>
      <c r="Q24">
        <f t="shared" si="13"/>
        <v>4.8800000000000008</v>
      </c>
      <c r="R24">
        <f t="shared" si="13"/>
        <v>4.92</v>
      </c>
      <c r="S24">
        <f t="shared" si="13"/>
        <v>4.53</v>
      </c>
      <c r="T24">
        <f t="shared" si="13"/>
        <v>4.6399999999999997</v>
      </c>
      <c r="U24">
        <f t="shared" si="13"/>
        <v>4.6399999999999997</v>
      </c>
      <c r="V24">
        <f t="shared" si="13"/>
        <v>4.9399999999999995</v>
      </c>
      <c r="W24">
        <f t="shared" si="13"/>
        <v>4.5999999999999996</v>
      </c>
      <c r="X24">
        <f t="shared" si="13"/>
        <v>4.55</v>
      </c>
      <c r="Y24">
        <f t="shared" si="13"/>
        <v>4.6099999999999994</v>
      </c>
      <c r="Z24">
        <f t="shared" si="13"/>
        <v>0</v>
      </c>
      <c r="AA24">
        <f t="shared" si="13"/>
        <v>0</v>
      </c>
      <c r="AB24">
        <f t="shared" si="13"/>
        <v>0</v>
      </c>
      <c r="AC24">
        <f t="shared" si="13"/>
        <v>0</v>
      </c>
      <c r="AD24">
        <f t="shared" si="13"/>
        <v>0</v>
      </c>
      <c r="AE24">
        <f t="shared" si="13"/>
        <v>0</v>
      </c>
      <c r="AF24">
        <f t="shared" si="13"/>
        <v>0</v>
      </c>
      <c r="AG24">
        <f t="shared" si="13"/>
        <v>0</v>
      </c>
      <c r="AH24">
        <f t="shared" si="13"/>
        <v>0</v>
      </c>
      <c r="AI24">
        <f t="shared" si="13"/>
        <v>0</v>
      </c>
      <c r="AJ24">
        <f t="shared" si="13"/>
        <v>0</v>
      </c>
      <c r="AK24">
        <f t="shared" si="13"/>
        <v>0</v>
      </c>
      <c r="AL24">
        <f t="shared" si="13"/>
        <v>0</v>
      </c>
      <c r="AM24">
        <f t="shared" si="13"/>
        <v>0</v>
      </c>
      <c r="AN24">
        <f t="shared" si="13"/>
        <v>0</v>
      </c>
      <c r="AO24">
        <f t="shared" si="13"/>
        <v>0</v>
      </c>
      <c r="AP24">
        <f t="shared" si="13"/>
        <v>0</v>
      </c>
      <c r="AQ24">
        <f t="shared" si="13"/>
        <v>0</v>
      </c>
      <c r="AR24">
        <f t="shared" si="13"/>
        <v>0</v>
      </c>
      <c r="AS24">
        <f t="shared" si="13"/>
        <v>0</v>
      </c>
      <c r="AT24">
        <f t="shared" si="13"/>
        <v>0</v>
      </c>
      <c r="AU24">
        <f t="shared" si="13"/>
        <v>0</v>
      </c>
      <c r="AV24">
        <f t="shared" si="13"/>
        <v>0</v>
      </c>
      <c r="AW24">
        <f t="shared" si="13"/>
        <v>0</v>
      </c>
      <c r="AX24">
        <f t="shared" si="13"/>
        <v>0</v>
      </c>
      <c r="AY24">
        <f t="shared" si="13"/>
        <v>0</v>
      </c>
      <c r="AZ24">
        <f t="shared" si="13"/>
        <v>0</v>
      </c>
      <c r="BA24">
        <f t="shared" si="13"/>
        <v>0</v>
      </c>
      <c r="BB24">
        <f t="shared" si="13"/>
        <v>0</v>
      </c>
      <c r="BC24">
        <f t="shared" si="13"/>
        <v>0</v>
      </c>
      <c r="BD24">
        <f t="shared" si="13"/>
        <v>0</v>
      </c>
      <c r="BE24">
        <f t="shared" si="13"/>
        <v>0</v>
      </c>
      <c r="BF24">
        <f t="shared" si="13"/>
        <v>0</v>
      </c>
      <c r="BG24">
        <f t="shared" si="13"/>
        <v>0</v>
      </c>
      <c r="BH24">
        <f t="shared" si="13"/>
        <v>0</v>
      </c>
      <c r="BI24">
        <f t="shared" si="13"/>
        <v>0</v>
      </c>
      <c r="BJ24">
        <f t="shared" si="13"/>
        <v>0</v>
      </c>
      <c r="BK24">
        <f t="shared" si="13"/>
        <v>0</v>
      </c>
      <c r="BL24">
        <f t="shared" si="13"/>
        <v>0</v>
      </c>
      <c r="BM24">
        <f t="shared" si="13"/>
        <v>0</v>
      </c>
      <c r="BN24">
        <f t="shared" si="13"/>
        <v>0</v>
      </c>
      <c r="BO24">
        <f t="shared" si="13"/>
        <v>0</v>
      </c>
      <c r="BP24">
        <f t="shared" si="13"/>
        <v>0</v>
      </c>
      <c r="BQ24">
        <f t="shared" si="13"/>
        <v>0</v>
      </c>
      <c r="BR24">
        <f t="shared" ref="BR24:EC27" si="17">BR8-ROUNDUP(BR8*0.3,2)</f>
        <v>0</v>
      </c>
      <c r="BS24">
        <f t="shared" si="17"/>
        <v>0</v>
      </c>
      <c r="BT24">
        <f t="shared" si="17"/>
        <v>0</v>
      </c>
      <c r="BU24">
        <f t="shared" si="17"/>
        <v>0</v>
      </c>
      <c r="BV24">
        <f t="shared" si="17"/>
        <v>0</v>
      </c>
      <c r="BW24">
        <f t="shared" si="17"/>
        <v>0</v>
      </c>
      <c r="BX24">
        <f t="shared" si="17"/>
        <v>0</v>
      </c>
      <c r="BY24">
        <f t="shared" si="17"/>
        <v>0</v>
      </c>
      <c r="BZ24">
        <f t="shared" si="17"/>
        <v>0</v>
      </c>
      <c r="CA24">
        <f t="shared" si="17"/>
        <v>0</v>
      </c>
      <c r="CB24">
        <f t="shared" si="17"/>
        <v>0</v>
      </c>
      <c r="CC24">
        <f t="shared" si="17"/>
        <v>0</v>
      </c>
      <c r="CD24">
        <f t="shared" si="17"/>
        <v>0</v>
      </c>
      <c r="CE24">
        <f t="shared" si="17"/>
        <v>0</v>
      </c>
      <c r="CF24">
        <f t="shared" si="17"/>
        <v>0</v>
      </c>
      <c r="CG24">
        <f t="shared" si="17"/>
        <v>0</v>
      </c>
      <c r="CH24">
        <f t="shared" si="17"/>
        <v>0</v>
      </c>
      <c r="CI24">
        <f t="shared" si="17"/>
        <v>0</v>
      </c>
      <c r="CJ24">
        <f t="shared" si="17"/>
        <v>0</v>
      </c>
      <c r="CK24">
        <f t="shared" si="17"/>
        <v>0</v>
      </c>
      <c r="CL24">
        <f t="shared" si="17"/>
        <v>0</v>
      </c>
      <c r="CM24">
        <f t="shared" si="17"/>
        <v>0</v>
      </c>
      <c r="CN24">
        <f t="shared" si="17"/>
        <v>0</v>
      </c>
      <c r="CO24">
        <f t="shared" si="17"/>
        <v>0</v>
      </c>
      <c r="CP24">
        <f t="shared" si="17"/>
        <v>0</v>
      </c>
      <c r="CQ24">
        <f t="shared" si="17"/>
        <v>0</v>
      </c>
      <c r="CR24">
        <f t="shared" si="17"/>
        <v>0</v>
      </c>
      <c r="CS24">
        <f t="shared" si="17"/>
        <v>0</v>
      </c>
      <c r="CT24">
        <f t="shared" si="17"/>
        <v>0</v>
      </c>
      <c r="CU24">
        <f t="shared" si="17"/>
        <v>0</v>
      </c>
      <c r="CV24">
        <f t="shared" si="17"/>
        <v>0</v>
      </c>
      <c r="CW24">
        <f t="shared" si="17"/>
        <v>0</v>
      </c>
      <c r="CX24">
        <f t="shared" si="17"/>
        <v>0</v>
      </c>
      <c r="CY24">
        <f t="shared" si="17"/>
        <v>0</v>
      </c>
      <c r="CZ24">
        <f t="shared" si="17"/>
        <v>0</v>
      </c>
      <c r="DA24">
        <f t="shared" si="17"/>
        <v>0</v>
      </c>
      <c r="DB24">
        <f t="shared" si="17"/>
        <v>0</v>
      </c>
      <c r="DC24">
        <f t="shared" si="17"/>
        <v>0</v>
      </c>
      <c r="DD24">
        <f t="shared" si="17"/>
        <v>0</v>
      </c>
      <c r="DE24">
        <f t="shared" si="17"/>
        <v>0</v>
      </c>
      <c r="DF24">
        <f t="shared" si="17"/>
        <v>0</v>
      </c>
      <c r="DG24">
        <f t="shared" si="17"/>
        <v>0</v>
      </c>
      <c r="DH24">
        <f t="shared" si="17"/>
        <v>0</v>
      </c>
      <c r="DI24">
        <f t="shared" si="17"/>
        <v>0</v>
      </c>
      <c r="DJ24">
        <f t="shared" si="17"/>
        <v>0</v>
      </c>
      <c r="DK24">
        <f t="shared" si="17"/>
        <v>0</v>
      </c>
      <c r="DL24">
        <f t="shared" si="17"/>
        <v>0</v>
      </c>
      <c r="DM24">
        <f t="shared" si="17"/>
        <v>0</v>
      </c>
      <c r="DN24">
        <f t="shared" si="17"/>
        <v>0</v>
      </c>
      <c r="DO24">
        <f t="shared" si="17"/>
        <v>0</v>
      </c>
      <c r="DP24">
        <f t="shared" si="17"/>
        <v>0</v>
      </c>
      <c r="DQ24">
        <f t="shared" si="17"/>
        <v>0</v>
      </c>
      <c r="DR24">
        <f t="shared" si="17"/>
        <v>0</v>
      </c>
      <c r="DS24">
        <f t="shared" si="17"/>
        <v>0</v>
      </c>
      <c r="DT24">
        <f t="shared" si="17"/>
        <v>0</v>
      </c>
      <c r="DU24">
        <f t="shared" si="17"/>
        <v>0</v>
      </c>
      <c r="DV24">
        <f t="shared" si="17"/>
        <v>0</v>
      </c>
      <c r="DW24">
        <f t="shared" si="17"/>
        <v>0</v>
      </c>
      <c r="DX24">
        <f t="shared" si="17"/>
        <v>0</v>
      </c>
      <c r="DY24">
        <f t="shared" si="17"/>
        <v>0</v>
      </c>
      <c r="DZ24">
        <f t="shared" si="17"/>
        <v>0</v>
      </c>
      <c r="EA24">
        <f t="shared" si="17"/>
        <v>0</v>
      </c>
      <c r="EB24">
        <f t="shared" si="17"/>
        <v>0</v>
      </c>
      <c r="EC24">
        <f t="shared" si="17"/>
        <v>0</v>
      </c>
      <c r="ED24">
        <f t="shared" si="15"/>
        <v>0</v>
      </c>
      <c r="EE24">
        <f t="shared" si="15"/>
        <v>0</v>
      </c>
      <c r="EF24">
        <f t="shared" si="15"/>
        <v>0</v>
      </c>
      <c r="EG24">
        <f t="shared" si="15"/>
        <v>0</v>
      </c>
      <c r="EH24">
        <f t="shared" si="15"/>
        <v>0</v>
      </c>
      <c r="EI24">
        <f t="shared" si="15"/>
        <v>0</v>
      </c>
      <c r="EJ24">
        <f t="shared" si="15"/>
        <v>0</v>
      </c>
      <c r="EK24">
        <f t="shared" si="15"/>
        <v>0</v>
      </c>
      <c r="EL24">
        <f t="shared" si="15"/>
        <v>0</v>
      </c>
      <c r="EM24">
        <f t="shared" si="15"/>
        <v>0</v>
      </c>
      <c r="EN24">
        <f t="shared" si="15"/>
        <v>0</v>
      </c>
      <c r="EO24">
        <f t="shared" si="15"/>
        <v>0</v>
      </c>
      <c r="EP24">
        <f t="shared" si="15"/>
        <v>0</v>
      </c>
      <c r="EQ24">
        <f t="shared" si="15"/>
        <v>0</v>
      </c>
      <c r="ER24">
        <f t="shared" si="15"/>
        <v>0</v>
      </c>
      <c r="ES24">
        <f t="shared" si="15"/>
        <v>0</v>
      </c>
      <c r="ET24">
        <f t="shared" si="15"/>
        <v>0</v>
      </c>
      <c r="EU24">
        <f t="shared" si="15"/>
        <v>0</v>
      </c>
      <c r="EV24">
        <f t="shared" si="15"/>
        <v>0</v>
      </c>
      <c r="EW24">
        <f t="shared" si="15"/>
        <v>0</v>
      </c>
      <c r="EX24">
        <f t="shared" si="15"/>
        <v>0</v>
      </c>
      <c r="EY24">
        <f t="shared" si="15"/>
        <v>0</v>
      </c>
      <c r="EZ24">
        <f t="shared" si="15"/>
        <v>0</v>
      </c>
      <c r="FA24">
        <f t="shared" si="15"/>
        <v>0</v>
      </c>
      <c r="FB24">
        <f t="shared" si="15"/>
        <v>0</v>
      </c>
      <c r="FC24">
        <f t="shared" si="15"/>
        <v>0</v>
      </c>
      <c r="FD24">
        <f t="shared" si="15"/>
        <v>0</v>
      </c>
      <c r="FE24">
        <f t="shared" si="15"/>
        <v>0</v>
      </c>
      <c r="FF24">
        <f t="shared" si="15"/>
        <v>0</v>
      </c>
      <c r="FG24">
        <f t="shared" si="15"/>
        <v>0</v>
      </c>
      <c r="FH24">
        <f t="shared" si="15"/>
        <v>0</v>
      </c>
      <c r="FI24">
        <f t="shared" si="15"/>
        <v>0</v>
      </c>
      <c r="FJ24">
        <f t="shared" si="15"/>
        <v>0</v>
      </c>
      <c r="FK24">
        <f t="shared" si="15"/>
        <v>0</v>
      </c>
      <c r="FL24">
        <f t="shared" si="15"/>
        <v>0</v>
      </c>
      <c r="FM24">
        <f t="shared" si="15"/>
        <v>0</v>
      </c>
      <c r="FN24">
        <f t="shared" si="15"/>
        <v>0</v>
      </c>
      <c r="FO24">
        <f t="shared" si="15"/>
        <v>0</v>
      </c>
      <c r="FP24">
        <f t="shared" si="15"/>
        <v>0</v>
      </c>
      <c r="FQ24">
        <f t="shared" si="15"/>
        <v>0</v>
      </c>
      <c r="FR24">
        <f t="shared" si="15"/>
        <v>0</v>
      </c>
      <c r="FS24">
        <f t="shared" si="15"/>
        <v>0</v>
      </c>
      <c r="FT24">
        <f t="shared" si="15"/>
        <v>0</v>
      </c>
      <c r="FU24">
        <f t="shared" si="15"/>
        <v>0</v>
      </c>
    </row>
    <row r="25" spans="1:177" x14ac:dyDescent="0.25">
      <c r="A25" t="str">
        <f t="shared" ref="A25:D25" si="18">A9</f>
        <v>M4A4</v>
      </c>
      <c r="B25" t="str">
        <f t="shared" si="18"/>
        <v>Bullet Rain MW</v>
      </c>
      <c r="C25" t="str">
        <f t="shared" si="18"/>
        <v>M4A4</v>
      </c>
      <c r="D25" t="str">
        <f t="shared" si="18"/>
        <v>eSports 2014</v>
      </c>
      <c r="E25">
        <f t="shared" si="11"/>
        <v>12.11</v>
      </c>
      <c r="F25">
        <f t="shared" si="13"/>
        <v>11.47</v>
      </c>
      <c r="G25">
        <f t="shared" si="13"/>
        <v>13.130000000000003</v>
      </c>
      <c r="H25">
        <f t="shared" si="13"/>
        <v>12.759999999999998</v>
      </c>
      <c r="I25">
        <f t="shared" si="13"/>
        <v>12.790000000000001</v>
      </c>
      <c r="J25">
        <f t="shared" si="13"/>
        <v>12.250000000000002</v>
      </c>
      <c r="K25">
        <f t="shared" si="13"/>
        <v>12.010000000000002</v>
      </c>
      <c r="L25">
        <f t="shared" si="13"/>
        <v>12.9</v>
      </c>
      <c r="M25">
        <f t="shared" si="13"/>
        <v>12.559999999999999</v>
      </c>
      <c r="N25">
        <f t="shared" si="13"/>
        <v>13.080000000000002</v>
      </c>
      <c r="O25">
        <f t="shared" si="13"/>
        <v>12.080000000000002</v>
      </c>
      <c r="P25">
        <f t="shared" si="13"/>
        <v>12.88</v>
      </c>
      <c r="Q25">
        <f t="shared" si="13"/>
        <v>12.840000000000002</v>
      </c>
      <c r="R25">
        <f t="shared" si="13"/>
        <v>13.23</v>
      </c>
      <c r="S25">
        <f t="shared" si="13"/>
        <v>12.370000000000001</v>
      </c>
      <c r="T25">
        <f t="shared" si="13"/>
        <v>12.77</v>
      </c>
      <c r="U25">
        <f t="shared" si="13"/>
        <v>12.82</v>
      </c>
      <c r="V25">
        <f t="shared" si="13"/>
        <v>12.780000000000001</v>
      </c>
      <c r="W25">
        <f t="shared" si="13"/>
        <v>12.5</v>
      </c>
      <c r="X25">
        <f t="shared" si="13"/>
        <v>12.740000000000002</v>
      </c>
      <c r="Y25">
        <f t="shared" si="13"/>
        <v>13.14</v>
      </c>
      <c r="Z25">
        <f t="shared" si="13"/>
        <v>0</v>
      </c>
      <c r="AA25">
        <f t="shared" si="13"/>
        <v>0</v>
      </c>
      <c r="AB25">
        <f t="shared" si="13"/>
        <v>0</v>
      </c>
      <c r="AC25">
        <f t="shared" si="13"/>
        <v>0</v>
      </c>
      <c r="AD25">
        <f t="shared" si="13"/>
        <v>0</v>
      </c>
      <c r="AE25">
        <f t="shared" si="13"/>
        <v>0</v>
      </c>
      <c r="AF25">
        <f t="shared" si="13"/>
        <v>0</v>
      </c>
      <c r="AG25">
        <f t="shared" si="13"/>
        <v>0</v>
      </c>
      <c r="AH25">
        <f t="shared" si="13"/>
        <v>0</v>
      </c>
      <c r="AI25">
        <f t="shared" si="13"/>
        <v>0</v>
      </c>
      <c r="AJ25">
        <f t="shared" si="13"/>
        <v>0</v>
      </c>
      <c r="AK25">
        <f t="shared" si="13"/>
        <v>0</v>
      </c>
      <c r="AL25">
        <f t="shared" si="13"/>
        <v>0</v>
      </c>
      <c r="AM25">
        <f t="shared" si="13"/>
        <v>0</v>
      </c>
      <c r="AN25">
        <f t="shared" si="13"/>
        <v>0</v>
      </c>
      <c r="AO25">
        <f t="shared" si="13"/>
        <v>0</v>
      </c>
      <c r="AP25">
        <f t="shared" si="13"/>
        <v>0</v>
      </c>
      <c r="AQ25">
        <f t="shared" si="13"/>
        <v>0</v>
      </c>
      <c r="AR25">
        <f t="shared" si="13"/>
        <v>0</v>
      </c>
      <c r="AS25">
        <f t="shared" si="13"/>
        <v>0</v>
      </c>
      <c r="AT25">
        <f t="shared" si="13"/>
        <v>0</v>
      </c>
      <c r="AU25">
        <f t="shared" si="13"/>
        <v>0</v>
      </c>
      <c r="AV25">
        <f t="shared" si="13"/>
        <v>0</v>
      </c>
      <c r="AW25">
        <f t="shared" si="13"/>
        <v>0</v>
      </c>
      <c r="AX25">
        <f t="shared" si="13"/>
        <v>0</v>
      </c>
      <c r="AY25">
        <f t="shared" si="13"/>
        <v>0</v>
      </c>
      <c r="AZ25">
        <f t="shared" si="13"/>
        <v>0</v>
      </c>
      <c r="BA25">
        <f t="shared" si="13"/>
        <v>0</v>
      </c>
      <c r="BB25">
        <f t="shared" si="13"/>
        <v>0</v>
      </c>
      <c r="BC25">
        <f t="shared" si="13"/>
        <v>0</v>
      </c>
      <c r="BD25">
        <f t="shared" si="13"/>
        <v>0</v>
      </c>
      <c r="BE25">
        <f t="shared" si="13"/>
        <v>0</v>
      </c>
      <c r="BF25">
        <f t="shared" si="13"/>
        <v>0</v>
      </c>
      <c r="BG25">
        <f t="shared" si="13"/>
        <v>0</v>
      </c>
      <c r="BH25">
        <f t="shared" si="13"/>
        <v>0</v>
      </c>
      <c r="BI25">
        <f t="shared" si="13"/>
        <v>0</v>
      </c>
      <c r="BJ25">
        <f t="shared" si="13"/>
        <v>0</v>
      </c>
      <c r="BK25">
        <f t="shared" si="13"/>
        <v>0</v>
      </c>
      <c r="BL25">
        <f t="shared" si="13"/>
        <v>0</v>
      </c>
      <c r="BM25">
        <f t="shared" si="13"/>
        <v>0</v>
      </c>
      <c r="BN25">
        <f t="shared" si="13"/>
        <v>0</v>
      </c>
      <c r="BO25">
        <f t="shared" si="13"/>
        <v>0</v>
      </c>
      <c r="BP25">
        <f t="shared" si="13"/>
        <v>0</v>
      </c>
      <c r="BQ25">
        <f t="shared" ref="BQ25:EB27" si="19">BQ9-ROUNDUP(BQ9*0.3,2)</f>
        <v>0</v>
      </c>
      <c r="BR25">
        <f t="shared" si="19"/>
        <v>0</v>
      </c>
      <c r="BS25">
        <f t="shared" si="19"/>
        <v>0</v>
      </c>
      <c r="BT25">
        <f t="shared" si="19"/>
        <v>0</v>
      </c>
      <c r="BU25">
        <f t="shared" si="19"/>
        <v>0</v>
      </c>
      <c r="BV25">
        <f t="shared" si="19"/>
        <v>0</v>
      </c>
      <c r="BW25">
        <f t="shared" si="19"/>
        <v>0</v>
      </c>
      <c r="BX25">
        <f t="shared" si="19"/>
        <v>0</v>
      </c>
      <c r="BY25">
        <f t="shared" si="19"/>
        <v>0</v>
      </c>
      <c r="BZ25">
        <f t="shared" si="19"/>
        <v>0</v>
      </c>
      <c r="CA25">
        <f t="shared" si="19"/>
        <v>0</v>
      </c>
      <c r="CB25">
        <f t="shared" si="19"/>
        <v>0</v>
      </c>
      <c r="CC25">
        <f t="shared" si="19"/>
        <v>0</v>
      </c>
      <c r="CD25">
        <f t="shared" si="19"/>
        <v>0</v>
      </c>
      <c r="CE25">
        <f t="shared" si="19"/>
        <v>0</v>
      </c>
      <c r="CF25">
        <f t="shared" si="19"/>
        <v>0</v>
      </c>
      <c r="CG25">
        <f t="shared" si="19"/>
        <v>0</v>
      </c>
      <c r="CH25">
        <f t="shared" si="19"/>
        <v>0</v>
      </c>
      <c r="CI25">
        <f t="shared" si="19"/>
        <v>0</v>
      </c>
      <c r="CJ25">
        <f t="shared" si="19"/>
        <v>0</v>
      </c>
      <c r="CK25">
        <f t="shared" si="19"/>
        <v>0</v>
      </c>
      <c r="CL25">
        <f t="shared" si="19"/>
        <v>0</v>
      </c>
      <c r="CM25">
        <f t="shared" si="19"/>
        <v>0</v>
      </c>
      <c r="CN25">
        <f t="shared" si="19"/>
        <v>0</v>
      </c>
      <c r="CO25">
        <f t="shared" si="19"/>
        <v>0</v>
      </c>
      <c r="CP25">
        <f t="shared" si="19"/>
        <v>0</v>
      </c>
      <c r="CQ25">
        <f t="shared" si="19"/>
        <v>0</v>
      </c>
      <c r="CR25">
        <f t="shared" si="19"/>
        <v>0</v>
      </c>
      <c r="CS25">
        <f t="shared" si="19"/>
        <v>0</v>
      </c>
      <c r="CT25">
        <f t="shared" si="19"/>
        <v>0</v>
      </c>
      <c r="CU25">
        <f t="shared" si="19"/>
        <v>0</v>
      </c>
      <c r="CV25">
        <f t="shared" si="19"/>
        <v>0</v>
      </c>
      <c r="CW25">
        <f t="shared" si="19"/>
        <v>0</v>
      </c>
      <c r="CX25">
        <f t="shared" si="19"/>
        <v>0</v>
      </c>
      <c r="CY25">
        <f t="shared" si="19"/>
        <v>0</v>
      </c>
      <c r="CZ25">
        <f t="shared" si="19"/>
        <v>0</v>
      </c>
      <c r="DA25">
        <f t="shared" si="19"/>
        <v>0</v>
      </c>
      <c r="DB25">
        <f t="shared" si="19"/>
        <v>0</v>
      </c>
      <c r="DC25">
        <f t="shared" si="19"/>
        <v>0</v>
      </c>
      <c r="DD25">
        <f t="shared" si="19"/>
        <v>0</v>
      </c>
      <c r="DE25">
        <f t="shared" si="19"/>
        <v>0</v>
      </c>
      <c r="DF25">
        <f t="shared" si="19"/>
        <v>0</v>
      </c>
      <c r="DG25">
        <f t="shared" si="19"/>
        <v>0</v>
      </c>
      <c r="DH25">
        <f t="shared" si="19"/>
        <v>0</v>
      </c>
      <c r="DI25">
        <f t="shared" si="19"/>
        <v>0</v>
      </c>
      <c r="DJ25">
        <f t="shared" si="19"/>
        <v>0</v>
      </c>
      <c r="DK25">
        <f t="shared" si="19"/>
        <v>0</v>
      </c>
      <c r="DL25">
        <f t="shared" si="19"/>
        <v>0</v>
      </c>
      <c r="DM25">
        <f t="shared" si="19"/>
        <v>0</v>
      </c>
      <c r="DN25">
        <f t="shared" si="19"/>
        <v>0</v>
      </c>
      <c r="DO25">
        <f t="shared" si="19"/>
        <v>0</v>
      </c>
      <c r="DP25">
        <f t="shared" si="19"/>
        <v>0</v>
      </c>
      <c r="DQ25">
        <f t="shared" si="19"/>
        <v>0</v>
      </c>
      <c r="DR25">
        <f t="shared" si="19"/>
        <v>0</v>
      </c>
      <c r="DS25">
        <f t="shared" si="19"/>
        <v>0</v>
      </c>
      <c r="DT25">
        <f t="shared" si="19"/>
        <v>0</v>
      </c>
      <c r="DU25">
        <f t="shared" si="19"/>
        <v>0</v>
      </c>
      <c r="DV25">
        <f t="shared" si="19"/>
        <v>0</v>
      </c>
      <c r="DW25">
        <f t="shared" si="19"/>
        <v>0</v>
      </c>
      <c r="DX25">
        <f t="shared" si="19"/>
        <v>0</v>
      </c>
      <c r="DY25">
        <f t="shared" si="19"/>
        <v>0</v>
      </c>
      <c r="DZ25">
        <f t="shared" si="19"/>
        <v>0</v>
      </c>
      <c r="EA25">
        <f t="shared" si="19"/>
        <v>0</v>
      </c>
      <c r="EB25">
        <f t="shared" si="19"/>
        <v>0</v>
      </c>
      <c r="EC25">
        <f t="shared" si="17"/>
        <v>0</v>
      </c>
      <c r="ED25">
        <f t="shared" si="15"/>
        <v>0</v>
      </c>
      <c r="EE25">
        <f t="shared" si="15"/>
        <v>0</v>
      </c>
      <c r="EF25">
        <f t="shared" si="15"/>
        <v>0</v>
      </c>
      <c r="EG25">
        <f t="shared" si="15"/>
        <v>0</v>
      </c>
      <c r="EH25">
        <f t="shared" si="15"/>
        <v>0</v>
      </c>
      <c r="EI25">
        <f t="shared" si="15"/>
        <v>0</v>
      </c>
      <c r="EJ25">
        <f t="shared" si="15"/>
        <v>0</v>
      </c>
      <c r="EK25">
        <f t="shared" si="15"/>
        <v>0</v>
      </c>
      <c r="EL25">
        <f t="shared" si="15"/>
        <v>0</v>
      </c>
      <c r="EM25">
        <f t="shared" si="15"/>
        <v>0</v>
      </c>
      <c r="EN25">
        <f t="shared" si="15"/>
        <v>0</v>
      </c>
      <c r="EO25">
        <f t="shared" si="15"/>
        <v>0</v>
      </c>
      <c r="EP25">
        <f t="shared" si="15"/>
        <v>0</v>
      </c>
      <c r="EQ25">
        <f t="shared" si="15"/>
        <v>0</v>
      </c>
      <c r="ER25">
        <f t="shared" si="15"/>
        <v>0</v>
      </c>
      <c r="ES25">
        <f t="shared" si="15"/>
        <v>0</v>
      </c>
      <c r="ET25">
        <f t="shared" si="15"/>
        <v>0</v>
      </c>
      <c r="EU25">
        <f t="shared" si="15"/>
        <v>0</v>
      </c>
      <c r="EV25">
        <f t="shared" si="15"/>
        <v>0</v>
      </c>
      <c r="EW25">
        <f t="shared" si="15"/>
        <v>0</v>
      </c>
      <c r="EX25">
        <f t="shared" si="15"/>
        <v>0</v>
      </c>
      <c r="EY25">
        <f t="shared" si="15"/>
        <v>0</v>
      </c>
      <c r="EZ25">
        <f t="shared" si="15"/>
        <v>0</v>
      </c>
      <c r="FA25">
        <f t="shared" si="15"/>
        <v>0</v>
      </c>
      <c r="FB25">
        <f t="shared" si="15"/>
        <v>0</v>
      </c>
      <c r="FC25">
        <f t="shared" si="15"/>
        <v>0</v>
      </c>
      <c r="FD25">
        <f t="shared" si="15"/>
        <v>0</v>
      </c>
      <c r="FE25">
        <f t="shared" si="15"/>
        <v>0</v>
      </c>
      <c r="FF25">
        <f t="shared" si="15"/>
        <v>0</v>
      </c>
      <c r="FG25">
        <f t="shared" si="15"/>
        <v>0</v>
      </c>
      <c r="FH25">
        <f t="shared" si="15"/>
        <v>0</v>
      </c>
      <c r="FI25">
        <f t="shared" si="15"/>
        <v>0</v>
      </c>
      <c r="FJ25">
        <f t="shared" si="15"/>
        <v>0</v>
      </c>
      <c r="FK25">
        <f t="shared" si="15"/>
        <v>0</v>
      </c>
      <c r="FL25">
        <f t="shared" si="15"/>
        <v>0</v>
      </c>
      <c r="FM25">
        <f t="shared" si="15"/>
        <v>0</v>
      </c>
      <c r="FN25">
        <f t="shared" si="15"/>
        <v>0</v>
      </c>
      <c r="FO25">
        <f t="shared" si="15"/>
        <v>0</v>
      </c>
      <c r="FP25">
        <f t="shared" si="15"/>
        <v>0</v>
      </c>
      <c r="FQ25">
        <f t="shared" si="15"/>
        <v>0</v>
      </c>
      <c r="FR25">
        <f t="shared" si="15"/>
        <v>0</v>
      </c>
      <c r="FS25">
        <f t="shared" si="15"/>
        <v>0</v>
      </c>
      <c r="FT25">
        <f t="shared" si="15"/>
        <v>0</v>
      </c>
      <c r="FU25">
        <f t="shared" si="15"/>
        <v>0</v>
      </c>
    </row>
    <row r="26" spans="1:177" x14ac:dyDescent="0.25">
      <c r="A26" t="str">
        <f t="shared" ref="A26:D26" si="20">A10</f>
        <v>M4A4</v>
      </c>
      <c r="B26" t="str">
        <f t="shared" si="20"/>
        <v>Desolate Space MW</v>
      </c>
      <c r="C26" t="str">
        <f t="shared" si="20"/>
        <v>M4A4</v>
      </c>
      <c r="D26" t="str">
        <f t="shared" si="20"/>
        <v>Gamma</v>
      </c>
      <c r="E26">
        <f t="shared" si="11"/>
        <v>9.629999999999999</v>
      </c>
      <c r="F26">
        <f t="shared" ref="F26:BQ27" si="21">F10-ROUNDUP(F10*0.3,2)</f>
        <v>10.1</v>
      </c>
      <c r="G26">
        <f t="shared" si="21"/>
        <v>9.7700000000000014</v>
      </c>
      <c r="H26">
        <f t="shared" si="21"/>
        <v>9.23</v>
      </c>
      <c r="I26">
        <f t="shared" si="21"/>
        <v>10.08</v>
      </c>
      <c r="J26">
        <f t="shared" si="21"/>
        <v>9.8500000000000014</v>
      </c>
      <c r="K26">
        <f t="shared" si="21"/>
        <v>10.260000000000002</v>
      </c>
      <c r="L26">
        <f t="shared" si="21"/>
        <v>9.5500000000000007</v>
      </c>
      <c r="M26">
        <f t="shared" si="21"/>
        <v>9.2999999999999989</v>
      </c>
      <c r="N26">
        <f t="shared" si="21"/>
        <v>9.5400000000000009</v>
      </c>
      <c r="O26">
        <f t="shared" si="21"/>
        <v>9.26</v>
      </c>
      <c r="P26">
        <f t="shared" si="21"/>
        <v>9.25</v>
      </c>
      <c r="Q26">
        <f t="shared" si="21"/>
        <v>9.7800000000000011</v>
      </c>
      <c r="R26">
        <f t="shared" si="21"/>
        <v>9.4699999999999989</v>
      </c>
      <c r="S26">
        <f t="shared" si="21"/>
        <v>9.61</v>
      </c>
      <c r="T26">
        <f t="shared" si="21"/>
        <v>9.57</v>
      </c>
      <c r="U26">
        <f t="shared" si="21"/>
        <v>9.69</v>
      </c>
      <c r="V26">
        <f t="shared" si="21"/>
        <v>9.0599999999999987</v>
      </c>
      <c r="W26">
        <f t="shared" si="21"/>
        <v>9.18</v>
      </c>
      <c r="X26">
        <f t="shared" si="21"/>
        <v>9.52</v>
      </c>
      <c r="Y26">
        <f t="shared" si="21"/>
        <v>9.1199999999999992</v>
      </c>
      <c r="Z26">
        <f t="shared" si="21"/>
        <v>0</v>
      </c>
      <c r="AA26">
        <f t="shared" si="21"/>
        <v>0</v>
      </c>
      <c r="AB26">
        <f t="shared" si="21"/>
        <v>0</v>
      </c>
      <c r="AC26">
        <f t="shared" si="21"/>
        <v>0</v>
      </c>
      <c r="AD26">
        <f t="shared" si="21"/>
        <v>0</v>
      </c>
      <c r="AE26">
        <f t="shared" si="21"/>
        <v>0</v>
      </c>
      <c r="AF26">
        <f t="shared" si="21"/>
        <v>0</v>
      </c>
      <c r="AG26">
        <f t="shared" si="21"/>
        <v>0</v>
      </c>
      <c r="AH26">
        <f t="shared" si="21"/>
        <v>0</v>
      </c>
      <c r="AI26">
        <f t="shared" si="21"/>
        <v>0</v>
      </c>
      <c r="AJ26">
        <f t="shared" si="21"/>
        <v>0</v>
      </c>
      <c r="AK26">
        <f t="shared" si="21"/>
        <v>0</v>
      </c>
      <c r="AL26">
        <f t="shared" si="21"/>
        <v>0</v>
      </c>
      <c r="AM26">
        <f t="shared" si="21"/>
        <v>0</v>
      </c>
      <c r="AN26">
        <f t="shared" si="21"/>
        <v>0</v>
      </c>
      <c r="AO26">
        <f t="shared" si="21"/>
        <v>0</v>
      </c>
      <c r="AP26">
        <f t="shared" si="21"/>
        <v>0</v>
      </c>
      <c r="AQ26">
        <f t="shared" si="21"/>
        <v>0</v>
      </c>
      <c r="AR26">
        <f t="shared" si="21"/>
        <v>0</v>
      </c>
      <c r="AS26">
        <f t="shared" si="21"/>
        <v>0</v>
      </c>
      <c r="AT26">
        <f t="shared" si="21"/>
        <v>0</v>
      </c>
      <c r="AU26">
        <f t="shared" si="21"/>
        <v>0</v>
      </c>
      <c r="AV26">
        <f t="shared" si="21"/>
        <v>0</v>
      </c>
      <c r="AW26">
        <f t="shared" si="21"/>
        <v>0</v>
      </c>
      <c r="AX26">
        <f t="shared" si="21"/>
        <v>0</v>
      </c>
      <c r="AY26">
        <f t="shared" si="21"/>
        <v>0</v>
      </c>
      <c r="AZ26">
        <f t="shared" si="21"/>
        <v>0</v>
      </c>
      <c r="BA26">
        <f t="shared" si="21"/>
        <v>0</v>
      </c>
      <c r="BB26">
        <f t="shared" si="21"/>
        <v>0</v>
      </c>
      <c r="BC26">
        <f t="shared" si="21"/>
        <v>0</v>
      </c>
      <c r="BD26">
        <f t="shared" si="21"/>
        <v>0</v>
      </c>
      <c r="BE26">
        <f t="shared" si="21"/>
        <v>0</v>
      </c>
      <c r="BF26">
        <f t="shared" si="21"/>
        <v>0</v>
      </c>
      <c r="BG26">
        <f t="shared" si="21"/>
        <v>0</v>
      </c>
      <c r="BH26">
        <f t="shared" si="21"/>
        <v>0</v>
      </c>
      <c r="BI26">
        <f t="shared" si="21"/>
        <v>0</v>
      </c>
      <c r="BJ26">
        <f t="shared" si="21"/>
        <v>0</v>
      </c>
      <c r="BK26">
        <f t="shared" si="21"/>
        <v>0</v>
      </c>
      <c r="BL26">
        <f t="shared" si="21"/>
        <v>0</v>
      </c>
      <c r="BM26">
        <f t="shared" si="21"/>
        <v>0</v>
      </c>
      <c r="BN26">
        <f t="shared" si="21"/>
        <v>0</v>
      </c>
      <c r="BO26">
        <f t="shared" si="21"/>
        <v>0</v>
      </c>
      <c r="BP26">
        <f t="shared" si="21"/>
        <v>0</v>
      </c>
      <c r="BQ26">
        <f t="shared" si="21"/>
        <v>0</v>
      </c>
      <c r="BR26">
        <f t="shared" si="19"/>
        <v>0</v>
      </c>
      <c r="BS26">
        <f t="shared" si="19"/>
        <v>0</v>
      </c>
      <c r="BT26">
        <f t="shared" si="19"/>
        <v>0</v>
      </c>
      <c r="BU26">
        <f t="shared" si="19"/>
        <v>0</v>
      </c>
      <c r="BV26">
        <f t="shared" si="19"/>
        <v>0</v>
      </c>
      <c r="BW26">
        <f t="shared" si="19"/>
        <v>0</v>
      </c>
      <c r="BX26">
        <f t="shared" si="19"/>
        <v>0</v>
      </c>
      <c r="BY26">
        <f t="shared" si="19"/>
        <v>0</v>
      </c>
      <c r="BZ26">
        <f t="shared" si="19"/>
        <v>0</v>
      </c>
      <c r="CA26">
        <f t="shared" si="19"/>
        <v>0</v>
      </c>
      <c r="CB26">
        <f t="shared" si="19"/>
        <v>0</v>
      </c>
      <c r="CC26">
        <f t="shared" si="19"/>
        <v>0</v>
      </c>
      <c r="CD26">
        <f t="shared" si="19"/>
        <v>0</v>
      </c>
      <c r="CE26">
        <f t="shared" si="19"/>
        <v>0</v>
      </c>
      <c r="CF26">
        <f t="shared" si="19"/>
        <v>0</v>
      </c>
      <c r="CG26">
        <f t="shared" si="19"/>
        <v>0</v>
      </c>
      <c r="CH26">
        <f t="shared" si="19"/>
        <v>0</v>
      </c>
      <c r="CI26">
        <f t="shared" si="19"/>
        <v>0</v>
      </c>
      <c r="CJ26">
        <f t="shared" si="19"/>
        <v>0</v>
      </c>
      <c r="CK26">
        <f t="shared" si="19"/>
        <v>0</v>
      </c>
      <c r="CL26">
        <f t="shared" si="19"/>
        <v>0</v>
      </c>
      <c r="CM26">
        <f t="shared" si="19"/>
        <v>0</v>
      </c>
      <c r="CN26">
        <f t="shared" si="19"/>
        <v>0</v>
      </c>
      <c r="CO26">
        <f t="shared" si="19"/>
        <v>0</v>
      </c>
      <c r="CP26">
        <f t="shared" si="19"/>
        <v>0</v>
      </c>
      <c r="CQ26">
        <f t="shared" si="19"/>
        <v>0</v>
      </c>
      <c r="CR26">
        <f t="shared" si="19"/>
        <v>0</v>
      </c>
      <c r="CS26">
        <f t="shared" si="19"/>
        <v>0</v>
      </c>
      <c r="CT26">
        <f t="shared" si="19"/>
        <v>0</v>
      </c>
      <c r="CU26">
        <f t="shared" si="19"/>
        <v>0</v>
      </c>
      <c r="CV26">
        <f t="shared" si="19"/>
        <v>0</v>
      </c>
      <c r="CW26">
        <f t="shared" si="19"/>
        <v>0</v>
      </c>
      <c r="CX26">
        <f t="shared" si="19"/>
        <v>0</v>
      </c>
      <c r="CY26">
        <f t="shared" si="19"/>
        <v>0</v>
      </c>
      <c r="CZ26">
        <f t="shared" si="19"/>
        <v>0</v>
      </c>
      <c r="DA26">
        <f t="shared" si="19"/>
        <v>0</v>
      </c>
      <c r="DB26">
        <f t="shared" si="19"/>
        <v>0</v>
      </c>
      <c r="DC26">
        <f t="shared" si="19"/>
        <v>0</v>
      </c>
      <c r="DD26">
        <f t="shared" si="19"/>
        <v>0</v>
      </c>
      <c r="DE26">
        <f t="shared" si="19"/>
        <v>0</v>
      </c>
      <c r="DF26">
        <f t="shared" si="19"/>
        <v>0</v>
      </c>
      <c r="DG26">
        <f t="shared" si="19"/>
        <v>0</v>
      </c>
      <c r="DH26">
        <f t="shared" si="19"/>
        <v>0</v>
      </c>
      <c r="DI26">
        <f t="shared" si="19"/>
        <v>0</v>
      </c>
      <c r="DJ26">
        <f t="shared" si="19"/>
        <v>0</v>
      </c>
      <c r="DK26">
        <f t="shared" si="19"/>
        <v>0</v>
      </c>
      <c r="DL26">
        <f t="shared" si="19"/>
        <v>0</v>
      </c>
      <c r="DM26">
        <f t="shared" si="19"/>
        <v>0</v>
      </c>
      <c r="DN26">
        <f t="shared" si="19"/>
        <v>0</v>
      </c>
      <c r="DO26">
        <f t="shared" si="19"/>
        <v>0</v>
      </c>
      <c r="DP26">
        <f t="shared" si="19"/>
        <v>0</v>
      </c>
      <c r="DQ26">
        <f t="shared" si="19"/>
        <v>0</v>
      </c>
      <c r="DR26">
        <f t="shared" si="19"/>
        <v>0</v>
      </c>
      <c r="DS26">
        <f t="shared" si="19"/>
        <v>0</v>
      </c>
      <c r="DT26">
        <f t="shared" si="19"/>
        <v>0</v>
      </c>
      <c r="DU26">
        <f t="shared" si="19"/>
        <v>0</v>
      </c>
      <c r="DV26">
        <f t="shared" si="19"/>
        <v>0</v>
      </c>
      <c r="DW26">
        <f t="shared" si="19"/>
        <v>0</v>
      </c>
      <c r="DX26">
        <f t="shared" si="19"/>
        <v>0</v>
      </c>
      <c r="DY26">
        <f t="shared" si="19"/>
        <v>0</v>
      </c>
      <c r="DZ26">
        <f t="shared" si="19"/>
        <v>0</v>
      </c>
      <c r="EA26">
        <f t="shared" si="19"/>
        <v>0</v>
      </c>
      <c r="EB26">
        <f t="shared" si="19"/>
        <v>0</v>
      </c>
      <c r="EC26">
        <f t="shared" si="17"/>
        <v>0</v>
      </c>
      <c r="ED26">
        <f t="shared" si="15"/>
        <v>0</v>
      </c>
      <c r="EE26">
        <f t="shared" si="15"/>
        <v>0</v>
      </c>
      <c r="EF26">
        <f t="shared" si="15"/>
        <v>0</v>
      </c>
      <c r="EG26">
        <f t="shared" si="15"/>
        <v>0</v>
      </c>
      <c r="EH26">
        <f t="shared" si="15"/>
        <v>0</v>
      </c>
      <c r="EI26">
        <f t="shared" si="15"/>
        <v>0</v>
      </c>
      <c r="EJ26">
        <f t="shared" si="15"/>
        <v>0</v>
      </c>
      <c r="EK26">
        <f t="shared" si="15"/>
        <v>0</v>
      </c>
      <c r="EL26">
        <f t="shared" si="15"/>
        <v>0</v>
      </c>
      <c r="EM26">
        <f t="shared" si="15"/>
        <v>0</v>
      </c>
      <c r="EN26">
        <f t="shared" si="15"/>
        <v>0</v>
      </c>
      <c r="EO26">
        <f t="shared" si="15"/>
        <v>0</v>
      </c>
      <c r="EP26">
        <f t="shared" si="15"/>
        <v>0</v>
      </c>
      <c r="EQ26">
        <f t="shared" si="15"/>
        <v>0</v>
      </c>
      <c r="ER26">
        <f t="shared" si="15"/>
        <v>0</v>
      </c>
      <c r="ES26">
        <f t="shared" si="15"/>
        <v>0</v>
      </c>
      <c r="ET26">
        <f t="shared" si="15"/>
        <v>0</v>
      </c>
      <c r="EU26">
        <f t="shared" si="15"/>
        <v>0</v>
      </c>
      <c r="EV26">
        <f t="shared" si="15"/>
        <v>0</v>
      </c>
      <c r="EW26">
        <f t="shared" si="15"/>
        <v>0</v>
      </c>
      <c r="EX26">
        <f t="shared" si="15"/>
        <v>0</v>
      </c>
      <c r="EY26">
        <f t="shared" si="15"/>
        <v>0</v>
      </c>
      <c r="EZ26">
        <f t="shared" si="15"/>
        <v>0</v>
      </c>
      <c r="FA26">
        <f t="shared" si="15"/>
        <v>0</v>
      </c>
      <c r="FB26">
        <f t="shared" si="15"/>
        <v>0</v>
      </c>
      <c r="FC26">
        <f t="shared" si="15"/>
        <v>0</v>
      </c>
      <c r="FD26">
        <f t="shared" si="15"/>
        <v>0</v>
      </c>
      <c r="FE26">
        <f t="shared" si="15"/>
        <v>0</v>
      </c>
      <c r="FF26">
        <f t="shared" si="15"/>
        <v>0</v>
      </c>
      <c r="FG26">
        <f t="shared" si="15"/>
        <v>0</v>
      </c>
      <c r="FH26">
        <f t="shared" si="15"/>
        <v>0</v>
      </c>
      <c r="FI26">
        <f t="shared" si="15"/>
        <v>0</v>
      </c>
      <c r="FJ26">
        <f t="shared" si="15"/>
        <v>0</v>
      </c>
      <c r="FK26">
        <f t="shared" si="15"/>
        <v>0</v>
      </c>
      <c r="FL26">
        <f t="shared" si="15"/>
        <v>0</v>
      </c>
      <c r="FM26">
        <f t="shared" si="15"/>
        <v>0</v>
      </c>
      <c r="FN26">
        <f t="shared" si="15"/>
        <v>0</v>
      </c>
      <c r="FO26">
        <f t="shared" si="15"/>
        <v>0</v>
      </c>
      <c r="FP26">
        <f t="shared" si="15"/>
        <v>0</v>
      </c>
      <c r="FQ26">
        <f t="shared" si="15"/>
        <v>0</v>
      </c>
      <c r="FR26">
        <f t="shared" si="15"/>
        <v>0</v>
      </c>
      <c r="FS26">
        <f t="shared" si="15"/>
        <v>0</v>
      </c>
      <c r="FT26">
        <f t="shared" si="15"/>
        <v>0</v>
      </c>
      <c r="FU26">
        <f t="shared" si="15"/>
        <v>0</v>
      </c>
    </row>
    <row r="27" spans="1:177" x14ac:dyDescent="0.25">
      <c r="A27" t="str">
        <f t="shared" ref="A27:D27" si="22">A11</f>
        <v>M4A4</v>
      </c>
      <c r="B27" t="str">
        <f t="shared" si="22"/>
        <v>StatTrak Dragon King MW</v>
      </c>
      <c r="C27" t="str">
        <f t="shared" si="22"/>
        <v>M4A4</v>
      </c>
      <c r="D27" t="str">
        <f t="shared" si="22"/>
        <v>Chroma</v>
      </c>
      <c r="E27">
        <f t="shared" si="11"/>
        <v>26.110000000000003</v>
      </c>
      <c r="F27">
        <f t="shared" si="21"/>
        <v>25.810000000000002</v>
      </c>
      <c r="G27">
        <f t="shared" si="21"/>
        <v>27.159999999999997</v>
      </c>
      <c r="H27">
        <f t="shared" si="21"/>
        <v>26.540000000000003</v>
      </c>
      <c r="I27">
        <f t="shared" si="21"/>
        <v>27.32</v>
      </c>
      <c r="J27">
        <f t="shared" si="21"/>
        <v>26.840000000000003</v>
      </c>
      <c r="K27">
        <f t="shared" si="21"/>
        <v>26.459999999999997</v>
      </c>
      <c r="L27">
        <f t="shared" si="21"/>
        <v>25.83</v>
      </c>
      <c r="M27">
        <f t="shared" si="21"/>
        <v>24.740000000000002</v>
      </c>
      <c r="N27">
        <f t="shared" si="21"/>
        <v>26.64</v>
      </c>
      <c r="O27">
        <f t="shared" si="21"/>
        <v>25.15</v>
      </c>
      <c r="P27">
        <f t="shared" si="21"/>
        <v>25.35</v>
      </c>
      <c r="Q27">
        <f t="shared" si="21"/>
        <v>24.560000000000002</v>
      </c>
      <c r="R27">
        <f t="shared" si="21"/>
        <v>25.29</v>
      </c>
      <c r="S27">
        <f t="shared" si="21"/>
        <v>25.760000000000005</v>
      </c>
      <c r="T27">
        <f t="shared" si="21"/>
        <v>26.560000000000002</v>
      </c>
      <c r="U27">
        <f t="shared" si="21"/>
        <v>27.58</v>
      </c>
      <c r="V27">
        <f t="shared" si="21"/>
        <v>25.92</v>
      </c>
      <c r="W27">
        <f t="shared" si="21"/>
        <v>27.599999999999998</v>
      </c>
      <c r="X27">
        <f t="shared" si="21"/>
        <v>26.490000000000002</v>
      </c>
      <c r="Y27">
        <f t="shared" si="21"/>
        <v>25.299999999999997</v>
      </c>
      <c r="Z27">
        <f t="shared" si="21"/>
        <v>0</v>
      </c>
      <c r="AA27">
        <f t="shared" si="21"/>
        <v>0</v>
      </c>
      <c r="AB27">
        <f t="shared" si="21"/>
        <v>0</v>
      </c>
      <c r="AC27">
        <f t="shared" si="21"/>
        <v>0</v>
      </c>
      <c r="AD27">
        <f t="shared" si="21"/>
        <v>0</v>
      </c>
      <c r="AE27">
        <f t="shared" si="21"/>
        <v>0</v>
      </c>
      <c r="AF27">
        <f t="shared" si="21"/>
        <v>0</v>
      </c>
      <c r="AG27">
        <f t="shared" si="21"/>
        <v>0</v>
      </c>
      <c r="AH27">
        <f t="shared" si="21"/>
        <v>0</v>
      </c>
      <c r="AI27">
        <f t="shared" si="21"/>
        <v>0</v>
      </c>
      <c r="AJ27">
        <f t="shared" si="21"/>
        <v>0</v>
      </c>
      <c r="AK27">
        <f t="shared" si="21"/>
        <v>0</v>
      </c>
      <c r="AL27">
        <f t="shared" si="21"/>
        <v>0</v>
      </c>
      <c r="AM27">
        <f t="shared" si="21"/>
        <v>0</v>
      </c>
      <c r="AN27">
        <f t="shared" si="21"/>
        <v>0</v>
      </c>
      <c r="AO27">
        <f t="shared" si="21"/>
        <v>0</v>
      </c>
      <c r="AP27">
        <f t="shared" si="21"/>
        <v>0</v>
      </c>
      <c r="AQ27">
        <f t="shared" si="21"/>
        <v>0</v>
      </c>
      <c r="AR27">
        <f t="shared" si="21"/>
        <v>0</v>
      </c>
      <c r="AS27">
        <f t="shared" si="21"/>
        <v>0</v>
      </c>
      <c r="AT27">
        <f t="shared" si="21"/>
        <v>0</v>
      </c>
      <c r="AU27">
        <f t="shared" si="21"/>
        <v>0</v>
      </c>
      <c r="AV27">
        <f t="shared" si="21"/>
        <v>0</v>
      </c>
      <c r="AW27">
        <f t="shared" si="21"/>
        <v>0</v>
      </c>
      <c r="AX27">
        <f t="shared" si="21"/>
        <v>0</v>
      </c>
      <c r="AY27">
        <f t="shared" si="21"/>
        <v>0</v>
      </c>
      <c r="AZ27">
        <f t="shared" si="21"/>
        <v>0</v>
      </c>
      <c r="BA27">
        <f t="shared" si="21"/>
        <v>0</v>
      </c>
      <c r="BB27">
        <f t="shared" si="21"/>
        <v>0</v>
      </c>
      <c r="BC27">
        <f t="shared" si="21"/>
        <v>0</v>
      </c>
      <c r="BD27">
        <f t="shared" si="21"/>
        <v>0</v>
      </c>
      <c r="BE27">
        <f t="shared" si="21"/>
        <v>0</v>
      </c>
      <c r="BF27">
        <f t="shared" si="21"/>
        <v>0</v>
      </c>
      <c r="BG27">
        <f t="shared" si="21"/>
        <v>0</v>
      </c>
      <c r="BH27">
        <f t="shared" si="21"/>
        <v>0</v>
      </c>
      <c r="BI27">
        <f t="shared" si="21"/>
        <v>0</v>
      </c>
      <c r="BJ27">
        <f t="shared" si="21"/>
        <v>0</v>
      </c>
      <c r="BK27">
        <f t="shared" si="21"/>
        <v>0</v>
      </c>
      <c r="BL27">
        <f t="shared" si="21"/>
        <v>0</v>
      </c>
      <c r="BM27">
        <f t="shared" si="21"/>
        <v>0</v>
      </c>
      <c r="BN27">
        <f t="shared" si="21"/>
        <v>0</v>
      </c>
      <c r="BO27">
        <f t="shared" si="21"/>
        <v>0</v>
      </c>
      <c r="BP27">
        <f t="shared" si="21"/>
        <v>0</v>
      </c>
      <c r="BQ27">
        <f t="shared" si="21"/>
        <v>0</v>
      </c>
      <c r="BR27">
        <f t="shared" si="19"/>
        <v>0</v>
      </c>
      <c r="BS27">
        <f t="shared" si="19"/>
        <v>0</v>
      </c>
      <c r="BT27">
        <f t="shared" si="19"/>
        <v>0</v>
      </c>
      <c r="BU27">
        <f t="shared" si="19"/>
        <v>0</v>
      </c>
      <c r="BV27">
        <f t="shared" si="19"/>
        <v>0</v>
      </c>
      <c r="BW27">
        <f t="shared" si="19"/>
        <v>0</v>
      </c>
      <c r="BX27">
        <f t="shared" si="19"/>
        <v>0</v>
      </c>
      <c r="BY27">
        <f t="shared" si="19"/>
        <v>0</v>
      </c>
      <c r="BZ27">
        <f t="shared" si="19"/>
        <v>0</v>
      </c>
      <c r="CA27">
        <f t="shared" si="19"/>
        <v>0</v>
      </c>
      <c r="CB27">
        <f t="shared" si="19"/>
        <v>0</v>
      </c>
      <c r="CC27">
        <f t="shared" si="19"/>
        <v>0</v>
      </c>
      <c r="CD27">
        <f t="shared" si="19"/>
        <v>0</v>
      </c>
      <c r="CE27">
        <f t="shared" si="19"/>
        <v>0</v>
      </c>
      <c r="CF27">
        <f t="shared" si="19"/>
        <v>0</v>
      </c>
      <c r="CG27">
        <f t="shared" si="19"/>
        <v>0</v>
      </c>
      <c r="CH27">
        <f t="shared" si="19"/>
        <v>0</v>
      </c>
      <c r="CI27">
        <f t="shared" si="19"/>
        <v>0</v>
      </c>
      <c r="CJ27">
        <f t="shared" si="19"/>
        <v>0</v>
      </c>
      <c r="CK27">
        <f t="shared" si="19"/>
        <v>0</v>
      </c>
      <c r="CL27">
        <f t="shared" si="19"/>
        <v>0</v>
      </c>
      <c r="CM27">
        <f t="shared" si="19"/>
        <v>0</v>
      </c>
      <c r="CN27">
        <f t="shared" si="19"/>
        <v>0</v>
      </c>
      <c r="CO27">
        <f t="shared" si="19"/>
        <v>0</v>
      </c>
      <c r="CP27">
        <f t="shared" si="19"/>
        <v>0</v>
      </c>
      <c r="CQ27">
        <f t="shared" si="19"/>
        <v>0</v>
      </c>
      <c r="CR27">
        <f t="shared" si="19"/>
        <v>0</v>
      </c>
      <c r="CS27">
        <f t="shared" si="19"/>
        <v>0</v>
      </c>
      <c r="CT27">
        <f t="shared" si="19"/>
        <v>0</v>
      </c>
      <c r="CU27">
        <f t="shared" si="19"/>
        <v>0</v>
      </c>
      <c r="CV27">
        <f t="shared" si="19"/>
        <v>0</v>
      </c>
      <c r="CW27">
        <f t="shared" si="19"/>
        <v>0</v>
      </c>
      <c r="CX27">
        <f t="shared" si="19"/>
        <v>0</v>
      </c>
      <c r="CY27">
        <f t="shared" si="19"/>
        <v>0</v>
      </c>
      <c r="CZ27">
        <f t="shared" si="19"/>
        <v>0</v>
      </c>
      <c r="DA27">
        <f t="shared" si="19"/>
        <v>0</v>
      </c>
      <c r="DB27">
        <f t="shared" si="19"/>
        <v>0</v>
      </c>
      <c r="DC27">
        <f t="shared" si="19"/>
        <v>0</v>
      </c>
      <c r="DD27">
        <f t="shared" si="19"/>
        <v>0</v>
      </c>
      <c r="DE27">
        <f t="shared" si="19"/>
        <v>0</v>
      </c>
      <c r="DF27">
        <f t="shared" si="19"/>
        <v>0</v>
      </c>
      <c r="DG27">
        <f t="shared" si="19"/>
        <v>0</v>
      </c>
      <c r="DH27">
        <f t="shared" si="19"/>
        <v>0</v>
      </c>
      <c r="DI27">
        <f t="shared" si="19"/>
        <v>0</v>
      </c>
      <c r="DJ27">
        <f t="shared" si="19"/>
        <v>0</v>
      </c>
      <c r="DK27">
        <f t="shared" si="19"/>
        <v>0</v>
      </c>
      <c r="DL27">
        <f t="shared" si="19"/>
        <v>0</v>
      </c>
      <c r="DM27">
        <f t="shared" si="19"/>
        <v>0</v>
      </c>
      <c r="DN27">
        <f t="shared" si="19"/>
        <v>0</v>
      </c>
      <c r="DO27">
        <f t="shared" si="19"/>
        <v>0</v>
      </c>
      <c r="DP27">
        <f t="shared" si="19"/>
        <v>0</v>
      </c>
      <c r="DQ27">
        <f t="shared" si="19"/>
        <v>0</v>
      </c>
      <c r="DR27">
        <f t="shared" si="19"/>
        <v>0</v>
      </c>
      <c r="DS27">
        <f t="shared" si="19"/>
        <v>0</v>
      </c>
      <c r="DT27">
        <f t="shared" si="19"/>
        <v>0</v>
      </c>
      <c r="DU27">
        <f t="shared" si="19"/>
        <v>0</v>
      </c>
      <c r="DV27">
        <f t="shared" si="19"/>
        <v>0</v>
      </c>
      <c r="DW27">
        <f t="shared" si="19"/>
        <v>0</v>
      </c>
      <c r="DX27">
        <f t="shared" si="19"/>
        <v>0</v>
      </c>
      <c r="DY27">
        <f t="shared" si="19"/>
        <v>0</v>
      </c>
      <c r="DZ27">
        <f t="shared" si="19"/>
        <v>0</v>
      </c>
      <c r="EA27">
        <f t="shared" si="19"/>
        <v>0</v>
      </c>
      <c r="EB27">
        <f t="shared" si="19"/>
        <v>0</v>
      </c>
      <c r="EC27">
        <f t="shared" si="17"/>
        <v>0</v>
      </c>
      <c r="ED27">
        <f t="shared" si="15"/>
        <v>0</v>
      </c>
      <c r="EE27">
        <f t="shared" si="15"/>
        <v>0</v>
      </c>
      <c r="EF27">
        <f t="shared" si="15"/>
        <v>0</v>
      </c>
      <c r="EG27">
        <f t="shared" si="15"/>
        <v>0</v>
      </c>
      <c r="EH27">
        <f t="shared" si="15"/>
        <v>0</v>
      </c>
      <c r="EI27">
        <f t="shared" si="15"/>
        <v>0</v>
      </c>
      <c r="EJ27">
        <f t="shared" si="15"/>
        <v>0</v>
      </c>
      <c r="EK27">
        <f t="shared" si="15"/>
        <v>0</v>
      </c>
      <c r="EL27">
        <f t="shared" si="15"/>
        <v>0</v>
      </c>
      <c r="EM27">
        <f t="shared" si="15"/>
        <v>0</v>
      </c>
      <c r="EN27">
        <f t="shared" si="15"/>
        <v>0</v>
      </c>
      <c r="EO27">
        <f t="shared" si="15"/>
        <v>0</v>
      </c>
      <c r="EP27">
        <f t="shared" si="15"/>
        <v>0</v>
      </c>
      <c r="EQ27">
        <f t="shared" si="15"/>
        <v>0</v>
      </c>
      <c r="ER27">
        <f t="shared" si="15"/>
        <v>0</v>
      </c>
      <c r="ES27">
        <f t="shared" si="15"/>
        <v>0</v>
      </c>
      <c r="ET27">
        <f t="shared" si="15"/>
        <v>0</v>
      </c>
      <c r="EU27">
        <f t="shared" si="15"/>
        <v>0</v>
      </c>
      <c r="EV27">
        <f t="shared" si="15"/>
        <v>0</v>
      </c>
      <c r="EW27">
        <f t="shared" si="15"/>
        <v>0</v>
      </c>
      <c r="EX27">
        <f t="shared" si="15"/>
        <v>0</v>
      </c>
      <c r="EY27">
        <f t="shared" si="15"/>
        <v>0</v>
      </c>
      <c r="EZ27">
        <f t="shared" si="15"/>
        <v>0</v>
      </c>
      <c r="FA27">
        <f t="shared" si="15"/>
        <v>0</v>
      </c>
      <c r="FB27">
        <f t="shared" si="15"/>
        <v>0</v>
      </c>
      <c r="FC27">
        <f t="shared" si="15"/>
        <v>0</v>
      </c>
      <c r="FD27">
        <f t="shared" si="15"/>
        <v>0</v>
      </c>
      <c r="FE27">
        <f t="shared" si="15"/>
        <v>0</v>
      </c>
      <c r="FF27">
        <f t="shared" si="15"/>
        <v>0</v>
      </c>
      <c r="FG27">
        <f t="shared" si="15"/>
        <v>0</v>
      </c>
      <c r="FH27">
        <f t="shared" si="15"/>
        <v>0</v>
      </c>
      <c r="FI27">
        <f t="shared" si="15"/>
        <v>0</v>
      </c>
      <c r="FJ27">
        <f t="shared" si="15"/>
        <v>0</v>
      </c>
      <c r="FK27">
        <f t="shared" si="15"/>
        <v>0</v>
      </c>
      <c r="FL27">
        <f t="shared" si="15"/>
        <v>0</v>
      </c>
      <c r="FM27">
        <f t="shared" si="15"/>
        <v>0</v>
      </c>
      <c r="FN27">
        <f t="shared" si="15"/>
        <v>0</v>
      </c>
      <c r="FO27">
        <f t="shared" si="15"/>
        <v>0</v>
      </c>
      <c r="FP27">
        <f t="shared" si="15"/>
        <v>0</v>
      </c>
      <c r="FQ27">
        <f t="shared" si="15"/>
        <v>0</v>
      </c>
      <c r="FR27">
        <f t="shared" si="15"/>
        <v>0</v>
      </c>
      <c r="FS27">
        <f t="shared" si="15"/>
        <v>0</v>
      </c>
      <c r="FT27">
        <f t="shared" si="15"/>
        <v>0</v>
      </c>
      <c r="FU27">
        <f t="shared" si="15"/>
        <v>0</v>
      </c>
    </row>
    <row r="30" spans="1:177" x14ac:dyDescent="0.25">
      <c r="D30" s="1" t="s">
        <v>186</v>
      </c>
      <c r="E30">
        <f>SUM(E20:E27)</f>
        <v>125.22</v>
      </c>
      <c r="F30">
        <f t="shared" ref="F30:BQ30" si="23">SUM(F20:F27)</f>
        <v>122.66</v>
      </c>
      <c r="G30">
        <f t="shared" si="23"/>
        <v>121.04</v>
      </c>
      <c r="H30">
        <f t="shared" si="23"/>
        <v>123.03</v>
      </c>
      <c r="I30">
        <f t="shared" si="23"/>
        <v>122.83000000000001</v>
      </c>
      <c r="J30">
        <f t="shared" si="23"/>
        <v>124.1</v>
      </c>
      <c r="K30">
        <f t="shared" si="23"/>
        <v>121.14</v>
      </c>
      <c r="L30">
        <f t="shared" si="23"/>
        <v>119.88000000000001</v>
      </c>
      <c r="M30">
        <f t="shared" si="23"/>
        <v>117.33000000000001</v>
      </c>
      <c r="N30">
        <f t="shared" si="23"/>
        <v>119.67</v>
      </c>
      <c r="O30">
        <f t="shared" si="23"/>
        <v>118.35</v>
      </c>
      <c r="P30">
        <f t="shared" si="23"/>
        <v>118.54000000000002</v>
      </c>
      <c r="Q30">
        <f t="shared" si="23"/>
        <v>119.08</v>
      </c>
      <c r="R30">
        <f t="shared" si="23"/>
        <v>121.00999999999999</v>
      </c>
      <c r="S30">
        <f t="shared" si="23"/>
        <v>121.63000000000001</v>
      </c>
      <c r="T30">
        <f t="shared" si="23"/>
        <v>122.75999999999999</v>
      </c>
      <c r="U30">
        <f t="shared" si="23"/>
        <v>123.54</v>
      </c>
      <c r="V30">
        <f t="shared" si="23"/>
        <v>120.26</v>
      </c>
      <c r="W30">
        <f t="shared" si="23"/>
        <v>125.69</v>
      </c>
      <c r="X30">
        <f t="shared" si="23"/>
        <v>128.91999999999999</v>
      </c>
      <c r="Y30">
        <f t="shared" si="23"/>
        <v>124.85000000000001</v>
      </c>
      <c r="Z30">
        <f t="shared" si="23"/>
        <v>0</v>
      </c>
      <c r="AA30">
        <f t="shared" si="23"/>
        <v>0</v>
      </c>
      <c r="AB30">
        <f t="shared" si="23"/>
        <v>0</v>
      </c>
      <c r="AC30">
        <f t="shared" si="23"/>
        <v>0</v>
      </c>
      <c r="AD30">
        <f t="shared" si="23"/>
        <v>0</v>
      </c>
      <c r="AE30">
        <f t="shared" si="23"/>
        <v>0</v>
      </c>
      <c r="AF30">
        <f t="shared" si="23"/>
        <v>0</v>
      </c>
      <c r="AG30">
        <f t="shared" si="23"/>
        <v>0</v>
      </c>
      <c r="AH30">
        <f t="shared" si="23"/>
        <v>0</v>
      </c>
      <c r="AI30">
        <f t="shared" si="23"/>
        <v>0</v>
      </c>
      <c r="AJ30">
        <f t="shared" si="23"/>
        <v>0</v>
      </c>
      <c r="AK30">
        <f t="shared" si="23"/>
        <v>0</v>
      </c>
      <c r="AL30">
        <f t="shared" si="23"/>
        <v>0</v>
      </c>
      <c r="AM30">
        <f t="shared" si="23"/>
        <v>0</v>
      </c>
      <c r="AN30">
        <f t="shared" si="23"/>
        <v>0</v>
      </c>
      <c r="AO30">
        <f t="shared" si="23"/>
        <v>0</v>
      </c>
      <c r="AP30">
        <f t="shared" si="23"/>
        <v>0</v>
      </c>
      <c r="AQ30">
        <f t="shared" si="23"/>
        <v>0</v>
      </c>
      <c r="AR30">
        <f t="shared" si="23"/>
        <v>0</v>
      </c>
      <c r="AS30">
        <f t="shared" si="23"/>
        <v>0</v>
      </c>
      <c r="AT30">
        <f t="shared" si="23"/>
        <v>0</v>
      </c>
      <c r="AU30">
        <f t="shared" si="23"/>
        <v>0</v>
      </c>
      <c r="AV30">
        <f t="shared" si="23"/>
        <v>0</v>
      </c>
      <c r="AW30">
        <f t="shared" si="23"/>
        <v>0</v>
      </c>
      <c r="AX30">
        <f t="shared" si="23"/>
        <v>0</v>
      </c>
      <c r="AY30">
        <f t="shared" si="23"/>
        <v>0</v>
      </c>
      <c r="AZ30">
        <f t="shared" si="23"/>
        <v>0</v>
      </c>
      <c r="BA30">
        <f t="shared" si="23"/>
        <v>0</v>
      </c>
      <c r="BB30">
        <f t="shared" si="23"/>
        <v>0</v>
      </c>
      <c r="BC30">
        <f t="shared" si="23"/>
        <v>0</v>
      </c>
      <c r="BD30">
        <f t="shared" si="23"/>
        <v>0</v>
      </c>
      <c r="BE30">
        <f t="shared" si="23"/>
        <v>0</v>
      </c>
      <c r="BF30">
        <f t="shared" si="23"/>
        <v>0</v>
      </c>
      <c r="BG30">
        <f t="shared" si="23"/>
        <v>0</v>
      </c>
      <c r="BH30">
        <f t="shared" si="23"/>
        <v>0</v>
      </c>
      <c r="BI30">
        <f t="shared" si="23"/>
        <v>0</v>
      </c>
      <c r="BJ30">
        <f t="shared" si="23"/>
        <v>0</v>
      </c>
      <c r="BK30">
        <f t="shared" si="23"/>
        <v>0</v>
      </c>
      <c r="BL30">
        <f t="shared" si="23"/>
        <v>0</v>
      </c>
      <c r="BM30">
        <f t="shared" si="23"/>
        <v>0</v>
      </c>
      <c r="BN30">
        <f t="shared" si="23"/>
        <v>0</v>
      </c>
      <c r="BO30">
        <f t="shared" si="23"/>
        <v>0</v>
      </c>
      <c r="BP30">
        <f t="shared" si="23"/>
        <v>0</v>
      </c>
      <c r="BQ30">
        <f t="shared" si="23"/>
        <v>0</v>
      </c>
      <c r="BR30">
        <f t="shared" ref="BR30:EC30" si="24">SUM(BR20:BR27)</f>
        <v>0</v>
      </c>
      <c r="BS30">
        <f t="shared" si="24"/>
        <v>0</v>
      </c>
      <c r="BT30">
        <f t="shared" si="24"/>
        <v>0</v>
      </c>
      <c r="BU30">
        <f t="shared" si="24"/>
        <v>0</v>
      </c>
      <c r="BV30">
        <f t="shared" si="24"/>
        <v>0</v>
      </c>
      <c r="BW30">
        <f t="shared" si="24"/>
        <v>0</v>
      </c>
      <c r="BX30">
        <f t="shared" si="24"/>
        <v>0</v>
      </c>
      <c r="BY30">
        <f t="shared" si="24"/>
        <v>0</v>
      </c>
      <c r="BZ30">
        <f t="shared" si="24"/>
        <v>0</v>
      </c>
      <c r="CA30">
        <f t="shared" si="24"/>
        <v>0</v>
      </c>
      <c r="CB30">
        <f t="shared" si="24"/>
        <v>0</v>
      </c>
      <c r="CC30">
        <f t="shared" si="24"/>
        <v>0</v>
      </c>
      <c r="CD30">
        <f t="shared" si="24"/>
        <v>0</v>
      </c>
      <c r="CE30">
        <f t="shared" si="24"/>
        <v>0</v>
      </c>
      <c r="CF30">
        <f t="shared" si="24"/>
        <v>0</v>
      </c>
      <c r="CG30">
        <f t="shared" si="24"/>
        <v>0</v>
      </c>
      <c r="CH30">
        <f t="shared" si="24"/>
        <v>0</v>
      </c>
      <c r="CI30">
        <f t="shared" si="24"/>
        <v>0</v>
      </c>
      <c r="CJ30">
        <f t="shared" si="24"/>
        <v>0</v>
      </c>
      <c r="CK30">
        <f t="shared" si="24"/>
        <v>0</v>
      </c>
      <c r="CL30">
        <f t="shared" si="24"/>
        <v>0</v>
      </c>
      <c r="CM30">
        <f t="shared" si="24"/>
        <v>0</v>
      </c>
      <c r="CN30">
        <f t="shared" si="24"/>
        <v>0</v>
      </c>
      <c r="CO30">
        <f t="shared" si="24"/>
        <v>0</v>
      </c>
      <c r="CP30">
        <f t="shared" si="24"/>
        <v>0</v>
      </c>
      <c r="CQ30">
        <f t="shared" si="24"/>
        <v>0</v>
      </c>
      <c r="CR30">
        <f t="shared" si="24"/>
        <v>0</v>
      </c>
      <c r="CS30">
        <f t="shared" si="24"/>
        <v>0</v>
      </c>
      <c r="CT30">
        <f t="shared" si="24"/>
        <v>0</v>
      </c>
      <c r="CU30">
        <f t="shared" si="24"/>
        <v>0</v>
      </c>
      <c r="CV30">
        <f t="shared" si="24"/>
        <v>0</v>
      </c>
      <c r="CW30">
        <f t="shared" si="24"/>
        <v>0</v>
      </c>
      <c r="CX30">
        <f t="shared" si="24"/>
        <v>0</v>
      </c>
      <c r="CY30">
        <f t="shared" si="24"/>
        <v>0</v>
      </c>
      <c r="CZ30">
        <f t="shared" si="24"/>
        <v>0</v>
      </c>
      <c r="DA30">
        <f t="shared" si="24"/>
        <v>0</v>
      </c>
      <c r="DB30">
        <f t="shared" si="24"/>
        <v>0</v>
      </c>
      <c r="DC30">
        <f t="shared" si="24"/>
        <v>0</v>
      </c>
      <c r="DD30">
        <f t="shared" si="24"/>
        <v>0</v>
      </c>
      <c r="DE30">
        <f t="shared" si="24"/>
        <v>0</v>
      </c>
      <c r="DF30">
        <f t="shared" si="24"/>
        <v>0</v>
      </c>
      <c r="DG30">
        <f t="shared" si="24"/>
        <v>0</v>
      </c>
      <c r="DH30">
        <f t="shared" si="24"/>
        <v>0</v>
      </c>
      <c r="DI30">
        <f t="shared" si="24"/>
        <v>0</v>
      </c>
      <c r="DJ30">
        <f t="shared" si="24"/>
        <v>0</v>
      </c>
      <c r="DK30">
        <f t="shared" si="24"/>
        <v>0</v>
      </c>
      <c r="DL30">
        <f t="shared" si="24"/>
        <v>0</v>
      </c>
      <c r="DM30">
        <f t="shared" si="24"/>
        <v>0</v>
      </c>
      <c r="DN30">
        <f t="shared" si="24"/>
        <v>0</v>
      </c>
      <c r="DO30">
        <f t="shared" si="24"/>
        <v>0</v>
      </c>
      <c r="DP30">
        <f t="shared" si="24"/>
        <v>0</v>
      </c>
      <c r="DQ30">
        <f t="shared" si="24"/>
        <v>0</v>
      </c>
      <c r="DR30">
        <f t="shared" si="24"/>
        <v>0</v>
      </c>
      <c r="DS30">
        <f t="shared" si="24"/>
        <v>0</v>
      </c>
      <c r="DT30">
        <f t="shared" si="24"/>
        <v>0</v>
      </c>
      <c r="DU30">
        <f t="shared" si="24"/>
        <v>0</v>
      </c>
      <c r="DV30">
        <f t="shared" si="24"/>
        <v>0</v>
      </c>
      <c r="DW30">
        <f t="shared" si="24"/>
        <v>0</v>
      </c>
      <c r="DX30">
        <f t="shared" si="24"/>
        <v>0</v>
      </c>
      <c r="DY30">
        <f t="shared" si="24"/>
        <v>0</v>
      </c>
      <c r="DZ30">
        <f t="shared" si="24"/>
        <v>0</v>
      </c>
      <c r="EA30">
        <f t="shared" si="24"/>
        <v>0</v>
      </c>
      <c r="EB30">
        <f t="shared" si="24"/>
        <v>0</v>
      </c>
      <c r="EC30">
        <f t="shared" si="24"/>
        <v>0</v>
      </c>
      <c r="ED30">
        <f t="shared" ref="ED30:FU30" si="25">SUM(ED20:ED27)</f>
        <v>0</v>
      </c>
      <c r="EE30">
        <f t="shared" si="25"/>
        <v>0</v>
      </c>
      <c r="EF30">
        <f t="shared" si="25"/>
        <v>0</v>
      </c>
      <c r="EG30">
        <f t="shared" si="25"/>
        <v>0</v>
      </c>
      <c r="EH30">
        <f t="shared" si="25"/>
        <v>0</v>
      </c>
      <c r="EI30">
        <f t="shared" si="25"/>
        <v>0</v>
      </c>
      <c r="EJ30">
        <f t="shared" si="25"/>
        <v>0</v>
      </c>
      <c r="EK30">
        <f t="shared" si="25"/>
        <v>0</v>
      </c>
      <c r="EL30">
        <f t="shared" si="25"/>
        <v>0</v>
      </c>
      <c r="EM30">
        <f t="shared" si="25"/>
        <v>0</v>
      </c>
      <c r="EN30">
        <f t="shared" si="25"/>
        <v>0</v>
      </c>
      <c r="EO30">
        <f t="shared" si="25"/>
        <v>0</v>
      </c>
      <c r="EP30">
        <f t="shared" si="25"/>
        <v>0</v>
      </c>
      <c r="EQ30">
        <f t="shared" si="25"/>
        <v>0</v>
      </c>
      <c r="ER30">
        <f t="shared" si="25"/>
        <v>0</v>
      </c>
      <c r="ES30">
        <f t="shared" si="25"/>
        <v>0</v>
      </c>
      <c r="ET30">
        <f t="shared" si="25"/>
        <v>0</v>
      </c>
      <c r="EU30">
        <f t="shared" si="25"/>
        <v>0</v>
      </c>
      <c r="EV30">
        <f t="shared" si="25"/>
        <v>0</v>
      </c>
      <c r="EW30">
        <f t="shared" si="25"/>
        <v>0</v>
      </c>
      <c r="EX30">
        <f t="shared" si="25"/>
        <v>0</v>
      </c>
      <c r="EY30">
        <f t="shared" si="25"/>
        <v>0</v>
      </c>
      <c r="EZ30">
        <f t="shared" si="25"/>
        <v>0</v>
      </c>
      <c r="FA30">
        <f t="shared" si="25"/>
        <v>0</v>
      </c>
      <c r="FB30">
        <f t="shared" si="25"/>
        <v>0</v>
      </c>
      <c r="FC30">
        <f t="shared" si="25"/>
        <v>0</v>
      </c>
      <c r="FD30">
        <f t="shared" si="25"/>
        <v>0</v>
      </c>
      <c r="FE30">
        <f t="shared" si="25"/>
        <v>0</v>
      </c>
      <c r="FF30">
        <f t="shared" si="25"/>
        <v>0</v>
      </c>
      <c r="FG30">
        <f t="shared" si="25"/>
        <v>0</v>
      </c>
      <c r="FH30">
        <f t="shared" si="25"/>
        <v>0</v>
      </c>
      <c r="FI30">
        <f t="shared" si="25"/>
        <v>0</v>
      </c>
      <c r="FJ30">
        <f t="shared" si="25"/>
        <v>0</v>
      </c>
      <c r="FK30">
        <f t="shared" si="25"/>
        <v>0</v>
      </c>
      <c r="FL30">
        <f t="shared" si="25"/>
        <v>0</v>
      </c>
      <c r="FM30">
        <f t="shared" si="25"/>
        <v>0</v>
      </c>
      <c r="FN30">
        <f t="shared" si="25"/>
        <v>0</v>
      </c>
      <c r="FO30">
        <f t="shared" si="25"/>
        <v>0</v>
      </c>
      <c r="FP30">
        <f t="shared" si="25"/>
        <v>0</v>
      </c>
      <c r="FQ30">
        <f t="shared" si="25"/>
        <v>0</v>
      </c>
      <c r="FR30">
        <f t="shared" si="25"/>
        <v>0</v>
      </c>
      <c r="FS30">
        <f t="shared" si="25"/>
        <v>0</v>
      </c>
      <c r="FT30">
        <f t="shared" si="25"/>
        <v>0</v>
      </c>
      <c r="FU30">
        <f t="shared" si="25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9F7A-267D-4B19-AB7D-35D91CB3193A}">
  <dimension ref="A1:FU23"/>
  <sheetViews>
    <sheetView workbookViewId="0">
      <pane xSplit="4" topLeftCell="E1" activePane="topRight" state="frozen"/>
      <selection pane="topRight" activeCell="I26" sqref="I26"/>
    </sheetView>
  </sheetViews>
  <sheetFormatPr defaultRowHeight="15" x14ac:dyDescent="0.25"/>
  <cols>
    <col min="1" max="1" width="9.140625" customWidth="1"/>
    <col min="2" max="2" width="20.140625" customWidth="1"/>
    <col min="3" max="3" width="12" hidden="1" customWidth="1"/>
    <col min="4" max="4" width="11.5703125" customWidth="1"/>
    <col min="5" max="177" width="10.7109375" customWidth="1"/>
  </cols>
  <sheetData>
    <row r="1" spans="1:177" x14ac:dyDescent="0.25">
      <c r="B1" t="s">
        <v>37</v>
      </c>
    </row>
    <row r="3" spans="1:177" x14ac:dyDescent="0.25">
      <c r="A3" s="1" t="s">
        <v>0</v>
      </c>
      <c r="B3" s="1" t="s">
        <v>1</v>
      </c>
      <c r="C3" s="1" t="s">
        <v>2</v>
      </c>
      <c r="D3" s="1" t="s">
        <v>8</v>
      </c>
      <c r="E3" s="2">
        <f>Inventory!E1</f>
        <v>44331</v>
      </c>
      <c r="F3" s="2">
        <f>Inventory!F1</f>
        <v>44332</v>
      </c>
      <c r="G3" s="2">
        <f>Inventory!G1</f>
        <v>44334</v>
      </c>
      <c r="H3" s="2">
        <f>Inventory!H1</f>
        <v>44336</v>
      </c>
      <c r="I3" s="2">
        <f>Inventory!I1</f>
        <v>44337</v>
      </c>
      <c r="J3" s="2">
        <f>Inventory!J1</f>
        <v>44338</v>
      </c>
      <c r="K3" s="2">
        <f>Inventory!K1</f>
        <v>44339</v>
      </c>
      <c r="L3" s="2">
        <f>Inventory!L1</f>
        <v>44340</v>
      </c>
      <c r="M3" s="2">
        <f>Inventory!M1</f>
        <v>44341</v>
      </c>
      <c r="N3" s="2">
        <f>Inventory!N1</f>
        <v>44342</v>
      </c>
      <c r="O3" s="2">
        <f>Inventory!O1</f>
        <v>44343</v>
      </c>
      <c r="P3" s="2">
        <f>Inventory!P1</f>
        <v>44344</v>
      </c>
      <c r="Q3" s="2">
        <f>Inventory!Q1</f>
        <v>44345</v>
      </c>
      <c r="R3" s="2">
        <f>Inventory!R1</f>
        <v>44346</v>
      </c>
      <c r="S3" s="2">
        <f>Inventory!S1</f>
        <v>44347</v>
      </c>
      <c r="T3" s="2">
        <f>Inventory!T1</f>
        <v>44348</v>
      </c>
      <c r="U3" s="2">
        <f>Inventory!U1</f>
        <v>44349</v>
      </c>
      <c r="V3" s="2">
        <f>Inventory!V1</f>
        <v>44350</v>
      </c>
      <c r="W3" s="2">
        <f>Inventory!W1</f>
        <v>44351</v>
      </c>
      <c r="X3" s="2">
        <f>Inventory!X1</f>
        <v>44352</v>
      </c>
      <c r="Y3" s="2">
        <f>Inventory!Y1</f>
        <v>44353</v>
      </c>
      <c r="Z3" s="2">
        <f>Inventory!Z1</f>
        <v>44354</v>
      </c>
      <c r="AA3" s="2">
        <f>Inventory!AA1</f>
        <v>44355</v>
      </c>
      <c r="AB3" s="2">
        <f>Inventory!AB1</f>
        <v>44356</v>
      </c>
      <c r="AC3" s="2">
        <f>Inventory!AC1</f>
        <v>44357</v>
      </c>
      <c r="AD3" s="2">
        <f>Inventory!AD1</f>
        <v>44358</v>
      </c>
      <c r="AE3" s="2">
        <f>Inventory!AE1</f>
        <v>44359</v>
      </c>
      <c r="AF3" s="2">
        <f>Inventory!AF1</f>
        <v>44360</v>
      </c>
      <c r="AG3" s="2">
        <f>Inventory!AG1</f>
        <v>44361</v>
      </c>
      <c r="AH3" s="2">
        <f>Inventory!AH1</f>
        <v>44362</v>
      </c>
      <c r="AI3" s="2">
        <f>Inventory!AI1</f>
        <v>44363</v>
      </c>
      <c r="AJ3" s="2">
        <f>Inventory!AJ1</f>
        <v>44364</v>
      </c>
      <c r="AK3" s="2">
        <f>Inventory!AK1</f>
        <v>44365</v>
      </c>
      <c r="AL3" s="2">
        <f>Inventory!AL1</f>
        <v>44366</v>
      </c>
      <c r="AM3" s="2">
        <f>Inventory!AM1</f>
        <v>44367</v>
      </c>
      <c r="AN3" s="2">
        <f>Inventory!AN1</f>
        <v>44368</v>
      </c>
      <c r="AO3" s="2">
        <f>Inventory!AO1</f>
        <v>44369</v>
      </c>
      <c r="AP3" s="2">
        <f>Inventory!AP1</f>
        <v>44370</v>
      </c>
      <c r="AQ3" s="2">
        <f>Inventory!AQ1</f>
        <v>44371</v>
      </c>
      <c r="AR3" s="2">
        <f>Inventory!AR1</f>
        <v>44372</v>
      </c>
      <c r="AS3" s="2">
        <f>Inventory!AS1</f>
        <v>44373</v>
      </c>
      <c r="AT3" s="2">
        <f>Inventory!AT1</f>
        <v>44374</v>
      </c>
      <c r="AU3" s="2">
        <f>Inventory!AU1</f>
        <v>44375</v>
      </c>
      <c r="AV3" s="2">
        <f>Inventory!AV1</f>
        <v>44376</v>
      </c>
      <c r="AW3" s="2">
        <f>Inventory!AW1</f>
        <v>44377</v>
      </c>
      <c r="AX3" s="2">
        <f>Inventory!AX1</f>
        <v>44378</v>
      </c>
      <c r="AY3" s="2">
        <f>Inventory!AY1</f>
        <v>44379</v>
      </c>
      <c r="AZ3" s="2">
        <f>Inventory!AZ1</f>
        <v>44380</v>
      </c>
      <c r="BA3" s="2">
        <f>Inventory!BA1</f>
        <v>44381</v>
      </c>
      <c r="BB3" s="2">
        <f>Inventory!BB1</f>
        <v>44382</v>
      </c>
      <c r="BC3" s="2">
        <f>Inventory!BC1</f>
        <v>44383</v>
      </c>
      <c r="BD3" s="2">
        <f>Inventory!BD1</f>
        <v>44384</v>
      </c>
      <c r="BE3" s="2">
        <f>Inventory!BE1</f>
        <v>44385</v>
      </c>
      <c r="BF3" s="2">
        <f>Inventory!BF1</f>
        <v>44386</v>
      </c>
      <c r="BG3" s="2">
        <f>Inventory!BG1</f>
        <v>44387</v>
      </c>
      <c r="BH3" s="2">
        <f>Inventory!BH1</f>
        <v>44388</v>
      </c>
      <c r="BI3" s="2">
        <f>Inventory!BI1</f>
        <v>44389</v>
      </c>
      <c r="BJ3" s="2">
        <f>Inventory!BJ1</f>
        <v>44390</v>
      </c>
      <c r="BK3" s="2">
        <f>Inventory!BK1</f>
        <v>44391</v>
      </c>
      <c r="BL3" s="2">
        <f>Inventory!BL1</f>
        <v>44392</v>
      </c>
      <c r="BM3" s="2">
        <f>Inventory!BM1</f>
        <v>44393</v>
      </c>
      <c r="BN3" s="2">
        <f>Inventory!BN1</f>
        <v>44394</v>
      </c>
      <c r="BO3" s="2">
        <f>Inventory!BO1</f>
        <v>44395</v>
      </c>
      <c r="BP3" s="2">
        <f>Inventory!BP1</f>
        <v>44396</v>
      </c>
      <c r="BQ3" s="2">
        <f>Inventory!BQ1</f>
        <v>44397</v>
      </c>
      <c r="BR3" s="2">
        <f>Inventory!BR1</f>
        <v>44398</v>
      </c>
      <c r="BS3" s="2">
        <f>Inventory!BS1</f>
        <v>44399</v>
      </c>
      <c r="BT3" s="2">
        <f>Inventory!BT1</f>
        <v>44400</v>
      </c>
      <c r="BU3" s="2">
        <f>Inventory!BU1</f>
        <v>44401</v>
      </c>
      <c r="BV3" s="2">
        <f>Inventory!BV1</f>
        <v>44402</v>
      </c>
      <c r="BW3" s="2">
        <f>Inventory!BW1</f>
        <v>44403</v>
      </c>
      <c r="BX3" s="2">
        <f>Inventory!BX1</f>
        <v>44404</v>
      </c>
      <c r="BY3" s="2">
        <f>Inventory!BY1</f>
        <v>44405</v>
      </c>
      <c r="BZ3" s="2">
        <f>Inventory!BZ1</f>
        <v>44406</v>
      </c>
      <c r="CA3" s="2">
        <f>Inventory!CA1</f>
        <v>44407</v>
      </c>
      <c r="CB3" s="2">
        <f>Inventory!CB1</f>
        <v>44408</v>
      </c>
      <c r="CC3" s="2">
        <f>Inventory!CC1</f>
        <v>44409</v>
      </c>
      <c r="CD3" s="2">
        <f>Inventory!CD1</f>
        <v>44410</v>
      </c>
      <c r="CE3" s="2">
        <f>Inventory!CE1</f>
        <v>44411</v>
      </c>
      <c r="CF3" s="2">
        <f>Inventory!CF1</f>
        <v>44412</v>
      </c>
      <c r="CG3" s="2">
        <f>Inventory!CG1</f>
        <v>44413</v>
      </c>
      <c r="CH3" s="2">
        <f>Inventory!CH1</f>
        <v>44414</v>
      </c>
      <c r="CI3" s="2">
        <f>Inventory!CI1</f>
        <v>44415</v>
      </c>
      <c r="CJ3" s="2">
        <f>Inventory!CJ1</f>
        <v>44416</v>
      </c>
      <c r="CK3" s="2">
        <f>Inventory!CK1</f>
        <v>44417</v>
      </c>
      <c r="CL3" s="2">
        <f>Inventory!CL1</f>
        <v>44418</v>
      </c>
      <c r="CM3" s="2">
        <f>Inventory!CM1</f>
        <v>44419</v>
      </c>
      <c r="CN3" s="2">
        <f>Inventory!CN1</f>
        <v>44420</v>
      </c>
      <c r="CO3" s="2">
        <f>Inventory!CO1</f>
        <v>44421</v>
      </c>
      <c r="CP3" s="2">
        <f>Inventory!CP1</f>
        <v>44422</v>
      </c>
      <c r="CQ3" s="2">
        <f>Inventory!CQ1</f>
        <v>44423</v>
      </c>
      <c r="CR3" s="2">
        <f>Inventory!CR1</f>
        <v>44424</v>
      </c>
      <c r="CS3" s="2">
        <f>Inventory!CS1</f>
        <v>44425</v>
      </c>
      <c r="CT3" s="2">
        <f>Inventory!CT1</f>
        <v>44426</v>
      </c>
      <c r="CU3" s="2">
        <f>Inventory!CU1</f>
        <v>44427</v>
      </c>
      <c r="CV3" s="2">
        <f>Inventory!CV1</f>
        <v>44428</v>
      </c>
      <c r="CW3" s="2">
        <f>Inventory!CW1</f>
        <v>44429</v>
      </c>
      <c r="CX3" s="2">
        <f>Inventory!CX1</f>
        <v>44430</v>
      </c>
      <c r="CY3" s="2">
        <f>Inventory!CY1</f>
        <v>44431</v>
      </c>
      <c r="CZ3" s="2">
        <f>Inventory!CZ1</f>
        <v>44432</v>
      </c>
      <c r="DA3" s="2">
        <f>Inventory!DA1</f>
        <v>44433</v>
      </c>
      <c r="DB3" s="2">
        <f>Inventory!DB1</f>
        <v>44434</v>
      </c>
      <c r="DC3" s="2">
        <f>Inventory!DC1</f>
        <v>44435</v>
      </c>
      <c r="DD3" s="2">
        <f>Inventory!DD1</f>
        <v>44436</v>
      </c>
      <c r="DE3" s="2">
        <f>Inventory!DE1</f>
        <v>44437</v>
      </c>
      <c r="DF3" s="2">
        <f>Inventory!DF1</f>
        <v>44438</v>
      </c>
      <c r="DG3" s="2">
        <f>Inventory!DG1</f>
        <v>44439</v>
      </c>
      <c r="DH3" s="2">
        <f>Inventory!DH1</f>
        <v>44440</v>
      </c>
      <c r="DI3" s="2">
        <f>Inventory!DI1</f>
        <v>44441</v>
      </c>
      <c r="DJ3" s="2">
        <f>Inventory!DJ1</f>
        <v>44442</v>
      </c>
      <c r="DK3" s="2">
        <f>Inventory!DK1</f>
        <v>44443</v>
      </c>
      <c r="DL3" s="2">
        <f>Inventory!DL1</f>
        <v>44444</v>
      </c>
      <c r="DM3" s="2">
        <f>Inventory!DM1</f>
        <v>44445</v>
      </c>
      <c r="DN3" s="2">
        <f>Inventory!DN1</f>
        <v>44446</v>
      </c>
      <c r="DO3" s="2">
        <f>Inventory!DO1</f>
        <v>44447</v>
      </c>
      <c r="DP3" s="2">
        <f>Inventory!DP1</f>
        <v>44448</v>
      </c>
      <c r="DQ3" s="2">
        <f>Inventory!DQ1</f>
        <v>44449</v>
      </c>
      <c r="DR3" s="2">
        <f>Inventory!DR1</f>
        <v>44450</v>
      </c>
      <c r="DS3" s="2">
        <f>Inventory!DS1</f>
        <v>44451</v>
      </c>
      <c r="DT3" s="2">
        <f>Inventory!DT1</f>
        <v>44452</v>
      </c>
      <c r="DU3" s="2">
        <f>Inventory!DU1</f>
        <v>44453</v>
      </c>
      <c r="DV3" s="2">
        <f>Inventory!DV1</f>
        <v>44454</v>
      </c>
      <c r="DW3" s="2">
        <f>Inventory!DW1</f>
        <v>44455</v>
      </c>
      <c r="DX3" s="2">
        <f>Inventory!DX1</f>
        <v>44456</v>
      </c>
      <c r="DY3" s="2">
        <f>Inventory!DY1</f>
        <v>44457</v>
      </c>
      <c r="DZ3" s="2">
        <f>Inventory!DZ1</f>
        <v>44458</v>
      </c>
      <c r="EA3" s="2">
        <f>Inventory!EA1</f>
        <v>44459</v>
      </c>
      <c r="EB3" s="2">
        <f>Inventory!EB1</f>
        <v>44460</v>
      </c>
      <c r="EC3" s="2">
        <f>Inventory!EC1</f>
        <v>44461</v>
      </c>
      <c r="ED3" s="2">
        <f>Inventory!ED1</f>
        <v>44462</v>
      </c>
      <c r="EE3" s="2">
        <f>Inventory!EE1</f>
        <v>44463</v>
      </c>
      <c r="EF3" s="2">
        <f>Inventory!EF1</f>
        <v>44464</v>
      </c>
      <c r="EG3" s="2">
        <f>Inventory!EG1</f>
        <v>44465</v>
      </c>
      <c r="EH3" s="2">
        <f>Inventory!EH1</f>
        <v>44466</v>
      </c>
      <c r="EI3" s="2">
        <f>Inventory!EI1</f>
        <v>44467</v>
      </c>
      <c r="EJ3" s="2">
        <f>Inventory!EJ1</f>
        <v>44468</v>
      </c>
      <c r="EK3" s="2">
        <f>Inventory!EK1</f>
        <v>44469</v>
      </c>
      <c r="EL3" s="2">
        <f>Inventory!EL1</f>
        <v>44470</v>
      </c>
      <c r="EM3" s="2">
        <f>Inventory!EM1</f>
        <v>44471</v>
      </c>
      <c r="EN3" s="2">
        <f>Inventory!EN1</f>
        <v>44472</v>
      </c>
      <c r="EO3" s="2">
        <f>Inventory!EO1</f>
        <v>44473</v>
      </c>
      <c r="EP3" s="2">
        <f>Inventory!EP1</f>
        <v>44474</v>
      </c>
      <c r="EQ3" s="2">
        <f>Inventory!EQ1</f>
        <v>44475</v>
      </c>
      <c r="ER3" s="2">
        <f>Inventory!ER1</f>
        <v>44476</v>
      </c>
      <c r="ES3" s="2">
        <f>Inventory!ES1</f>
        <v>44477</v>
      </c>
      <c r="ET3" s="2">
        <f>Inventory!ET1</f>
        <v>44478</v>
      </c>
      <c r="EU3" s="2">
        <f>Inventory!EU1</f>
        <v>44479</v>
      </c>
      <c r="EV3" s="2">
        <f>Inventory!EV1</f>
        <v>44480</v>
      </c>
      <c r="EW3" s="2">
        <f>Inventory!EW1</f>
        <v>44481</v>
      </c>
      <c r="EX3" s="2">
        <f>Inventory!EX1</f>
        <v>44482</v>
      </c>
      <c r="EY3" s="2">
        <f>Inventory!EY1</f>
        <v>44483</v>
      </c>
      <c r="EZ3" s="2">
        <f>Inventory!EZ1</f>
        <v>44484</v>
      </c>
      <c r="FA3" s="2">
        <f>Inventory!FA1</f>
        <v>44485</v>
      </c>
      <c r="FB3" s="2">
        <f>Inventory!FB1</f>
        <v>44486</v>
      </c>
      <c r="FC3" s="2">
        <f>Inventory!FC1</f>
        <v>44487</v>
      </c>
      <c r="FD3" s="2">
        <f>Inventory!FD1</f>
        <v>44488</v>
      </c>
      <c r="FE3" s="2">
        <f>Inventory!FE1</f>
        <v>44489</v>
      </c>
      <c r="FF3" s="2">
        <f>Inventory!FF1</f>
        <v>44490</v>
      </c>
      <c r="FG3" s="2">
        <f>Inventory!FG1</f>
        <v>44491</v>
      </c>
      <c r="FH3" s="2">
        <f>Inventory!FH1</f>
        <v>44492</v>
      </c>
      <c r="FI3" s="2">
        <f>Inventory!FI1</f>
        <v>44493</v>
      </c>
      <c r="FJ3" s="2">
        <f>Inventory!FJ1</f>
        <v>44494</v>
      </c>
      <c r="FK3" s="2">
        <f>Inventory!FK1</f>
        <v>44495</v>
      </c>
      <c r="FL3" s="2">
        <f>Inventory!FL1</f>
        <v>44496</v>
      </c>
      <c r="FM3" s="2">
        <f>Inventory!FM1</f>
        <v>44497</v>
      </c>
      <c r="FN3" s="2">
        <f>Inventory!FN1</f>
        <v>44498</v>
      </c>
      <c r="FO3" s="2">
        <f>Inventory!FO1</f>
        <v>44499</v>
      </c>
      <c r="FP3" s="2">
        <f>Inventory!FP1</f>
        <v>44500</v>
      </c>
      <c r="FQ3" s="2">
        <f>Inventory!FQ1</f>
        <v>44501</v>
      </c>
      <c r="FR3" s="2">
        <f>Inventory!FR1</f>
        <v>44502</v>
      </c>
      <c r="FS3" s="2">
        <f>Inventory!FS1</f>
        <v>44503</v>
      </c>
      <c r="FT3" s="2">
        <f>Inventory!FT1</f>
        <v>44504</v>
      </c>
      <c r="FU3" s="2">
        <f>Inventory!FU1</f>
        <v>44505</v>
      </c>
    </row>
    <row r="4" spans="1:177" x14ac:dyDescent="0.25">
      <c r="A4" t="str" cm="1">
        <f t="array" ref="A4:FU7">_xlfn._xlws.FILTER(Inventory!$A$2:$FU$103, (Inventory!C2:C103="M4A1-S"))</f>
        <v>M4A1-S</v>
      </c>
      <c r="B4" t="str">
        <v>Flashback FN</v>
      </c>
      <c r="C4" t="str">
        <v>M4A1-S</v>
      </c>
      <c r="D4" t="str">
        <v>Glove</v>
      </c>
      <c r="E4">
        <v>2.92</v>
      </c>
      <c r="F4">
        <v>3.01</v>
      </c>
      <c r="G4">
        <v>2.89</v>
      </c>
      <c r="H4">
        <v>2.81</v>
      </c>
      <c r="I4">
        <v>2.82</v>
      </c>
      <c r="J4">
        <v>2.91</v>
      </c>
      <c r="K4">
        <v>2.84</v>
      </c>
      <c r="L4">
        <v>2.78</v>
      </c>
      <c r="M4">
        <v>2.71</v>
      </c>
      <c r="N4">
        <v>2.68</v>
      </c>
      <c r="O4">
        <v>2.81</v>
      </c>
      <c r="P4">
        <v>2.54</v>
      </c>
      <c r="Q4">
        <v>2.64</v>
      </c>
      <c r="R4">
        <v>2.77</v>
      </c>
      <c r="S4">
        <v>2.5</v>
      </c>
      <c r="T4">
        <v>2.5299999999999998</v>
      </c>
      <c r="U4">
        <v>2.4500000000000002</v>
      </c>
      <c r="V4">
        <v>2.5</v>
      </c>
      <c r="W4">
        <v>2.4500000000000002</v>
      </c>
      <c r="X4">
        <v>2.4700000000000002</v>
      </c>
      <c r="Y4">
        <v>2.5299999999999998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</row>
    <row r="5" spans="1:177" x14ac:dyDescent="0.25">
      <c r="A5" t="str">
        <v>M4A1-S</v>
      </c>
      <c r="B5" t="str">
        <v>StatTrak Cyrex MW</v>
      </c>
      <c r="C5" t="str">
        <v>M4A1-S</v>
      </c>
      <c r="D5" t="str">
        <v>Breakout</v>
      </c>
      <c r="E5">
        <v>36.200000000000003</v>
      </c>
      <c r="F5">
        <v>34.799999999999997</v>
      </c>
      <c r="G5">
        <v>33.229999999999997</v>
      </c>
      <c r="H5">
        <v>33.31</v>
      </c>
      <c r="I5">
        <v>34.51</v>
      </c>
      <c r="J5">
        <v>33.049999999999997</v>
      </c>
      <c r="K5">
        <v>31.31</v>
      </c>
      <c r="L5">
        <v>33.380000000000003</v>
      </c>
      <c r="M5">
        <v>33.380000000000003</v>
      </c>
      <c r="N5">
        <v>33.01</v>
      </c>
      <c r="O5">
        <v>30.97</v>
      </c>
      <c r="P5">
        <v>34.409999999999997</v>
      </c>
      <c r="Q5">
        <v>34.11</v>
      </c>
      <c r="R5">
        <v>41.12</v>
      </c>
      <c r="S5">
        <v>36.270000000000003</v>
      </c>
      <c r="T5">
        <v>35.090000000000003</v>
      </c>
      <c r="U5">
        <v>35.93</v>
      </c>
      <c r="V5">
        <v>33.97</v>
      </c>
      <c r="W5">
        <v>35.33</v>
      </c>
      <c r="X5">
        <v>32.56</v>
      </c>
      <c r="Y5">
        <v>31.05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</row>
    <row r="6" spans="1:177" x14ac:dyDescent="0.25">
      <c r="A6" t="str">
        <v>M4A1-S</v>
      </c>
      <c r="B6" t="str">
        <v>Hyper Beast MW</v>
      </c>
      <c r="C6" t="str">
        <v>M4A1-S</v>
      </c>
      <c r="D6" t="str">
        <v>Chroma 2</v>
      </c>
      <c r="E6">
        <v>21.98</v>
      </c>
      <c r="F6">
        <v>21.05</v>
      </c>
      <c r="G6">
        <v>20.67</v>
      </c>
      <c r="H6">
        <v>19.8</v>
      </c>
      <c r="I6">
        <v>21.22</v>
      </c>
      <c r="J6">
        <v>21.31</v>
      </c>
      <c r="K6">
        <v>21.25</v>
      </c>
      <c r="L6">
        <v>21.06</v>
      </c>
      <c r="M6">
        <v>20.420000000000002</v>
      </c>
      <c r="N6">
        <v>20.03</v>
      </c>
      <c r="O6">
        <v>20.100000000000001</v>
      </c>
      <c r="P6">
        <v>19.739999999999998</v>
      </c>
      <c r="Q6">
        <v>20.52</v>
      </c>
      <c r="R6">
        <v>21.08</v>
      </c>
      <c r="S6">
        <v>21.17</v>
      </c>
      <c r="T6">
        <v>21.44</v>
      </c>
      <c r="U6">
        <v>19.41</v>
      </c>
      <c r="V6">
        <v>19.41</v>
      </c>
      <c r="W6">
        <v>20.84</v>
      </c>
      <c r="X6">
        <v>20.7</v>
      </c>
      <c r="Y6">
        <v>21.47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</row>
    <row r="7" spans="1:177" x14ac:dyDescent="0.25">
      <c r="A7" t="str">
        <v>M4A1-S</v>
      </c>
      <c r="B7" t="str">
        <v>Golden Coil FT</v>
      </c>
      <c r="C7" t="str">
        <v>M4A1-S</v>
      </c>
      <c r="D7" t="str">
        <v>Shadow</v>
      </c>
      <c r="E7">
        <v>15.54</v>
      </c>
      <c r="F7">
        <v>15.25</v>
      </c>
      <c r="G7">
        <v>15.81</v>
      </c>
      <c r="H7">
        <v>15.02</v>
      </c>
      <c r="I7">
        <v>15.8</v>
      </c>
      <c r="J7">
        <v>15.47</v>
      </c>
      <c r="K7">
        <v>15.35</v>
      </c>
      <c r="L7">
        <v>15.48</v>
      </c>
      <c r="M7">
        <v>15.22</v>
      </c>
      <c r="N7">
        <v>14.51</v>
      </c>
      <c r="O7">
        <v>15.48</v>
      </c>
      <c r="P7">
        <v>14.67</v>
      </c>
      <c r="Q7">
        <v>14.07</v>
      </c>
      <c r="R7">
        <v>14.65</v>
      </c>
      <c r="S7">
        <v>14.89</v>
      </c>
      <c r="T7">
        <v>14.91</v>
      </c>
      <c r="U7">
        <v>15.3</v>
      </c>
      <c r="V7">
        <v>15.45</v>
      </c>
      <c r="W7">
        <v>14.51</v>
      </c>
      <c r="X7">
        <v>14.75</v>
      </c>
      <c r="Y7">
        <v>15.68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</row>
    <row r="10" spans="1:177" x14ac:dyDescent="0.25">
      <c r="D10" s="1" t="s">
        <v>186</v>
      </c>
      <c r="E10">
        <f>SUM(E4:E7)</f>
        <v>76.640000000000015</v>
      </c>
      <c r="F10">
        <f t="shared" ref="F10:BQ10" si="0">SUM(F4:F7)</f>
        <v>74.11</v>
      </c>
      <c r="G10">
        <f t="shared" si="0"/>
        <v>72.599999999999994</v>
      </c>
      <c r="H10">
        <f t="shared" si="0"/>
        <v>70.94</v>
      </c>
      <c r="I10">
        <f t="shared" si="0"/>
        <v>74.349999999999994</v>
      </c>
      <c r="J10">
        <f t="shared" si="0"/>
        <v>72.739999999999995</v>
      </c>
      <c r="K10">
        <f t="shared" si="0"/>
        <v>70.75</v>
      </c>
      <c r="L10">
        <f t="shared" si="0"/>
        <v>72.7</v>
      </c>
      <c r="M10">
        <f t="shared" si="0"/>
        <v>71.73</v>
      </c>
      <c r="N10">
        <f t="shared" si="0"/>
        <v>70.23</v>
      </c>
      <c r="O10">
        <f t="shared" si="0"/>
        <v>69.36</v>
      </c>
      <c r="P10">
        <f t="shared" si="0"/>
        <v>71.36</v>
      </c>
      <c r="Q10">
        <f t="shared" si="0"/>
        <v>71.34</v>
      </c>
      <c r="R10">
        <f t="shared" si="0"/>
        <v>79.62</v>
      </c>
      <c r="S10">
        <f t="shared" si="0"/>
        <v>74.830000000000013</v>
      </c>
      <c r="T10">
        <f t="shared" si="0"/>
        <v>73.97</v>
      </c>
      <c r="U10">
        <f t="shared" si="0"/>
        <v>73.09</v>
      </c>
      <c r="V10">
        <f t="shared" si="0"/>
        <v>71.33</v>
      </c>
      <c r="W10">
        <f t="shared" si="0"/>
        <v>73.13000000000001</v>
      </c>
      <c r="X10">
        <f t="shared" si="0"/>
        <v>70.48</v>
      </c>
      <c r="Y10">
        <f t="shared" si="0"/>
        <v>70.72999999999999</v>
      </c>
      <c r="Z10">
        <f t="shared" si="0"/>
        <v>0</v>
      </c>
      <c r="AA10">
        <f t="shared" si="0"/>
        <v>0</v>
      </c>
      <c r="AB10">
        <f t="shared" si="0"/>
        <v>0</v>
      </c>
      <c r="AC10">
        <f t="shared" si="0"/>
        <v>0</v>
      </c>
      <c r="AD10">
        <f t="shared" si="0"/>
        <v>0</v>
      </c>
      <c r="AE10">
        <f t="shared" si="0"/>
        <v>0</v>
      </c>
      <c r="AF10">
        <f t="shared" si="0"/>
        <v>0</v>
      </c>
      <c r="AG10">
        <f t="shared" si="0"/>
        <v>0</v>
      </c>
      <c r="AH10">
        <f t="shared" si="0"/>
        <v>0</v>
      </c>
      <c r="AI10">
        <f t="shared" si="0"/>
        <v>0</v>
      </c>
      <c r="AJ10">
        <f t="shared" si="0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  <c r="BE10">
        <f t="shared" si="0"/>
        <v>0</v>
      </c>
      <c r="BF10">
        <f t="shared" si="0"/>
        <v>0</v>
      </c>
      <c r="BG10">
        <f t="shared" si="0"/>
        <v>0</v>
      </c>
      <c r="BH10">
        <f t="shared" si="0"/>
        <v>0</v>
      </c>
      <c r="BI10">
        <f t="shared" si="0"/>
        <v>0</v>
      </c>
      <c r="BJ10">
        <f t="shared" si="0"/>
        <v>0</v>
      </c>
      <c r="BK10">
        <f t="shared" si="0"/>
        <v>0</v>
      </c>
      <c r="BL10">
        <f t="shared" si="0"/>
        <v>0</v>
      </c>
      <c r="BM10">
        <f t="shared" si="0"/>
        <v>0</v>
      </c>
      <c r="BN10">
        <f t="shared" si="0"/>
        <v>0</v>
      </c>
      <c r="BO10">
        <f t="shared" si="0"/>
        <v>0</v>
      </c>
      <c r="BP10">
        <f t="shared" si="0"/>
        <v>0</v>
      </c>
      <c r="BQ10">
        <f t="shared" si="0"/>
        <v>0</v>
      </c>
      <c r="BR10">
        <f t="shared" ref="BR10:EC10" si="1">SUM(BR4:BR7)</f>
        <v>0</v>
      </c>
      <c r="BS10">
        <f t="shared" si="1"/>
        <v>0</v>
      </c>
      <c r="BT10">
        <f t="shared" si="1"/>
        <v>0</v>
      </c>
      <c r="BU10">
        <f t="shared" si="1"/>
        <v>0</v>
      </c>
      <c r="BV10">
        <f t="shared" si="1"/>
        <v>0</v>
      </c>
      <c r="BW10">
        <f t="shared" si="1"/>
        <v>0</v>
      </c>
      <c r="BX10">
        <f t="shared" si="1"/>
        <v>0</v>
      </c>
      <c r="BY10">
        <f t="shared" si="1"/>
        <v>0</v>
      </c>
      <c r="BZ10">
        <f t="shared" si="1"/>
        <v>0</v>
      </c>
      <c r="CA10">
        <f t="shared" si="1"/>
        <v>0</v>
      </c>
      <c r="CB10">
        <f t="shared" si="1"/>
        <v>0</v>
      </c>
      <c r="CC10">
        <f t="shared" si="1"/>
        <v>0</v>
      </c>
      <c r="CD10">
        <f t="shared" si="1"/>
        <v>0</v>
      </c>
      <c r="CE10">
        <f t="shared" si="1"/>
        <v>0</v>
      </c>
      <c r="CF10">
        <f t="shared" si="1"/>
        <v>0</v>
      </c>
      <c r="CG10">
        <f t="shared" si="1"/>
        <v>0</v>
      </c>
      <c r="CH10">
        <f t="shared" si="1"/>
        <v>0</v>
      </c>
      <c r="CI10">
        <f t="shared" si="1"/>
        <v>0</v>
      </c>
      <c r="CJ10">
        <f t="shared" si="1"/>
        <v>0</v>
      </c>
      <c r="CK10">
        <f t="shared" si="1"/>
        <v>0</v>
      </c>
      <c r="CL10">
        <f t="shared" si="1"/>
        <v>0</v>
      </c>
      <c r="CM10">
        <f t="shared" si="1"/>
        <v>0</v>
      </c>
      <c r="CN10">
        <f t="shared" si="1"/>
        <v>0</v>
      </c>
      <c r="CO10">
        <f t="shared" si="1"/>
        <v>0</v>
      </c>
      <c r="CP10">
        <f t="shared" si="1"/>
        <v>0</v>
      </c>
      <c r="CQ10">
        <f t="shared" si="1"/>
        <v>0</v>
      </c>
      <c r="CR10">
        <f t="shared" si="1"/>
        <v>0</v>
      </c>
      <c r="CS10">
        <f t="shared" si="1"/>
        <v>0</v>
      </c>
      <c r="CT10">
        <f t="shared" si="1"/>
        <v>0</v>
      </c>
      <c r="CU10">
        <f t="shared" si="1"/>
        <v>0</v>
      </c>
      <c r="CV10">
        <f t="shared" si="1"/>
        <v>0</v>
      </c>
      <c r="CW10">
        <f t="shared" si="1"/>
        <v>0</v>
      </c>
      <c r="CX10">
        <f t="shared" si="1"/>
        <v>0</v>
      </c>
      <c r="CY10">
        <f t="shared" si="1"/>
        <v>0</v>
      </c>
      <c r="CZ10">
        <f t="shared" si="1"/>
        <v>0</v>
      </c>
      <c r="DA10">
        <f t="shared" si="1"/>
        <v>0</v>
      </c>
      <c r="DB10">
        <f t="shared" si="1"/>
        <v>0</v>
      </c>
      <c r="DC10">
        <f t="shared" si="1"/>
        <v>0</v>
      </c>
      <c r="DD10">
        <f t="shared" si="1"/>
        <v>0</v>
      </c>
      <c r="DE10">
        <f t="shared" si="1"/>
        <v>0</v>
      </c>
      <c r="DF10">
        <f t="shared" si="1"/>
        <v>0</v>
      </c>
      <c r="DG10">
        <f t="shared" si="1"/>
        <v>0</v>
      </c>
      <c r="DH10">
        <f t="shared" si="1"/>
        <v>0</v>
      </c>
      <c r="DI10">
        <f t="shared" si="1"/>
        <v>0</v>
      </c>
      <c r="DJ10">
        <f t="shared" si="1"/>
        <v>0</v>
      </c>
      <c r="DK10">
        <f t="shared" si="1"/>
        <v>0</v>
      </c>
      <c r="DL10">
        <f t="shared" si="1"/>
        <v>0</v>
      </c>
      <c r="DM10">
        <f t="shared" si="1"/>
        <v>0</v>
      </c>
      <c r="DN10">
        <f t="shared" si="1"/>
        <v>0</v>
      </c>
      <c r="DO10">
        <f t="shared" si="1"/>
        <v>0</v>
      </c>
      <c r="DP10">
        <f t="shared" si="1"/>
        <v>0</v>
      </c>
      <c r="DQ10">
        <f t="shared" si="1"/>
        <v>0</v>
      </c>
      <c r="DR10">
        <f t="shared" si="1"/>
        <v>0</v>
      </c>
      <c r="DS10">
        <f t="shared" si="1"/>
        <v>0</v>
      </c>
      <c r="DT10">
        <f t="shared" si="1"/>
        <v>0</v>
      </c>
      <c r="DU10">
        <f t="shared" si="1"/>
        <v>0</v>
      </c>
      <c r="DV10">
        <f t="shared" si="1"/>
        <v>0</v>
      </c>
      <c r="DW10">
        <f t="shared" si="1"/>
        <v>0</v>
      </c>
      <c r="DX10">
        <f t="shared" si="1"/>
        <v>0</v>
      </c>
      <c r="DY10">
        <f t="shared" si="1"/>
        <v>0</v>
      </c>
      <c r="DZ10">
        <f t="shared" si="1"/>
        <v>0</v>
      </c>
      <c r="EA10">
        <f t="shared" si="1"/>
        <v>0</v>
      </c>
      <c r="EB10">
        <f t="shared" si="1"/>
        <v>0</v>
      </c>
      <c r="EC10">
        <f t="shared" si="1"/>
        <v>0</v>
      </c>
      <c r="ED10">
        <f t="shared" ref="ED10:FU10" si="2">SUM(ED4:ED7)</f>
        <v>0</v>
      </c>
      <c r="EE10">
        <f t="shared" si="2"/>
        <v>0</v>
      </c>
      <c r="EF10">
        <f t="shared" si="2"/>
        <v>0</v>
      </c>
      <c r="EG10">
        <f t="shared" si="2"/>
        <v>0</v>
      </c>
      <c r="EH10">
        <f t="shared" si="2"/>
        <v>0</v>
      </c>
      <c r="EI10">
        <f t="shared" si="2"/>
        <v>0</v>
      </c>
      <c r="EJ10">
        <f t="shared" si="2"/>
        <v>0</v>
      </c>
      <c r="EK10">
        <f t="shared" si="2"/>
        <v>0</v>
      </c>
      <c r="EL10">
        <f t="shared" si="2"/>
        <v>0</v>
      </c>
      <c r="EM10">
        <f t="shared" si="2"/>
        <v>0</v>
      </c>
      <c r="EN10">
        <f t="shared" si="2"/>
        <v>0</v>
      </c>
      <c r="EO10">
        <f t="shared" si="2"/>
        <v>0</v>
      </c>
      <c r="EP10">
        <f t="shared" si="2"/>
        <v>0</v>
      </c>
      <c r="EQ10">
        <f t="shared" si="2"/>
        <v>0</v>
      </c>
      <c r="ER10">
        <f t="shared" si="2"/>
        <v>0</v>
      </c>
      <c r="ES10">
        <f t="shared" si="2"/>
        <v>0</v>
      </c>
      <c r="ET10">
        <f t="shared" si="2"/>
        <v>0</v>
      </c>
      <c r="EU10">
        <f t="shared" si="2"/>
        <v>0</v>
      </c>
      <c r="EV10">
        <f t="shared" si="2"/>
        <v>0</v>
      </c>
      <c r="EW10">
        <f t="shared" si="2"/>
        <v>0</v>
      </c>
      <c r="EX10">
        <f t="shared" si="2"/>
        <v>0</v>
      </c>
      <c r="EY10">
        <f t="shared" si="2"/>
        <v>0</v>
      </c>
      <c r="EZ10">
        <f t="shared" si="2"/>
        <v>0</v>
      </c>
      <c r="FA10">
        <f t="shared" si="2"/>
        <v>0</v>
      </c>
      <c r="FB10">
        <f t="shared" si="2"/>
        <v>0</v>
      </c>
      <c r="FC10">
        <f t="shared" si="2"/>
        <v>0</v>
      </c>
      <c r="FD10">
        <f t="shared" si="2"/>
        <v>0</v>
      </c>
      <c r="FE10">
        <f t="shared" si="2"/>
        <v>0</v>
      </c>
      <c r="FF10">
        <f t="shared" si="2"/>
        <v>0</v>
      </c>
      <c r="FG10">
        <f t="shared" si="2"/>
        <v>0</v>
      </c>
      <c r="FH10">
        <f t="shared" si="2"/>
        <v>0</v>
      </c>
      <c r="FI10">
        <f t="shared" si="2"/>
        <v>0</v>
      </c>
      <c r="FJ10">
        <f t="shared" si="2"/>
        <v>0</v>
      </c>
      <c r="FK10">
        <f t="shared" si="2"/>
        <v>0</v>
      </c>
      <c r="FL10">
        <f t="shared" si="2"/>
        <v>0</v>
      </c>
      <c r="FM10">
        <f t="shared" si="2"/>
        <v>0</v>
      </c>
      <c r="FN10">
        <f t="shared" si="2"/>
        <v>0</v>
      </c>
      <c r="FO10">
        <f t="shared" si="2"/>
        <v>0</v>
      </c>
      <c r="FP10">
        <f t="shared" si="2"/>
        <v>0</v>
      </c>
      <c r="FQ10">
        <f t="shared" si="2"/>
        <v>0</v>
      </c>
      <c r="FR10">
        <f t="shared" si="2"/>
        <v>0</v>
      </c>
      <c r="FS10">
        <f t="shared" si="2"/>
        <v>0</v>
      </c>
      <c r="FT10">
        <f t="shared" si="2"/>
        <v>0</v>
      </c>
      <c r="FU10">
        <f t="shared" si="2"/>
        <v>0</v>
      </c>
    </row>
    <row r="16" spans="1:177" x14ac:dyDescent="0.25">
      <c r="A16" s="1" t="s">
        <v>0</v>
      </c>
      <c r="B16" s="1" t="s">
        <v>1</v>
      </c>
      <c r="C16" s="1" t="s">
        <v>2</v>
      </c>
      <c r="D16" s="1" t="s">
        <v>8</v>
      </c>
      <c r="E16" s="2">
        <f>E3</f>
        <v>44331</v>
      </c>
      <c r="F16" s="2">
        <f t="shared" ref="F16:BQ16" si="3">F3</f>
        <v>44332</v>
      </c>
      <c r="G16" s="2">
        <f t="shared" si="3"/>
        <v>44334</v>
      </c>
      <c r="H16" s="2">
        <f t="shared" si="3"/>
        <v>44336</v>
      </c>
      <c r="I16" s="2">
        <f t="shared" si="3"/>
        <v>44337</v>
      </c>
      <c r="J16" s="2">
        <f t="shared" si="3"/>
        <v>44338</v>
      </c>
      <c r="K16" s="2">
        <f t="shared" si="3"/>
        <v>44339</v>
      </c>
      <c r="L16" s="2">
        <f t="shared" si="3"/>
        <v>44340</v>
      </c>
      <c r="M16" s="2">
        <f t="shared" si="3"/>
        <v>44341</v>
      </c>
      <c r="N16" s="2">
        <f t="shared" si="3"/>
        <v>44342</v>
      </c>
      <c r="O16" s="2">
        <f t="shared" si="3"/>
        <v>44343</v>
      </c>
      <c r="P16" s="2">
        <f t="shared" si="3"/>
        <v>44344</v>
      </c>
      <c r="Q16" s="2">
        <f t="shared" si="3"/>
        <v>44345</v>
      </c>
      <c r="R16" s="2">
        <f t="shared" si="3"/>
        <v>44346</v>
      </c>
      <c r="S16" s="2">
        <f t="shared" si="3"/>
        <v>44347</v>
      </c>
      <c r="T16" s="2">
        <f t="shared" si="3"/>
        <v>44348</v>
      </c>
      <c r="U16" s="2">
        <f t="shared" si="3"/>
        <v>44349</v>
      </c>
      <c r="V16" s="2">
        <f t="shared" si="3"/>
        <v>44350</v>
      </c>
      <c r="W16" s="2">
        <f t="shared" si="3"/>
        <v>44351</v>
      </c>
      <c r="X16" s="2">
        <f t="shared" si="3"/>
        <v>44352</v>
      </c>
      <c r="Y16" s="2">
        <f t="shared" si="3"/>
        <v>44353</v>
      </c>
      <c r="Z16" s="2">
        <f t="shared" si="3"/>
        <v>44354</v>
      </c>
      <c r="AA16" s="2">
        <f t="shared" si="3"/>
        <v>44355</v>
      </c>
      <c r="AB16" s="2">
        <f t="shared" si="3"/>
        <v>44356</v>
      </c>
      <c r="AC16" s="2">
        <f t="shared" si="3"/>
        <v>44357</v>
      </c>
      <c r="AD16" s="2">
        <f t="shared" si="3"/>
        <v>44358</v>
      </c>
      <c r="AE16" s="2">
        <f t="shared" si="3"/>
        <v>44359</v>
      </c>
      <c r="AF16" s="2">
        <f t="shared" si="3"/>
        <v>44360</v>
      </c>
      <c r="AG16" s="2">
        <f t="shared" si="3"/>
        <v>44361</v>
      </c>
      <c r="AH16" s="2">
        <f t="shared" si="3"/>
        <v>44362</v>
      </c>
      <c r="AI16" s="2">
        <f t="shared" si="3"/>
        <v>44363</v>
      </c>
      <c r="AJ16" s="2">
        <f t="shared" si="3"/>
        <v>44364</v>
      </c>
      <c r="AK16" s="2">
        <f t="shared" si="3"/>
        <v>44365</v>
      </c>
      <c r="AL16" s="2">
        <f t="shared" si="3"/>
        <v>44366</v>
      </c>
      <c r="AM16" s="2">
        <f t="shared" si="3"/>
        <v>44367</v>
      </c>
      <c r="AN16" s="2">
        <f t="shared" si="3"/>
        <v>44368</v>
      </c>
      <c r="AO16" s="2">
        <f t="shared" si="3"/>
        <v>44369</v>
      </c>
      <c r="AP16" s="2">
        <f t="shared" si="3"/>
        <v>44370</v>
      </c>
      <c r="AQ16" s="2">
        <f t="shared" si="3"/>
        <v>44371</v>
      </c>
      <c r="AR16" s="2">
        <f t="shared" si="3"/>
        <v>44372</v>
      </c>
      <c r="AS16" s="2">
        <f t="shared" si="3"/>
        <v>44373</v>
      </c>
      <c r="AT16" s="2">
        <f t="shared" si="3"/>
        <v>44374</v>
      </c>
      <c r="AU16" s="2">
        <f t="shared" si="3"/>
        <v>44375</v>
      </c>
      <c r="AV16" s="2">
        <f t="shared" si="3"/>
        <v>44376</v>
      </c>
      <c r="AW16" s="2">
        <f t="shared" si="3"/>
        <v>44377</v>
      </c>
      <c r="AX16" s="2">
        <f t="shared" si="3"/>
        <v>44378</v>
      </c>
      <c r="AY16" s="2">
        <f t="shared" si="3"/>
        <v>44379</v>
      </c>
      <c r="AZ16" s="2">
        <f t="shared" si="3"/>
        <v>44380</v>
      </c>
      <c r="BA16" s="2">
        <f t="shared" si="3"/>
        <v>44381</v>
      </c>
      <c r="BB16" s="2">
        <f t="shared" si="3"/>
        <v>44382</v>
      </c>
      <c r="BC16" s="2">
        <f t="shared" si="3"/>
        <v>44383</v>
      </c>
      <c r="BD16" s="2">
        <f t="shared" si="3"/>
        <v>44384</v>
      </c>
      <c r="BE16" s="2">
        <f t="shared" si="3"/>
        <v>44385</v>
      </c>
      <c r="BF16" s="2">
        <f t="shared" si="3"/>
        <v>44386</v>
      </c>
      <c r="BG16" s="2">
        <f t="shared" si="3"/>
        <v>44387</v>
      </c>
      <c r="BH16" s="2">
        <f t="shared" si="3"/>
        <v>44388</v>
      </c>
      <c r="BI16" s="2">
        <f t="shared" si="3"/>
        <v>44389</v>
      </c>
      <c r="BJ16" s="2">
        <f t="shared" si="3"/>
        <v>44390</v>
      </c>
      <c r="BK16" s="2">
        <f t="shared" si="3"/>
        <v>44391</v>
      </c>
      <c r="BL16" s="2">
        <f t="shared" si="3"/>
        <v>44392</v>
      </c>
      <c r="BM16" s="2">
        <f t="shared" si="3"/>
        <v>44393</v>
      </c>
      <c r="BN16" s="2">
        <f t="shared" si="3"/>
        <v>44394</v>
      </c>
      <c r="BO16" s="2">
        <f t="shared" si="3"/>
        <v>44395</v>
      </c>
      <c r="BP16" s="2">
        <f t="shared" si="3"/>
        <v>44396</v>
      </c>
      <c r="BQ16" s="2">
        <f t="shared" si="3"/>
        <v>44397</v>
      </c>
      <c r="BR16" s="2">
        <f t="shared" ref="BR16:EC16" si="4">BR3</f>
        <v>44398</v>
      </c>
      <c r="BS16" s="2">
        <f t="shared" si="4"/>
        <v>44399</v>
      </c>
      <c r="BT16" s="2">
        <f t="shared" si="4"/>
        <v>44400</v>
      </c>
      <c r="BU16" s="2">
        <f t="shared" si="4"/>
        <v>44401</v>
      </c>
      <c r="BV16" s="2">
        <f t="shared" si="4"/>
        <v>44402</v>
      </c>
      <c r="BW16" s="2">
        <f t="shared" si="4"/>
        <v>44403</v>
      </c>
      <c r="BX16" s="2">
        <f t="shared" si="4"/>
        <v>44404</v>
      </c>
      <c r="BY16" s="2">
        <f t="shared" si="4"/>
        <v>44405</v>
      </c>
      <c r="BZ16" s="2">
        <f t="shared" si="4"/>
        <v>44406</v>
      </c>
      <c r="CA16" s="2">
        <f t="shared" si="4"/>
        <v>44407</v>
      </c>
      <c r="CB16" s="2">
        <f t="shared" si="4"/>
        <v>44408</v>
      </c>
      <c r="CC16" s="2">
        <f t="shared" si="4"/>
        <v>44409</v>
      </c>
      <c r="CD16" s="2">
        <f t="shared" si="4"/>
        <v>44410</v>
      </c>
      <c r="CE16" s="2">
        <f t="shared" si="4"/>
        <v>44411</v>
      </c>
      <c r="CF16" s="2">
        <f t="shared" si="4"/>
        <v>44412</v>
      </c>
      <c r="CG16" s="2">
        <f t="shared" si="4"/>
        <v>44413</v>
      </c>
      <c r="CH16" s="2">
        <f t="shared" si="4"/>
        <v>44414</v>
      </c>
      <c r="CI16" s="2">
        <f t="shared" si="4"/>
        <v>44415</v>
      </c>
      <c r="CJ16" s="2">
        <f t="shared" si="4"/>
        <v>44416</v>
      </c>
      <c r="CK16" s="2">
        <f t="shared" si="4"/>
        <v>44417</v>
      </c>
      <c r="CL16" s="2">
        <f t="shared" si="4"/>
        <v>44418</v>
      </c>
      <c r="CM16" s="2">
        <f t="shared" si="4"/>
        <v>44419</v>
      </c>
      <c r="CN16" s="2">
        <f t="shared" si="4"/>
        <v>44420</v>
      </c>
      <c r="CO16" s="2">
        <f t="shared" si="4"/>
        <v>44421</v>
      </c>
      <c r="CP16" s="2">
        <f t="shared" si="4"/>
        <v>44422</v>
      </c>
      <c r="CQ16" s="2">
        <f t="shared" si="4"/>
        <v>44423</v>
      </c>
      <c r="CR16" s="2">
        <f t="shared" si="4"/>
        <v>44424</v>
      </c>
      <c r="CS16" s="2">
        <f t="shared" si="4"/>
        <v>44425</v>
      </c>
      <c r="CT16" s="2">
        <f t="shared" si="4"/>
        <v>44426</v>
      </c>
      <c r="CU16" s="2">
        <f t="shared" si="4"/>
        <v>44427</v>
      </c>
      <c r="CV16" s="2">
        <f t="shared" si="4"/>
        <v>44428</v>
      </c>
      <c r="CW16" s="2">
        <f t="shared" si="4"/>
        <v>44429</v>
      </c>
      <c r="CX16" s="2">
        <f t="shared" si="4"/>
        <v>44430</v>
      </c>
      <c r="CY16" s="2">
        <f t="shared" si="4"/>
        <v>44431</v>
      </c>
      <c r="CZ16" s="2">
        <f t="shared" si="4"/>
        <v>44432</v>
      </c>
      <c r="DA16" s="2">
        <f t="shared" si="4"/>
        <v>44433</v>
      </c>
      <c r="DB16" s="2">
        <f t="shared" si="4"/>
        <v>44434</v>
      </c>
      <c r="DC16" s="2">
        <f t="shared" si="4"/>
        <v>44435</v>
      </c>
      <c r="DD16" s="2">
        <f t="shared" si="4"/>
        <v>44436</v>
      </c>
      <c r="DE16" s="2">
        <f t="shared" si="4"/>
        <v>44437</v>
      </c>
      <c r="DF16" s="2">
        <f t="shared" si="4"/>
        <v>44438</v>
      </c>
      <c r="DG16" s="2">
        <f t="shared" si="4"/>
        <v>44439</v>
      </c>
      <c r="DH16" s="2">
        <f t="shared" si="4"/>
        <v>44440</v>
      </c>
      <c r="DI16" s="2">
        <f t="shared" si="4"/>
        <v>44441</v>
      </c>
      <c r="DJ16" s="2">
        <f t="shared" si="4"/>
        <v>44442</v>
      </c>
      <c r="DK16" s="2">
        <f t="shared" si="4"/>
        <v>44443</v>
      </c>
      <c r="DL16" s="2">
        <f t="shared" si="4"/>
        <v>44444</v>
      </c>
      <c r="DM16" s="2">
        <f t="shared" si="4"/>
        <v>44445</v>
      </c>
      <c r="DN16" s="2">
        <f t="shared" si="4"/>
        <v>44446</v>
      </c>
      <c r="DO16" s="2">
        <f t="shared" si="4"/>
        <v>44447</v>
      </c>
      <c r="DP16" s="2">
        <f t="shared" si="4"/>
        <v>44448</v>
      </c>
      <c r="DQ16" s="2">
        <f t="shared" si="4"/>
        <v>44449</v>
      </c>
      <c r="DR16" s="2">
        <f t="shared" si="4"/>
        <v>44450</v>
      </c>
      <c r="DS16" s="2">
        <f t="shared" si="4"/>
        <v>44451</v>
      </c>
      <c r="DT16" s="2">
        <f t="shared" si="4"/>
        <v>44452</v>
      </c>
      <c r="DU16" s="2">
        <f t="shared" si="4"/>
        <v>44453</v>
      </c>
      <c r="DV16" s="2">
        <f t="shared" si="4"/>
        <v>44454</v>
      </c>
      <c r="DW16" s="2">
        <f t="shared" si="4"/>
        <v>44455</v>
      </c>
      <c r="DX16" s="2">
        <f t="shared" si="4"/>
        <v>44456</v>
      </c>
      <c r="DY16" s="2">
        <f t="shared" si="4"/>
        <v>44457</v>
      </c>
      <c r="DZ16" s="2">
        <f t="shared" si="4"/>
        <v>44458</v>
      </c>
      <c r="EA16" s="2">
        <f t="shared" si="4"/>
        <v>44459</v>
      </c>
      <c r="EB16" s="2">
        <f t="shared" si="4"/>
        <v>44460</v>
      </c>
      <c r="EC16" s="2">
        <f t="shared" si="4"/>
        <v>44461</v>
      </c>
      <c r="ED16" s="2">
        <f t="shared" ref="ED16:FU16" si="5">ED3</f>
        <v>44462</v>
      </c>
      <c r="EE16" s="2">
        <f t="shared" si="5"/>
        <v>44463</v>
      </c>
      <c r="EF16" s="2">
        <f t="shared" si="5"/>
        <v>44464</v>
      </c>
      <c r="EG16" s="2">
        <f t="shared" si="5"/>
        <v>44465</v>
      </c>
      <c r="EH16" s="2">
        <f t="shared" si="5"/>
        <v>44466</v>
      </c>
      <c r="EI16" s="2">
        <f t="shared" si="5"/>
        <v>44467</v>
      </c>
      <c r="EJ16" s="2">
        <f t="shared" si="5"/>
        <v>44468</v>
      </c>
      <c r="EK16" s="2">
        <f t="shared" si="5"/>
        <v>44469</v>
      </c>
      <c r="EL16" s="2">
        <f t="shared" si="5"/>
        <v>44470</v>
      </c>
      <c r="EM16" s="2">
        <f t="shared" si="5"/>
        <v>44471</v>
      </c>
      <c r="EN16" s="2">
        <f t="shared" si="5"/>
        <v>44472</v>
      </c>
      <c r="EO16" s="2">
        <f t="shared" si="5"/>
        <v>44473</v>
      </c>
      <c r="EP16" s="2">
        <f t="shared" si="5"/>
        <v>44474</v>
      </c>
      <c r="EQ16" s="2">
        <f t="shared" si="5"/>
        <v>44475</v>
      </c>
      <c r="ER16" s="2">
        <f t="shared" si="5"/>
        <v>44476</v>
      </c>
      <c r="ES16" s="2">
        <f t="shared" si="5"/>
        <v>44477</v>
      </c>
      <c r="ET16" s="2">
        <f t="shared" si="5"/>
        <v>44478</v>
      </c>
      <c r="EU16" s="2">
        <f t="shared" si="5"/>
        <v>44479</v>
      </c>
      <c r="EV16" s="2">
        <f t="shared" si="5"/>
        <v>44480</v>
      </c>
      <c r="EW16" s="2">
        <f t="shared" si="5"/>
        <v>44481</v>
      </c>
      <c r="EX16" s="2">
        <f t="shared" si="5"/>
        <v>44482</v>
      </c>
      <c r="EY16" s="2">
        <f t="shared" si="5"/>
        <v>44483</v>
      </c>
      <c r="EZ16" s="2">
        <f t="shared" si="5"/>
        <v>44484</v>
      </c>
      <c r="FA16" s="2">
        <f t="shared" si="5"/>
        <v>44485</v>
      </c>
      <c r="FB16" s="2">
        <f t="shared" si="5"/>
        <v>44486</v>
      </c>
      <c r="FC16" s="2">
        <f t="shared" si="5"/>
        <v>44487</v>
      </c>
      <c r="FD16" s="2">
        <f t="shared" si="5"/>
        <v>44488</v>
      </c>
      <c r="FE16" s="2">
        <f t="shared" si="5"/>
        <v>44489</v>
      </c>
      <c r="FF16" s="2">
        <f t="shared" si="5"/>
        <v>44490</v>
      </c>
      <c r="FG16" s="2">
        <f t="shared" si="5"/>
        <v>44491</v>
      </c>
      <c r="FH16" s="2">
        <f t="shared" si="5"/>
        <v>44492</v>
      </c>
      <c r="FI16" s="2">
        <f t="shared" si="5"/>
        <v>44493</v>
      </c>
      <c r="FJ16" s="2">
        <f t="shared" si="5"/>
        <v>44494</v>
      </c>
      <c r="FK16" s="2">
        <f t="shared" si="5"/>
        <v>44495</v>
      </c>
      <c r="FL16" s="2">
        <f t="shared" si="5"/>
        <v>44496</v>
      </c>
      <c r="FM16" s="2">
        <f t="shared" si="5"/>
        <v>44497</v>
      </c>
      <c r="FN16" s="2">
        <f t="shared" si="5"/>
        <v>44498</v>
      </c>
      <c r="FO16" s="2">
        <f t="shared" si="5"/>
        <v>44499</v>
      </c>
      <c r="FP16" s="2">
        <f t="shared" si="5"/>
        <v>44500</v>
      </c>
      <c r="FQ16" s="2">
        <f t="shared" si="5"/>
        <v>44501</v>
      </c>
      <c r="FR16" s="2">
        <f t="shared" si="5"/>
        <v>44502</v>
      </c>
      <c r="FS16" s="2">
        <f t="shared" si="5"/>
        <v>44503</v>
      </c>
      <c r="FT16" s="2">
        <f t="shared" si="5"/>
        <v>44504</v>
      </c>
      <c r="FU16" s="2">
        <f t="shared" si="5"/>
        <v>44505</v>
      </c>
    </row>
    <row r="17" spans="1:177" x14ac:dyDescent="0.25">
      <c r="A17" t="str">
        <f>A4</f>
        <v>M4A1-S</v>
      </c>
      <c r="B17" t="str">
        <f t="shared" ref="B17:D17" si="6">B4</f>
        <v>Flashback FN</v>
      </c>
      <c r="C17" t="str">
        <f t="shared" si="6"/>
        <v>M4A1-S</v>
      </c>
      <c r="D17" t="str">
        <f t="shared" si="6"/>
        <v>Glove</v>
      </c>
      <c r="E17">
        <f>E4-ROUNDUP(E4*0.3,2)</f>
        <v>2.04</v>
      </c>
      <c r="F17">
        <f t="shared" ref="F17:BQ18" si="7">F4-ROUNDUP(F4*0.3,2)</f>
        <v>2.0999999999999996</v>
      </c>
      <c r="G17">
        <f t="shared" si="7"/>
        <v>2.02</v>
      </c>
      <c r="H17">
        <f t="shared" si="7"/>
        <v>1.96</v>
      </c>
      <c r="I17">
        <f t="shared" si="7"/>
        <v>1.9699999999999998</v>
      </c>
      <c r="J17">
        <f t="shared" si="7"/>
        <v>2.0300000000000002</v>
      </c>
      <c r="K17">
        <f t="shared" si="7"/>
        <v>1.98</v>
      </c>
      <c r="L17">
        <f t="shared" si="7"/>
        <v>1.94</v>
      </c>
      <c r="M17">
        <f t="shared" si="7"/>
        <v>1.89</v>
      </c>
      <c r="N17">
        <f t="shared" si="7"/>
        <v>1.87</v>
      </c>
      <c r="O17">
        <f t="shared" si="7"/>
        <v>1.96</v>
      </c>
      <c r="P17">
        <f t="shared" si="7"/>
        <v>1.77</v>
      </c>
      <c r="Q17">
        <f t="shared" si="7"/>
        <v>1.84</v>
      </c>
      <c r="R17">
        <f t="shared" si="7"/>
        <v>1.9300000000000002</v>
      </c>
      <c r="S17">
        <f t="shared" si="7"/>
        <v>1.75</v>
      </c>
      <c r="T17">
        <f t="shared" si="7"/>
        <v>1.7699999999999998</v>
      </c>
      <c r="U17">
        <f t="shared" si="7"/>
        <v>1.7100000000000002</v>
      </c>
      <c r="V17">
        <f t="shared" si="7"/>
        <v>1.75</v>
      </c>
      <c r="W17">
        <f t="shared" si="7"/>
        <v>1.7100000000000002</v>
      </c>
      <c r="X17">
        <f t="shared" si="7"/>
        <v>1.7200000000000002</v>
      </c>
      <c r="Y17">
        <f t="shared" si="7"/>
        <v>1.7699999999999998</v>
      </c>
      <c r="Z17">
        <f t="shared" si="7"/>
        <v>0</v>
      </c>
      <c r="AA17">
        <f t="shared" si="7"/>
        <v>0</v>
      </c>
      <c r="AB17">
        <f t="shared" si="7"/>
        <v>0</v>
      </c>
      <c r="AC17">
        <f t="shared" si="7"/>
        <v>0</v>
      </c>
      <c r="AD17">
        <f t="shared" si="7"/>
        <v>0</v>
      </c>
      <c r="AE17">
        <f t="shared" si="7"/>
        <v>0</v>
      </c>
      <c r="AF17">
        <f t="shared" si="7"/>
        <v>0</v>
      </c>
      <c r="AG17">
        <f t="shared" si="7"/>
        <v>0</v>
      </c>
      <c r="AH17">
        <f t="shared" si="7"/>
        <v>0</v>
      </c>
      <c r="AI17">
        <f t="shared" si="7"/>
        <v>0</v>
      </c>
      <c r="AJ17">
        <f t="shared" si="7"/>
        <v>0</v>
      </c>
      <c r="AK17">
        <f t="shared" si="7"/>
        <v>0</v>
      </c>
      <c r="AL17">
        <f t="shared" si="7"/>
        <v>0</v>
      </c>
      <c r="AM17">
        <f t="shared" si="7"/>
        <v>0</v>
      </c>
      <c r="AN17">
        <f t="shared" si="7"/>
        <v>0</v>
      </c>
      <c r="AO17">
        <f t="shared" si="7"/>
        <v>0</v>
      </c>
      <c r="AP17">
        <f t="shared" si="7"/>
        <v>0</v>
      </c>
      <c r="AQ17">
        <f t="shared" si="7"/>
        <v>0</v>
      </c>
      <c r="AR17">
        <f t="shared" si="7"/>
        <v>0</v>
      </c>
      <c r="AS17">
        <f t="shared" si="7"/>
        <v>0</v>
      </c>
      <c r="AT17">
        <f t="shared" si="7"/>
        <v>0</v>
      </c>
      <c r="AU17">
        <f t="shared" si="7"/>
        <v>0</v>
      </c>
      <c r="AV17">
        <f t="shared" si="7"/>
        <v>0</v>
      </c>
      <c r="AW17">
        <f t="shared" si="7"/>
        <v>0</v>
      </c>
      <c r="AX17">
        <f t="shared" si="7"/>
        <v>0</v>
      </c>
      <c r="AY17">
        <f t="shared" si="7"/>
        <v>0</v>
      </c>
      <c r="AZ17">
        <f t="shared" si="7"/>
        <v>0</v>
      </c>
      <c r="BA17">
        <f t="shared" si="7"/>
        <v>0</v>
      </c>
      <c r="BB17">
        <f t="shared" si="7"/>
        <v>0</v>
      </c>
      <c r="BC17">
        <f t="shared" si="7"/>
        <v>0</v>
      </c>
      <c r="BD17">
        <f t="shared" si="7"/>
        <v>0</v>
      </c>
      <c r="BE17">
        <f t="shared" si="7"/>
        <v>0</v>
      </c>
      <c r="BF17">
        <f t="shared" si="7"/>
        <v>0</v>
      </c>
      <c r="BG17">
        <f t="shared" si="7"/>
        <v>0</v>
      </c>
      <c r="BH17">
        <f t="shared" si="7"/>
        <v>0</v>
      </c>
      <c r="BI17">
        <f t="shared" si="7"/>
        <v>0</v>
      </c>
      <c r="BJ17">
        <f t="shared" si="7"/>
        <v>0</v>
      </c>
      <c r="BK17">
        <f t="shared" si="7"/>
        <v>0</v>
      </c>
      <c r="BL17">
        <f t="shared" si="7"/>
        <v>0</v>
      </c>
      <c r="BM17">
        <f t="shared" si="7"/>
        <v>0</v>
      </c>
      <c r="BN17">
        <f t="shared" si="7"/>
        <v>0</v>
      </c>
      <c r="BO17">
        <f t="shared" si="7"/>
        <v>0</v>
      </c>
      <c r="BP17">
        <f t="shared" si="7"/>
        <v>0</v>
      </c>
      <c r="BQ17">
        <f t="shared" si="7"/>
        <v>0</v>
      </c>
      <c r="BR17">
        <f t="shared" ref="BR17:EC20" si="8">BR4-ROUNDUP(BR4*0.3,2)</f>
        <v>0</v>
      </c>
      <c r="BS17">
        <f t="shared" si="8"/>
        <v>0</v>
      </c>
      <c r="BT17">
        <f t="shared" si="8"/>
        <v>0</v>
      </c>
      <c r="BU17">
        <f t="shared" si="8"/>
        <v>0</v>
      </c>
      <c r="BV17">
        <f t="shared" si="8"/>
        <v>0</v>
      </c>
      <c r="BW17">
        <f t="shared" si="8"/>
        <v>0</v>
      </c>
      <c r="BX17">
        <f t="shared" si="8"/>
        <v>0</v>
      </c>
      <c r="BY17">
        <f t="shared" si="8"/>
        <v>0</v>
      </c>
      <c r="BZ17">
        <f t="shared" si="8"/>
        <v>0</v>
      </c>
      <c r="CA17">
        <f t="shared" si="8"/>
        <v>0</v>
      </c>
      <c r="CB17">
        <f t="shared" si="8"/>
        <v>0</v>
      </c>
      <c r="CC17">
        <f t="shared" si="8"/>
        <v>0</v>
      </c>
      <c r="CD17">
        <f t="shared" si="8"/>
        <v>0</v>
      </c>
      <c r="CE17">
        <f t="shared" si="8"/>
        <v>0</v>
      </c>
      <c r="CF17">
        <f t="shared" si="8"/>
        <v>0</v>
      </c>
      <c r="CG17">
        <f t="shared" si="8"/>
        <v>0</v>
      </c>
      <c r="CH17">
        <f t="shared" si="8"/>
        <v>0</v>
      </c>
      <c r="CI17">
        <f t="shared" si="8"/>
        <v>0</v>
      </c>
      <c r="CJ17">
        <f t="shared" si="8"/>
        <v>0</v>
      </c>
      <c r="CK17">
        <f t="shared" si="8"/>
        <v>0</v>
      </c>
      <c r="CL17">
        <f t="shared" si="8"/>
        <v>0</v>
      </c>
      <c r="CM17">
        <f t="shared" si="8"/>
        <v>0</v>
      </c>
      <c r="CN17">
        <f t="shared" si="8"/>
        <v>0</v>
      </c>
      <c r="CO17">
        <f t="shared" si="8"/>
        <v>0</v>
      </c>
      <c r="CP17">
        <f t="shared" si="8"/>
        <v>0</v>
      </c>
      <c r="CQ17">
        <f t="shared" si="8"/>
        <v>0</v>
      </c>
      <c r="CR17">
        <f t="shared" si="8"/>
        <v>0</v>
      </c>
      <c r="CS17">
        <f t="shared" si="8"/>
        <v>0</v>
      </c>
      <c r="CT17">
        <f t="shared" si="8"/>
        <v>0</v>
      </c>
      <c r="CU17">
        <f t="shared" si="8"/>
        <v>0</v>
      </c>
      <c r="CV17">
        <f t="shared" si="8"/>
        <v>0</v>
      </c>
      <c r="CW17">
        <f t="shared" si="8"/>
        <v>0</v>
      </c>
      <c r="CX17">
        <f t="shared" si="8"/>
        <v>0</v>
      </c>
      <c r="CY17">
        <f t="shared" si="8"/>
        <v>0</v>
      </c>
      <c r="CZ17">
        <f t="shared" si="8"/>
        <v>0</v>
      </c>
      <c r="DA17">
        <f t="shared" si="8"/>
        <v>0</v>
      </c>
      <c r="DB17">
        <f t="shared" si="8"/>
        <v>0</v>
      </c>
      <c r="DC17">
        <f t="shared" si="8"/>
        <v>0</v>
      </c>
      <c r="DD17">
        <f t="shared" si="8"/>
        <v>0</v>
      </c>
      <c r="DE17">
        <f t="shared" si="8"/>
        <v>0</v>
      </c>
      <c r="DF17">
        <f t="shared" si="8"/>
        <v>0</v>
      </c>
      <c r="DG17">
        <f t="shared" si="8"/>
        <v>0</v>
      </c>
      <c r="DH17">
        <f t="shared" si="8"/>
        <v>0</v>
      </c>
      <c r="DI17">
        <f t="shared" si="8"/>
        <v>0</v>
      </c>
      <c r="DJ17">
        <f t="shared" si="8"/>
        <v>0</v>
      </c>
      <c r="DK17">
        <f t="shared" si="8"/>
        <v>0</v>
      </c>
      <c r="DL17">
        <f t="shared" si="8"/>
        <v>0</v>
      </c>
      <c r="DM17">
        <f t="shared" si="8"/>
        <v>0</v>
      </c>
      <c r="DN17">
        <f t="shared" si="8"/>
        <v>0</v>
      </c>
      <c r="DO17">
        <f t="shared" si="8"/>
        <v>0</v>
      </c>
      <c r="DP17">
        <f t="shared" si="8"/>
        <v>0</v>
      </c>
      <c r="DQ17">
        <f t="shared" si="8"/>
        <v>0</v>
      </c>
      <c r="DR17">
        <f t="shared" si="8"/>
        <v>0</v>
      </c>
      <c r="DS17">
        <f t="shared" si="8"/>
        <v>0</v>
      </c>
      <c r="DT17">
        <f t="shared" si="8"/>
        <v>0</v>
      </c>
      <c r="DU17">
        <f t="shared" si="8"/>
        <v>0</v>
      </c>
      <c r="DV17">
        <f t="shared" si="8"/>
        <v>0</v>
      </c>
      <c r="DW17">
        <f t="shared" si="8"/>
        <v>0</v>
      </c>
      <c r="DX17">
        <f t="shared" si="8"/>
        <v>0</v>
      </c>
      <c r="DY17">
        <f t="shared" si="8"/>
        <v>0</v>
      </c>
      <c r="DZ17">
        <f t="shared" si="8"/>
        <v>0</v>
      </c>
      <c r="EA17">
        <f t="shared" si="8"/>
        <v>0</v>
      </c>
      <c r="EB17">
        <f t="shared" si="8"/>
        <v>0</v>
      </c>
      <c r="EC17">
        <f t="shared" si="8"/>
        <v>0</v>
      </c>
      <c r="ED17">
        <f t="shared" ref="ED17:FU19" si="9">ED4-ROUNDUP(ED4*0.3,2)</f>
        <v>0</v>
      </c>
      <c r="EE17">
        <f t="shared" si="9"/>
        <v>0</v>
      </c>
      <c r="EF17">
        <f t="shared" si="9"/>
        <v>0</v>
      </c>
      <c r="EG17">
        <f t="shared" si="9"/>
        <v>0</v>
      </c>
      <c r="EH17">
        <f t="shared" si="9"/>
        <v>0</v>
      </c>
      <c r="EI17">
        <f t="shared" si="9"/>
        <v>0</v>
      </c>
      <c r="EJ17">
        <f t="shared" si="9"/>
        <v>0</v>
      </c>
      <c r="EK17">
        <f t="shared" si="9"/>
        <v>0</v>
      </c>
      <c r="EL17">
        <f t="shared" si="9"/>
        <v>0</v>
      </c>
      <c r="EM17">
        <f t="shared" si="9"/>
        <v>0</v>
      </c>
      <c r="EN17">
        <f t="shared" si="9"/>
        <v>0</v>
      </c>
      <c r="EO17">
        <f t="shared" si="9"/>
        <v>0</v>
      </c>
      <c r="EP17">
        <f t="shared" si="9"/>
        <v>0</v>
      </c>
      <c r="EQ17">
        <f t="shared" si="9"/>
        <v>0</v>
      </c>
      <c r="ER17">
        <f t="shared" si="9"/>
        <v>0</v>
      </c>
      <c r="ES17">
        <f t="shared" si="9"/>
        <v>0</v>
      </c>
      <c r="ET17">
        <f t="shared" si="9"/>
        <v>0</v>
      </c>
      <c r="EU17">
        <f t="shared" si="9"/>
        <v>0</v>
      </c>
      <c r="EV17">
        <f t="shared" si="9"/>
        <v>0</v>
      </c>
      <c r="EW17">
        <f t="shared" si="9"/>
        <v>0</v>
      </c>
      <c r="EX17">
        <f t="shared" si="9"/>
        <v>0</v>
      </c>
      <c r="EY17">
        <f t="shared" si="9"/>
        <v>0</v>
      </c>
      <c r="EZ17">
        <f t="shared" si="9"/>
        <v>0</v>
      </c>
      <c r="FA17">
        <f t="shared" si="9"/>
        <v>0</v>
      </c>
      <c r="FB17">
        <f t="shared" si="9"/>
        <v>0</v>
      </c>
      <c r="FC17">
        <f t="shared" si="9"/>
        <v>0</v>
      </c>
      <c r="FD17">
        <f t="shared" si="9"/>
        <v>0</v>
      </c>
      <c r="FE17">
        <f t="shared" si="9"/>
        <v>0</v>
      </c>
      <c r="FF17">
        <f t="shared" si="9"/>
        <v>0</v>
      </c>
      <c r="FG17">
        <f t="shared" si="9"/>
        <v>0</v>
      </c>
      <c r="FH17">
        <f t="shared" si="9"/>
        <v>0</v>
      </c>
      <c r="FI17">
        <f t="shared" si="9"/>
        <v>0</v>
      </c>
      <c r="FJ17">
        <f t="shared" si="9"/>
        <v>0</v>
      </c>
      <c r="FK17">
        <f t="shared" si="9"/>
        <v>0</v>
      </c>
      <c r="FL17">
        <f t="shared" si="9"/>
        <v>0</v>
      </c>
      <c r="FM17">
        <f t="shared" si="9"/>
        <v>0</v>
      </c>
      <c r="FN17">
        <f t="shared" si="9"/>
        <v>0</v>
      </c>
      <c r="FO17">
        <f t="shared" si="9"/>
        <v>0</v>
      </c>
      <c r="FP17">
        <f t="shared" si="9"/>
        <v>0</v>
      </c>
      <c r="FQ17">
        <f t="shared" si="9"/>
        <v>0</v>
      </c>
      <c r="FR17">
        <f t="shared" si="9"/>
        <v>0</v>
      </c>
      <c r="FS17">
        <f t="shared" si="9"/>
        <v>0</v>
      </c>
      <c r="FT17">
        <f t="shared" si="9"/>
        <v>0</v>
      </c>
      <c r="FU17">
        <f t="shared" si="9"/>
        <v>0</v>
      </c>
    </row>
    <row r="18" spans="1:177" x14ac:dyDescent="0.25">
      <c r="A18" t="str">
        <f t="shared" ref="A18:D18" si="10">A5</f>
        <v>M4A1-S</v>
      </c>
      <c r="B18" t="str">
        <f t="shared" si="10"/>
        <v>StatTrak Cyrex MW</v>
      </c>
      <c r="C18" t="str">
        <f t="shared" si="10"/>
        <v>M4A1-S</v>
      </c>
      <c r="D18" t="str">
        <f t="shared" si="10"/>
        <v>Breakout</v>
      </c>
      <c r="E18">
        <f t="shared" ref="E18:T20" si="11">E5-ROUNDUP(E5*0.3,2)</f>
        <v>25.340000000000003</v>
      </c>
      <c r="F18">
        <f t="shared" si="11"/>
        <v>24.36</v>
      </c>
      <c r="G18">
        <f t="shared" si="11"/>
        <v>23.259999999999998</v>
      </c>
      <c r="H18">
        <f t="shared" si="11"/>
        <v>23.310000000000002</v>
      </c>
      <c r="I18">
        <f t="shared" si="11"/>
        <v>24.15</v>
      </c>
      <c r="J18">
        <f t="shared" si="11"/>
        <v>23.129999999999995</v>
      </c>
      <c r="K18">
        <f t="shared" si="11"/>
        <v>21.909999999999997</v>
      </c>
      <c r="L18">
        <f t="shared" si="11"/>
        <v>23.360000000000003</v>
      </c>
      <c r="M18">
        <f t="shared" si="11"/>
        <v>23.360000000000003</v>
      </c>
      <c r="N18">
        <f t="shared" si="11"/>
        <v>23.099999999999998</v>
      </c>
      <c r="O18">
        <f t="shared" si="11"/>
        <v>21.67</v>
      </c>
      <c r="P18">
        <f t="shared" si="11"/>
        <v>24.08</v>
      </c>
      <c r="Q18">
        <f t="shared" si="11"/>
        <v>23.869999999999997</v>
      </c>
      <c r="R18">
        <f t="shared" si="11"/>
        <v>28.779999999999998</v>
      </c>
      <c r="S18">
        <f t="shared" si="11"/>
        <v>25.380000000000003</v>
      </c>
      <c r="T18">
        <f t="shared" si="11"/>
        <v>24.560000000000002</v>
      </c>
      <c r="U18">
        <f t="shared" si="7"/>
        <v>25.15</v>
      </c>
      <c r="V18">
        <f t="shared" si="7"/>
        <v>23.77</v>
      </c>
      <c r="W18">
        <f t="shared" si="7"/>
        <v>24.729999999999997</v>
      </c>
      <c r="X18">
        <f t="shared" si="7"/>
        <v>22.790000000000003</v>
      </c>
      <c r="Y18">
        <f t="shared" si="7"/>
        <v>21.73</v>
      </c>
      <c r="Z18">
        <f t="shared" si="7"/>
        <v>0</v>
      </c>
      <c r="AA18">
        <f t="shared" si="7"/>
        <v>0</v>
      </c>
      <c r="AB18">
        <f t="shared" si="7"/>
        <v>0</v>
      </c>
      <c r="AC18">
        <f t="shared" si="7"/>
        <v>0</v>
      </c>
      <c r="AD18">
        <f t="shared" si="7"/>
        <v>0</v>
      </c>
      <c r="AE18">
        <f t="shared" si="7"/>
        <v>0</v>
      </c>
      <c r="AF18">
        <f t="shared" si="7"/>
        <v>0</v>
      </c>
      <c r="AG18">
        <f t="shared" si="7"/>
        <v>0</v>
      </c>
      <c r="AH18">
        <f t="shared" si="7"/>
        <v>0</v>
      </c>
      <c r="AI18">
        <f t="shared" si="7"/>
        <v>0</v>
      </c>
      <c r="AJ18">
        <f t="shared" si="7"/>
        <v>0</v>
      </c>
      <c r="AK18">
        <f t="shared" si="7"/>
        <v>0</v>
      </c>
      <c r="AL18">
        <f t="shared" si="7"/>
        <v>0</v>
      </c>
      <c r="AM18">
        <f t="shared" si="7"/>
        <v>0</v>
      </c>
      <c r="AN18">
        <f t="shared" si="7"/>
        <v>0</v>
      </c>
      <c r="AO18">
        <f t="shared" si="7"/>
        <v>0</v>
      </c>
      <c r="AP18">
        <f t="shared" si="7"/>
        <v>0</v>
      </c>
      <c r="AQ18">
        <f t="shared" si="7"/>
        <v>0</v>
      </c>
      <c r="AR18">
        <f t="shared" si="7"/>
        <v>0</v>
      </c>
      <c r="AS18">
        <f t="shared" si="7"/>
        <v>0</v>
      </c>
      <c r="AT18">
        <f t="shared" si="7"/>
        <v>0</v>
      </c>
      <c r="AU18">
        <f t="shared" si="7"/>
        <v>0</v>
      </c>
      <c r="AV18">
        <f t="shared" si="7"/>
        <v>0</v>
      </c>
      <c r="AW18">
        <f t="shared" si="7"/>
        <v>0</v>
      </c>
      <c r="AX18">
        <f t="shared" si="7"/>
        <v>0</v>
      </c>
      <c r="AY18">
        <f t="shared" si="7"/>
        <v>0</v>
      </c>
      <c r="AZ18">
        <f t="shared" si="7"/>
        <v>0</v>
      </c>
      <c r="BA18">
        <f t="shared" si="7"/>
        <v>0</v>
      </c>
      <c r="BB18">
        <f t="shared" si="7"/>
        <v>0</v>
      </c>
      <c r="BC18">
        <f t="shared" si="7"/>
        <v>0</v>
      </c>
      <c r="BD18">
        <f t="shared" si="7"/>
        <v>0</v>
      </c>
      <c r="BE18">
        <f t="shared" si="7"/>
        <v>0</v>
      </c>
      <c r="BF18">
        <f t="shared" si="7"/>
        <v>0</v>
      </c>
      <c r="BG18">
        <f t="shared" si="7"/>
        <v>0</v>
      </c>
      <c r="BH18">
        <f t="shared" si="7"/>
        <v>0</v>
      </c>
      <c r="BI18">
        <f t="shared" si="7"/>
        <v>0</v>
      </c>
      <c r="BJ18">
        <f t="shared" si="7"/>
        <v>0</v>
      </c>
      <c r="BK18">
        <f t="shared" si="7"/>
        <v>0</v>
      </c>
      <c r="BL18">
        <f t="shared" si="7"/>
        <v>0</v>
      </c>
      <c r="BM18">
        <f t="shared" si="7"/>
        <v>0</v>
      </c>
      <c r="BN18">
        <f t="shared" si="7"/>
        <v>0</v>
      </c>
      <c r="BO18">
        <f t="shared" si="7"/>
        <v>0</v>
      </c>
      <c r="BP18">
        <f t="shared" si="7"/>
        <v>0</v>
      </c>
      <c r="BQ18">
        <f t="shared" si="7"/>
        <v>0</v>
      </c>
      <c r="BR18">
        <f t="shared" si="8"/>
        <v>0</v>
      </c>
      <c r="BS18">
        <f t="shared" si="8"/>
        <v>0</v>
      </c>
      <c r="BT18">
        <f t="shared" si="8"/>
        <v>0</v>
      </c>
      <c r="BU18">
        <f t="shared" si="8"/>
        <v>0</v>
      </c>
      <c r="BV18">
        <f t="shared" si="8"/>
        <v>0</v>
      </c>
      <c r="BW18">
        <f t="shared" si="8"/>
        <v>0</v>
      </c>
      <c r="BX18">
        <f t="shared" si="8"/>
        <v>0</v>
      </c>
      <c r="BY18">
        <f t="shared" si="8"/>
        <v>0</v>
      </c>
      <c r="BZ18">
        <f t="shared" si="8"/>
        <v>0</v>
      </c>
      <c r="CA18">
        <f t="shared" si="8"/>
        <v>0</v>
      </c>
      <c r="CB18">
        <f t="shared" si="8"/>
        <v>0</v>
      </c>
      <c r="CC18">
        <f t="shared" si="8"/>
        <v>0</v>
      </c>
      <c r="CD18">
        <f t="shared" si="8"/>
        <v>0</v>
      </c>
      <c r="CE18">
        <f t="shared" si="8"/>
        <v>0</v>
      </c>
      <c r="CF18">
        <f t="shared" si="8"/>
        <v>0</v>
      </c>
      <c r="CG18">
        <f t="shared" si="8"/>
        <v>0</v>
      </c>
      <c r="CH18">
        <f t="shared" si="8"/>
        <v>0</v>
      </c>
      <c r="CI18">
        <f t="shared" si="8"/>
        <v>0</v>
      </c>
      <c r="CJ18">
        <f t="shared" si="8"/>
        <v>0</v>
      </c>
      <c r="CK18">
        <f t="shared" si="8"/>
        <v>0</v>
      </c>
      <c r="CL18">
        <f t="shared" si="8"/>
        <v>0</v>
      </c>
      <c r="CM18">
        <f t="shared" si="8"/>
        <v>0</v>
      </c>
      <c r="CN18">
        <f t="shared" si="8"/>
        <v>0</v>
      </c>
      <c r="CO18">
        <f t="shared" si="8"/>
        <v>0</v>
      </c>
      <c r="CP18">
        <f t="shared" si="8"/>
        <v>0</v>
      </c>
      <c r="CQ18">
        <f t="shared" si="8"/>
        <v>0</v>
      </c>
      <c r="CR18">
        <f t="shared" si="8"/>
        <v>0</v>
      </c>
      <c r="CS18">
        <f t="shared" si="8"/>
        <v>0</v>
      </c>
      <c r="CT18">
        <f t="shared" si="8"/>
        <v>0</v>
      </c>
      <c r="CU18">
        <f t="shared" si="8"/>
        <v>0</v>
      </c>
      <c r="CV18">
        <f t="shared" si="8"/>
        <v>0</v>
      </c>
      <c r="CW18">
        <f t="shared" si="8"/>
        <v>0</v>
      </c>
      <c r="CX18">
        <f t="shared" si="8"/>
        <v>0</v>
      </c>
      <c r="CY18">
        <f t="shared" si="8"/>
        <v>0</v>
      </c>
      <c r="CZ18">
        <f t="shared" si="8"/>
        <v>0</v>
      </c>
      <c r="DA18">
        <f t="shared" si="8"/>
        <v>0</v>
      </c>
      <c r="DB18">
        <f t="shared" si="8"/>
        <v>0</v>
      </c>
      <c r="DC18">
        <f t="shared" si="8"/>
        <v>0</v>
      </c>
      <c r="DD18">
        <f t="shared" si="8"/>
        <v>0</v>
      </c>
      <c r="DE18">
        <f t="shared" si="8"/>
        <v>0</v>
      </c>
      <c r="DF18">
        <f t="shared" si="8"/>
        <v>0</v>
      </c>
      <c r="DG18">
        <f t="shared" si="8"/>
        <v>0</v>
      </c>
      <c r="DH18">
        <f t="shared" si="8"/>
        <v>0</v>
      </c>
      <c r="DI18">
        <f t="shared" si="8"/>
        <v>0</v>
      </c>
      <c r="DJ18">
        <f t="shared" si="8"/>
        <v>0</v>
      </c>
      <c r="DK18">
        <f t="shared" si="8"/>
        <v>0</v>
      </c>
      <c r="DL18">
        <f t="shared" si="8"/>
        <v>0</v>
      </c>
      <c r="DM18">
        <f t="shared" si="8"/>
        <v>0</v>
      </c>
      <c r="DN18">
        <f t="shared" si="8"/>
        <v>0</v>
      </c>
      <c r="DO18">
        <f t="shared" si="8"/>
        <v>0</v>
      </c>
      <c r="DP18">
        <f t="shared" si="8"/>
        <v>0</v>
      </c>
      <c r="DQ18">
        <f t="shared" si="8"/>
        <v>0</v>
      </c>
      <c r="DR18">
        <f t="shared" si="8"/>
        <v>0</v>
      </c>
      <c r="DS18">
        <f t="shared" si="8"/>
        <v>0</v>
      </c>
      <c r="DT18">
        <f t="shared" si="8"/>
        <v>0</v>
      </c>
      <c r="DU18">
        <f t="shared" si="8"/>
        <v>0</v>
      </c>
      <c r="DV18">
        <f t="shared" si="8"/>
        <v>0</v>
      </c>
      <c r="DW18">
        <f t="shared" si="8"/>
        <v>0</v>
      </c>
      <c r="DX18">
        <f t="shared" si="8"/>
        <v>0</v>
      </c>
      <c r="DY18">
        <f t="shared" si="8"/>
        <v>0</v>
      </c>
      <c r="DZ18">
        <f t="shared" si="8"/>
        <v>0</v>
      </c>
      <c r="EA18">
        <f t="shared" si="8"/>
        <v>0</v>
      </c>
      <c r="EB18">
        <f t="shared" si="8"/>
        <v>0</v>
      </c>
      <c r="EC18">
        <f t="shared" si="8"/>
        <v>0</v>
      </c>
      <c r="ED18">
        <f t="shared" si="9"/>
        <v>0</v>
      </c>
      <c r="EE18">
        <f t="shared" si="9"/>
        <v>0</v>
      </c>
      <c r="EF18">
        <f t="shared" si="9"/>
        <v>0</v>
      </c>
      <c r="EG18">
        <f t="shared" si="9"/>
        <v>0</v>
      </c>
      <c r="EH18">
        <f t="shared" si="9"/>
        <v>0</v>
      </c>
      <c r="EI18">
        <f t="shared" si="9"/>
        <v>0</v>
      </c>
      <c r="EJ18">
        <f t="shared" si="9"/>
        <v>0</v>
      </c>
      <c r="EK18">
        <f t="shared" si="9"/>
        <v>0</v>
      </c>
      <c r="EL18">
        <f t="shared" si="9"/>
        <v>0</v>
      </c>
      <c r="EM18">
        <f t="shared" si="9"/>
        <v>0</v>
      </c>
      <c r="EN18">
        <f t="shared" si="9"/>
        <v>0</v>
      </c>
      <c r="EO18">
        <f t="shared" si="9"/>
        <v>0</v>
      </c>
      <c r="EP18">
        <f t="shared" si="9"/>
        <v>0</v>
      </c>
      <c r="EQ18">
        <f t="shared" si="9"/>
        <v>0</v>
      </c>
      <c r="ER18">
        <f t="shared" si="9"/>
        <v>0</v>
      </c>
      <c r="ES18">
        <f t="shared" si="9"/>
        <v>0</v>
      </c>
      <c r="ET18">
        <f t="shared" si="9"/>
        <v>0</v>
      </c>
      <c r="EU18">
        <f t="shared" si="9"/>
        <v>0</v>
      </c>
      <c r="EV18">
        <f t="shared" si="9"/>
        <v>0</v>
      </c>
      <c r="EW18">
        <f t="shared" si="9"/>
        <v>0</v>
      </c>
      <c r="EX18">
        <f t="shared" si="9"/>
        <v>0</v>
      </c>
      <c r="EY18">
        <f t="shared" si="9"/>
        <v>0</v>
      </c>
      <c r="EZ18">
        <f t="shared" si="9"/>
        <v>0</v>
      </c>
      <c r="FA18">
        <f t="shared" si="9"/>
        <v>0</v>
      </c>
      <c r="FB18">
        <f t="shared" si="9"/>
        <v>0</v>
      </c>
      <c r="FC18">
        <f t="shared" si="9"/>
        <v>0</v>
      </c>
      <c r="FD18">
        <f t="shared" si="9"/>
        <v>0</v>
      </c>
      <c r="FE18">
        <f t="shared" si="9"/>
        <v>0</v>
      </c>
      <c r="FF18">
        <f t="shared" si="9"/>
        <v>0</v>
      </c>
      <c r="FG18">
        <f t="shared" si="9"/>
        <v>0</v>
      </c>
      <c r="FH18">
        <f t="shared" si="9"/>
        <v>0</v>
      </c>
      <c r="FI18">
        <f t="shared" si="9"/>
        <v>0</v>
      </c>
      <c r="FJ18">
        <f t="shared" si="9"/>
        <v>0</v>
      </c>
      <c r="FK18">
        <f t="shared" si="9"/>
        <v>0</v>
      </c>
      <c r="FL18">
        <f t="shared" si="9"/>
        <v>0</v>
      </c>
      <c r="FM18">
        <f t="shared" si="9"/>
        <v>0</v>
      </c>
      <c r="FN18">
        <f t="shared" si="9"/>
        <v>0</v>
      </c>
      <c r="FO18">
        <f t="shared" si="9"/>
        <v>0</v>
      </c>
      <c r="FP18">
        <f t="shared" si="9"/>
        <v>0</v>
      </c>
      <c r="FQ18">
        <f t="shared" si="9"/>
        <v>0</v>
      </c>
      <c r="FR18">
        <f t="shared" si="9"/>
        <v>0</v>
      </c>
      <c r="FS18">
        <f t="shared" si="9"/>
        <v>0</v>
      </c>
      <c r="FT18">
        <f t="shared" si="9"/>
        <v>0</v>
      </c>
      <c r="FU18">
        <f t="shared" si="9"/>
        <v>0</v>
      </c>
    </row>
    <row r="19" spans="1:177" x14ac:dyDescent="0.25">
      <c r="A19" t="str">
        <f t="shared" ref="A19:D19" si="12">A6</f>
        <v>M4A1-S</v>
      </c>
      <c r="B19" t="str">
        <f t="shared" si="12"/>
        <v>Hyper Beast MW</v>
      </c>
      <c r="C19" t="str">
        <f t="shared" si="12"/>
        <v>M4A1-S</v>
      </c>
      <c r="D19" t="str">
        <f t="shared" si="12"/>
        <v>Chroma 2</v>
      </c>
      <c r="E19">
        <f t="shared" si="11"/>
        <v>15.38</v>
      </c>
      <c r="F19">
        <f t="shared" ref="F19:BQ20" si="13">F6-ROUNDUP(F6*0.3,2)</f>
        <v>14.73</v>
      </c>
      <c r="G19">
        <f t="shared" si="13"/>
        <v>14.46</v>
      </c>
      <c r="H19">
        <f t="shared" si="13"/>
        <v>13.86</v>
      </c>
      <c r="I19">
        <f t="shared" si="13"/>
        <v>14.849999999999998</v>
      </c>
      <c r="J19">
        <f t="shared" si="13"/>
        <v>14.91</v>
      </c>
      <c r="K19">
        <f t="shared" si="13"/>
        <v>14.870000000000001</v>
      </c>
      <c r="L19">
        <f t="shared" si="13"/>
        <v>14.739999999999998</v>
      </c>
      <c r="M19">
        <f t="shared" si="13"/>
        <v>14.290000000000003</v>
      </c>
      <c r="N19">
        <f t="shared" si="13"/>
        <v>14.020000000000001</v>
      </c>
      <c r="O19">
        <f t="shared" si="13"/>
        <v>14.07</v>
      </c>
      <c r="P19">
        <f t="shared" si="13"/>
        <v>13.809999999999999</v>
      </c>
      <c r="Q19">
        <f t="shared" si="13"/>
        <v>14.36</v>
      </c>
      <c r="R19">
        <f t="shared" si="13"/>
        <v>14.749999999999998</v>
      </c>
      <c r="S19">
        <f t="shared" si="13"/>
        <v>14.810000000000002</v>
      </c>
      <c r="T19">
        <f t="shared" si="13"/>
        <v>15.000000000000002</v>
      </c>
      <c r="U19">
        <f t="shared" si="13"/>
        <v>13.58</v>
      </c>
      <c r="V19">
        <f t="shared" si="13"/>
        <v>13.58</v>
      </c>
      <c r="W19">
        <f t="shared" si="13"/>
        <v>14.58</v>
      </c>
      <c r="X19">
        <f t="shared" si="13"/>
        <v>14.489999999999998</v>
      </c>
      <c r="Y19">
        <f t="shared" si="13"/>
        <v>15.02</v>
      </c>
      <c r="Z19">
        <f t="shared" si="13"/>
        <v>0</v>
      </c>
      <c r="AA19">
        <f t="shared" si="13"/>
        <v>0</v>
      </c>
      <c r="AB19">
        <f t="shared" si="13"/>
        <v>0</v>
      </c>
      <c r="AC19">
        <f t="shared" si="13"/>
        <v>0</v>
      </c>
      <c r="AD19">
        <f t="shared" si="13"/>
        <v>0</v>
      </c>
      <c r="AE19">
        <f t="shared" si="13"/>
        <v>0</v>
      </c>
      <c r="AF19">
        <f t="shared" si="13"/>
        <v>0</v>
      </c>
      <c r="AG19">
        <f t="shared" si="13"/>
        <v>0</v>
      </c>
      <c r="AH19">
        <f t="shared" si="13"/>
        <v>0</v>
      </c>
      <c r="AI19">
        <f t="shared" si="13"/>
        <v>0</v>
      </c>
      <c r="AJ19">
        <f t="shared" si="13"/>
        <v>0</v>
      </c>
      <c r="AK19">
        <f t="shared" si="13"/>
        <v>0</v>
      </c>
      <c r="AL19">
        <f t="shared" si="13"/>
        <v>0</v>
      </c>
      <c r="AM19">
        <f t="shared" si="13"/>
        <v>0</v>
      </c>
      <c r="AN19">
        <f t="shared" si="13"/>
        <v>0</v>
      </c>
      <c r="AO19">
        <f t="shared" si="13"/>
        <v>0</v>
      </c>
      <c r="AP19">
        <f t="shared" si="13"/>
        <v>0</v>
      </c>
      <c r="AQ19">
        <f t="shared" si="13"/>
        <v>0</v>
      </c>
      <c r="AR19">
        <f t="shared" si="13"/>
        <v>0</v>
      </c>
      <c r="AS19">
        <f t="shared" si="13"/>
        <v>0</v>
      </c>
      <c r="AT19">
        <f t="shared" si="13"/>
        <v>0</v>
      </c>
      <c r="AU19">
        <f t="shared" si="13"/>
        <v>0</v>
      </c>
      <c r="AV19">
        <f t="shared" si="13"/>
        <v>0</v>
      </c>
      <c r="AW19">
        <f t="shared" si="13"/>
        <v>0</v>
      </c>
      <c r="AX19">
        <f t="shared" si="13"/>
        <v>0</v>
      </c>
      <c r="AY19">
        <f t="shared" si="13"/>
        <v>0</v>
      </c>
      <c r="AZ19">
        <f t="shared" si="13"/>
        <v>0</v>
      </c>
      <c r="BA19">
        <f t="shared" si="13"/>
        <v>0</v>
      </c>
      <c r="BB19">
        <f t="shared" si="13"/>
        <v>0</v>
      </c>
      <c r="BC19">
        <f t="shared" si="13"/>
        <v>0</v>
      </c>
      <c r="BD19">
        <f t="shared" si="13"/>
        <v>0</v>
      </c>
      <c r="BE19">
        <f t="shared" si="13"/>
        <v>0</v>
      </c>
      <c r="BF19">
        <f t="shared" si="13"/>
        <v>0</v>
      </c>
      <c r="BG19">
        <f t="shared" si="13"/>
        <v>0</v>
      </c>
      <c r="BH19">
        <f t="shared" si="13"/>
        <v>0</v>
      </c>
      <c r="BI19">
        <f t="shared" si="13"/>
        <v>0</v>
      </c>
      <c r="BJ19">
        <f t="shared" si="13"/>
        <v>0</v>
      </c>
      <c r="BK19">
        <f t="shared" si="13"/>
        <v>0</v>
      </c>
      <c r="BL19">
        <f t="shared" si="13"/>
        <v>0</v>
      </c>
      <c r="BM19">
        <f t="shared" si="13"/>
        <v>0</v>
      </c>
      <c r="BN19">
        <f t="shared" si="13"/>
        <v>0</v>
      </c>
      <c r="BO19">
        <f t="shared" si="13"/>
        <v>0</v>
      </c>
      <c r="BP19">
        <f t="shared" si="13"/>
        <v>0</v>
      </c>
      <c r="BQ19">
        <f t="shared" si="13"/>
        <v>0</v>
      </c>
      <c r="BR19">
        <f t="shared" si="8"/>
        <v>0</v>
      </c>
      <c r="BS19">
        <f t="shared" si="8"/>
        <v>0</v>
      </c>
      <c r="BT19">
        <f t="shared" si="8"/>
        <v>0</v>
      </c>
      <c r="BU19">
        <f t="shared" si="8"/>
        <v>0</v>
      </c>
      <c r="BV19">
        <f t="shared" si="8"/>
        <v>0</v>
      </c>
      <c r="BW19">
        <f t="shared" si="8"/>
        <v>0</v>
      </c>
      <c r="BX19">
        <f t="shared" si="8"/>
        <v>0</v>
      </c>
      <c r="BY19">
        <f t="shared" si="8"/>
        <v>0</v>
      </c>
      <c r="BZ19">
        <f t="shared" si="8"/>
        <v>0</v>
      </c>
      <c r="CA19">
        <f t="shared" si="8"/>
        <v>0</v>
      </c>
      <c r="CB19">
        <f t="shared" si="8"/>
        <v>0</v>
      </c>
      <c r="CC19">
        <f t="shared" si="8"/>
        <v>0</v>
      </c>
      <c r="CD19">
        <f t="shared" si="8"/>
        <v>0</v>
      </c>
      <c r="CE19">
        <f t="shared" si="8"/>
        <v>0</v>
      </c>
      <c r="CF19">
        <f t="shared" si="8"/>
        <v>0</v>
      </c>
      <c r="CG19">
        <f t="shared" si="8"/>
        <v>0</v>
      </c>
      <c r="CH19">
        <f t="shared" si="8"/>
        <v>0</v>
      </c>
      <c r="CI19">
        <f t="shared" si="8"/>
        <v>0</v>
      </c>
      <c r="CJ19">
        <f t="shared" si="8"/>
        <v>0</v>
      </c>
      <c r="CK19">
        <f t="shared" si="8"/>
        <v>0</v>
      </c>
      <c r="CL19">
        <f t="shared" si="8"/>
        <v>0</v>
      </c>
      <c r="CM19">
        <f t="shared" si="8"/>
        <v>0</v>
      </c>
      <c r="CN19">
        <f t="shared" si="8"/>
        <v>0</v>
      </c>
      <c r="CO19">
        <f t="shared" si="8"/>
        <v>0</v>
      </c>
      <c r="CP19">
        <f t="shared" si="8"/>
        <v>0</v>
      </c>
      <c r="CQ19">
        <f t="shared" si="8"/>
        <v>0</v>
      </c>
      <c r="CR19">
        <f t="shared" si="8"/>
        <v>0</v>
      </c>
      <c r="CS19">
        <f t="shared" si="8"/>
        <v>0</v>
      </c>
      <c r="CT19">
        <f t="shared" si="8"/>
        <v>0</v>
      </c>
      <c r="CU19">
        <f t="shared" si="8"/>
        <v>0</v>
      </c>
      <c r="CV19">
        <f t="shared" si="8"/>
        <v>0</v>
      </c>
      <c r="CW19">
        <f t="shared" si="8"/>
        <v>0</v>
      </c>
      <c r="CX19">
        <f t="shared" si="8"/>
        <v>0</v>
      </c>
      <c r="CY19">
        <f t="shared" si="8"/>
        <v>0</v>
      </c>
      <c r="CZ19">
        <f t="shared" si="8"/>
        <v>0</v>
      </c>
      <c r="DA19">
        <f t="shared" si="8"/>
        <v>0</v>
      </c>
      <c r="DB19">
        <f t="shared" si="8"/>
        <v>0</v>
      </c>
      <c r="DC19">
        <f t="shared" si="8"/>
        <v>0</v>
      </c>
      <c r="DD19">
        <f t="shared" si="8"/>
        <v>0</v>
      </c>
      <c r="DE19">
        <f t="shared" si="8"/>
        <v>0</v>
      </c>
      <c r="DF19">
        <f t="shared" si="8"/>
        <v>0</v>
      </c>
      <c r="DG19">
        <f t="shared" si="8"/>
        <v>0</v>
      </c>
      <c r="DH19">
        <f t="shared" si="8"/>
        <v>0</v>
      </c>
      <c r="DI19">
        <f t="shared" si="8"/>
        <v>0</v>
      </c>
      <c r="DJ19">
        <f t="shared" si="8"/>
        <v>0</v>
      </c>
      <c r="DK19">
        <f t="shared" si="8"/>
        <v>0</v>
      </c>
      <c r="DL19">
        <f t="shared" si="8"/>
        <v>0</v>
      </c>
      <c r="DM19">
        <f t="shared" si="8"/>
        <v>0</v>
      </c>
      <c r="DN19">
        <f t="shared" si="8"/>
        <v>0</v>
      </c>
      <c r="DO19">
        <f t="shared" si="8"/>
        <v>0</v>
      </c>
      <c r="DP19">
        <f t="shared" si="8"/>
        <v>0</v>
      </c>
      <c r="DQ19">
        <f t="shared" si="8"/>
        <v>0</v>
      </c>
      <c r="DR19">
        <f t="shared" si="8"/>
        <v>0</v>
      </c>
      <c r="DS19">
        <f t="shared" si="8"/>
        <v>0</v>
      </c>
      <c r="DT19">
        <f t="shared" si="8"/>
        <v>0</v>
      </c>
      <c r="DU19">
        <f t="shared" si="8"/>
        <v>0</v>
      </c>
      <c r="DV19">
        <f t="shared" si="8"/>
        <v>0</v>
      </c>
      <c r="DW19">
        <f t="shared" si="8"/>
        <v>0</v>
      </c>
      <c r="DX19">
        <f t="shared" si="8"/>
        <v>0</v>
      </c>
      <c r="DY19">
        <f t="shared" si="8"/>
        <v>0</v>
      </c>
      <c r="DZ19">
        <f t="shared" si="8"/>
        <v>0</v>
      </c>
      <c r="EA19">
        <f t="shared" si="8"/>
        <v>0</v>
      </c>
      <c r="EB19">
        <f t="shared" si="8"/>
        <v>0</v>
      </c>
      <c r="EC19">
        <f t="shared" si="8"/>
        <v>0</v>
      </c>
      <c r="ED19">
        <f t="shared" si="9"/>
        <v>0</v>
      </c>
      <c r="EE19">
        <f t="shared" si="9"/>
        <v>0</v>
      </c>
      <c r="EF19">
        <f t="shared" si="9"/>
        <v>0</v>
      </c>
      <c r="EG19">
        <f t="shared" si="9"/>
        <v>0</v>
      </c>
      <c r="EH19">
        <f t="shared" si="9"/>
        <v>0</v>
      </c>
      <c r="EI19">
        <f t="shared" si="9"/>
        <v>0</v>
      </c>
      <c r="EJ19">
        <f t="shared" si="9"/>
        <v>0</v>
      </c>
      <c r="EK19">
        <f t="shared" si="9"/>
        <v>0</v>
      </c>
      <c r="EL19">
        <f t="shared" si="9"/>
        <v>0</v>
      </c>
      <c r="EM19">
        <f t="shared" si="9"/>
        <v>0</v>
      </c>
      <c r="EN19">
        <f t="shared" si="9"/>
        <v>0</v>
      </c>
      <c r="EO19">
        <f t="shared" si="9"/>
        <v>0</v>
      </c>
      <c r="EP19">
        <f t="shared" si="9"/>
        <v>0</v>
      </c>
      <c r="EQ19">
        <f t="shared" si="9"/>
        <v>0</v>
      </c>
      <c r="ER19">
        <f t="shared" si="9"/>
        <v>0</v>
      </c>
      <c r="ES19">
        <f t="shared" si="9"/>
        <v>0</v>
      </c>
      <c r="ET19">
        <f t="shared" si="9"/>
        <v>0</v>
      </c>
      <c r="EU19">
        <f t="shared" si="9"/>
        <v>0</v>
      </c>
      <c r="EV19">
        <f t="shared" si="9"/>
        <v>0</v>
      </c>
      <c r="EW19">
        <f t="shared" si="9"/>
        <v>0</v>
      </c>
      <c r="EX19">
        <f t="shared" si="9"/>
        <v>0</v>
      </c>
      <c r="EY19">
        <f t="shared" si="9"/>
        <v>0</v>
      </c>
      <c r="EZ19">
        <f t="shared" si="9"/>
        <v>0</v>
      </c>
      <c r="FA19">
        <f t="shared" si="9"/>
        <v>0</v>
      </c>
      <c r="FB19">
        <f t="shared" si="9"/>
        <v>0</v>
      </c>
      <c r="FC19">
        <f t="shared" si="9"/>
        <v>0</v>
      </c>
      <c r="FD19">
        <f t="shared" si="9"/>
        <v>0</v>
      </c>
      <c r="FE19">
        <f t="shared" si="9"/>
        <v>0</v>
      </c>
      <c r="FF19">
        <f t="shared" si="9"/>
        <v>0</v>
      </c>
      <c r="FG19">
        <f t="shared" si="9"/>
        <v>0</v>
      </c>
      <c r="FH19">
        <f t="shared" si="9"/>
        <v>0</v>
      </c>
      <c r="FI19">
        <f t="shared" si="9"/>
        <v>0</v>
      </c>
      <c r="FJ19">
        <f t="shared" si="9"/>
        <v>0</v>
      </c>
      <c r="FK19">
        <f t="shared" si="9"/>
        <v>0</v>
      </c>
      <c r="FL19">
        <f t="shared" si="9"/>
        <v>0</v>
      </c>
      <c r="FM19">
        <f t="shared" si="9"/>
        <v>0</v>
      </c>
      <c r="FN19">
        <f t="shared" si="9"/>
        <v>0</v>
      </c>
      <c r="FO19">
        <f t="shared" si="9"/>
        <v>0</v>
      </c>
      <c r="FP19">
        <f t="shared" si="9"/>
        <v>0</v>
      </c>
      <c r="FQ19">
        <f t="shared" si="9"/>
        <v>0</v>
      </c>
      <c r="FR19">
        <f t="shared" si="9"/>
        <v>0</v>
      </c>
      <c r="FS19">
        <f t="shared" si="9"/>
        <v>0</v>
      </c>
      <c r="FT19">
        <f t="shared" si="9"/>
        <v>0</v>
      </c>
      <c r="FU19">
        <f t="shared" si="9"/>
        <v>0</v>
      </c>
    </row>
    <row r="20" spans="1:177" x14ac:dyDescent="0.25">
      <c r="A20" t="str">
        <f t="shared" ref="A20:D20" si="14">A7</f>
        <v>M4A1-S</v>
      </c>
      <c r="B20" t="str">
        <f t="shared" si="14"/>
        <v>Golden Coil FT</v>
      </c>
      <c r="C20" t="str">
        <f t="shared" si="14"/>
        <v>M4A1-S</v>
      </c>
      <c r="D20" t="str">
        <f t="shared" si="14"/>
        <v>Shadow</v>
      </c>
      <c r="E20">
        <f t="shared" si="11"/>
        <v>10.87</v>
      </c>
      <c r="F20">
        <f t="shared" si="13"/>
        <v>10.67</v>
      </c>
      <c r="G20">
        <f t="shared" si="13"/>
        <v>11.06</v>
      </c>
      <c r="H20">
        <f t="shared" si="13"/>
        <v>10.51</v>
      </c>
      <c r="I20">
        <f t="shared" si="13"/>
        <v>11.06</v>
      </c>
      <c r="J20">
        <f t="shared" si="13"/>
        <v>10.82</v>
      </c>
      <c r="K20">
        <f t="shared" si="13"/>
        <v>10.74</v>
      </c>
      <c r="L20">
        <f t="shared" si="13"/>
        <v>10.830000000000002</v>
      </c>
      <c r="M20">
        <f t="shared" si="13"/>
        <v>10.650000000000002</v>
      </c>
      <c r="N20">
        <f t="shared" si="13"/>
        <v>10.15</v>
      </c>
      <c r="O20">
        <f t="shared" si="13"/>
        <v>10.830000000000002</v>
      </c>
      <c r="P20">
        <f t="shared" si="13"/>
        <v>10.26</v>
      </c>
      <c r="Q20">
        <f t="shared" si="13"/>
        <v>9.84</v>
      </c>
      <c r="R20">
        <f t="shared" si="13"/>
        <v>10.25</v>
      </c>
      <c r="S20">
        <f t="shared" si="13"/>
        <v>10.420000000000002</v>
      </c>
      <c r="T20">
        <f t="shared" si="13"/>
        <v>10.43</v>
      </c>
      <c r="U20">
        <f t="shared" si="13"/>
        <v>10.71</v>
      </c>
      <c r="V20">
        <f t="shared" si="13"/>
        <v>10.809999999999999</v>
      </c>
      <c r="W20">
        <f t="shared" si="13"/>
        <v>10.15</v>
      </c>
      <c r="X20">
        <f t="shared" si="13"/>
        <v>10.32</v>
      </c>
      <c r="Y20">
        <f t="shared" si="13"/>
        <v>10.969999999999999</v>
      </c>
      <c r="Z20">
        <f t="shared" si="13"/>
        <v>0</v>
      </c>
      <c r="AA20">
        <f t="shared" si="13"/>
        <v>0</v>
      </c>
      <c r="AB20">
        <f t="shared" si="13"/>
        <v>0</v>
      </c>
      <c r="AC20">
        <f t="shared" si="13"/>
        <v>0</v>
      </c>
      <c r="AD20">
        <f t="shared" si="13"/>
        <v>0</v>
      </c>
      <c r="AE20">
        <f t="shared" si="13"/>
        <v>0</v>
      </c>
      <c r="AF20">
        <f t="shared" si="13"/>
        <v>0</v>
      </c>
      <c r="AG20">
        <f t="shared" si="13"/>
        <v>0</v>
      </c>
      <c r="AH20">
        <f t="shared" si="13"/>
        <v>0</v>
      </c>
      <c r="AI20">
        <f t="shared" si="13"/>
        <v>0</v>
      </c>
      <c r="AJ20">
        <f t="shared" si="13"/>
        <v>0</v>
      </c>
      <c r="AK20">
        <f t="shared" si="13"/>
        <v>0</v>
      </c>
      <c r="AL20">
        <f t="shared" si="13"/>
        <v>0</v>
      </c>
      <c r="AM20">
        <f t="shared" si="13"/>
        <v>0</v>
      </c>
      <c r="AN20">
        <f t="shared" si="13"/>
        <v>0</v>
      </c>
      <c r="AO20">
        <f t="shared" si="13"/>
        <v>0</v>
      </c>
      <c r="AP20">
        <f t="shared" si="13"/>
        <v>0</v>
      </c>
      <c r="AQ20">
        <f t="shared" si="13"/>
        <v>0</v>
      </c>
      <c r="AR20">
        <f t="shared" si="13"/>
        <v>0</v>
      </c>
      <c r="AS20">
        <f t="shared" si="13"/>
        <v>0</v>
      </c>
      <c r="AT20">
        <f t="shared" si="13"/>
        <v>0</v>
      </c>
      <c r="AU20">
        <f t="shared" si="13"/>
        <v>0</v>
      </c>
      <c r="AV20">
        <f t="shared" si="13"/>
        <v>0</v>
      </c>
      <c r="AW20">
        <f t="shared" si="13"/>
        <v>0</v>
      </c>
      <c r="AX20">
        <f t="shared" si="13"/>
        <v>0</v>
      </c>
      <c r="AY20">
        <f t="shared" si="13"/>
        <v>0</v>
      </c>
      <c r="AZ20">
        <f t="shared" si="13"/>
        <v>0</v>
      </c>
      <c r="BA20">
        <f t="shared" si="13"/>
        <v>0</v>
      </c>
      <c r="BB20">
        <f t="shared" si="13"/>
        <v>0</v>
      </c>
      <c r="BC20">
        <f t="shared" si="13"/>
        <v>0</v>
      </c>
      <c r="BD20">
        <f t="shared" si="13"/>
        <v>0</v>
      </c>
      <c r="BE20">
        <f t="shared" si="13"/>
        <v>0</v>
      </c>
      <c r="BF20">
        <f t="shared" si="13"/>
        <v>0</v>
      </c>
      <c r="BG20">
        <f t="shared" si="13"/>
        <v>0</v>
      </c>
      <c r="BH20">
        <f t="shared" si="13"/>
        <v>0</v>
      </c>
      <c r="BI20">
        <f t="shared" si="13"/>
        <v>0</v>
      </c>
      <c r="BJ20">
        <f t="shared" si="13"/>
        <v>0</v>
      </c>
      <c r="BK20">
        <f t="shared" si="13"/>
        <v>0</v>
      </c>
      <c r="BL20">
        <f t="shared" si="13"/>
        <v>0</v>
      </c>
      <c r="BM20">
        <f t="shared" si="13"/>
        <v>0</v>
      </c>
      <c r="BN20">
        <f t="shared" si="13"/>
        <v>0</v>
      </c>
      <c r="BO20">
        <f t="shared" si="13"/>
        <v>0</v>
      </c>
      <c r="BP20">
        <f t="shared" si="13"/>
        <v>0</v>
      </c>
      <c r="BQ20">
        <f t="shared" si="13"/>
        <v>0</v>
      </c>
      <c r="BR20">
        <f t="shared" si="8"/>
        <v>0</v>
      </c>
      <c r="BS20">
        <f t="shared" si="8"/>
        <v>0</v>
      </c>
      <c r="BT20">
        <f t="shared" si="8"/>
        <v>0</v>
      </c>
      <c r="BU20">
        <f t="shared" si="8"/>
        <v>0</v>
      </c>
      <c r="BV20">
        <f t="shared" si="8"/>
        <v>0</v>
      </c>
      <c r="BW20">
        <f t="shared" si="8"/>
        <v>0</v>
      </c>
      <c r="BX20">
        <f t="shared" si="8"/>
        <v>0</v>
      </c>
      <c r="BY20">
        <f t="shared" si="8"/>
        <v>0</v>
      </c>
      <c r="BZ20">
        <f t="shared" si="8"/>
        <v>0</v>
      </c>
      <c r="CA20">
        <f t="shared" si="8"/>
        <v>0</v>
      </c>
      <c r="CB20">
        <f t="shared" si="8"/>
        <v>0</v>
      </c>
      <c r="CC20">
        <f t="shared" si="8"/>
        <v>0</v>
      </c>
      <c r="CD20">
        <f t="shared" si="8"/>
        <v>0</v>
      </c>
      <c r="CE20">
        <f t="shared" si="8"/>
        <v>0</v>
      </c>
      <c r="CF20">
        <f t="shared" si="8"/>
        <v>0</v>
      </c>
      <c r="CG20">
        <f t="shared" si="8"/>
        <v>0</v>
      </c>
      <c r="CH20">
        <f t="shared" si="8"/>
        <v>0</v>
      </c>
      <c r="CI20">
        <f t="shared" si="8"/>
        <v>0</v>
      </c>
      <c r="CJ20">
        <f t="shared" si="8"/>
        <v>0</v>
      </c>
      <c r="CK20">
        <f t="shared" si="8"/>
        <v>0</v>
      </c>
      <c r="CL20">
        <f t="shared" si="8"/>
        <v>0</v>
      </c>
      <c r="CM20">
        <f t="shared" si="8"/>
        <v>0</v>
      </c>
      <c r="CN20">
        <f t="shared" si="8"/>
        <v>0</v>
      </c>
      <c r="CO20">
        <f t="shared" si="8"/>
        <v>0</v>
      </c>
      <c r="CP20">
        <f t="shared" si="8"/>
        <v>0</v>
      </c>
      <c r="CQ20">
        <f t="shared" si="8"/>
        <v>0</v>
      </c>
      <c r="CR20">
        <f t="shared" si="8"/>
        <v>0</v>
      </c>
      <c r="CS20">
        <f t="shared" si="8"/>
        <v>0</v>
      </c>
      <c r="CT20">
        <f t="shared" si="8"/>
        <v>0</v>
      </c>
      <c r="CU20">
        <f t="shared" si="8"/>
        <v>0</v>
      </c>
      <c r="CV20">
        <f t="shared" si="8"/>
        <v>0</v>
      </c>
      <c r="CW20">
        <f t="shared" si="8"/>
        <v>0</v>
      </c>
      <c r="CX20">
        <f t="shared" si="8"/>
        <v>0</v>
      </c>
      <c r="CY20">
        <f t="shared" si="8"/>
        <v>0</v>
      </c>
      <c r="CZ20">
        <f t="shared" si="8"/>
        <v>0</v>
      </c>
      <c r="DA20">
        <f t="shared" si="8"/>
        <v>0</v>
      </c>
      <c r="DB20">
        <f t="shared" si="8"/>
        <v>0</v>
      </c>
      <c r="DC20">
        <f t="shared" si="8"/>
        <v>0</v>
      </c>
      <c r="DD20">
        <f t="shared" si="8"/>
        <v>0</v>
      </c>
      <c r="DE20">
        <f t="shared" si="8"/>
        <v>0</v>
      </c>
      <c r="DF20">
        <f t="shared" si="8"/>
        <v>0</v>
      </c>
      <c r="DG20">
        <f t="shared" si="8"/>
        <v>0</v>
      </c>
      <c r="DH20">
        <f t="shared" si="8"/>
        <v>0</v>
      </c>
      <c r="DI20">
        <f t="shared" si="8"/>
        <v>0</v>
      </c>
      <c r="DJ20">
        <f t="shared" si="8"/>
        <v>0</v>
      </c>
      <c r="DK20">
        <f t="shared" si="8"/>
        <v>0</v>
      </c>
      <c r="DL20">
        <f t="shared" si="8"/>
        <v>0</v>
      </c>
      <c r="DM20">
        <f t="shared" si="8"/>
        <v>0</v>
      </c>
      <c r="DN20">
        <f t="shared" si="8"/>
        <v>0</v>
      </c>
      <c r="DO20">
        <f t="shared" si="8"/>
        <v>0</v>
      </c>
      <c r="DP20">
        <f t="shared" si="8"/>
        <v>0</v>
      </c>
      <c r="DQ20">
        <f t="shared" si="8"/>
        <v>0</v>
      </c>
      <c r="DR20">
        <f t="shared" si="8"/>
        <v>0</v>
      </c>
      <c r="DS20">
        <f t="shared" si="8"/>
        <v>0</v>
      </c>
      <c r="DT20">
        <f t="shared" si="8"/>
        <v>0</v>
      </c>
      <c r="DU20">
        <f t="shared" si="8"/>
        <v>0</v>
      </c>
      <c r="DV20">
        <f t="shared" si="8"/>
        <v>0</v>
      </c>
      <c r="DW20">
        <f t="shared" si="8"/>
        <v>0</v>
      </c>
      <c r="DX20">
        <f t="shared" si="8"/>
        <v>0</v>
      </c>
      <c r="DY20">
        <f t="shared" si="8"/>
        <v>0</v>
      </c>
      <c r="DZ20">
        <f t="shared" si="8"/>
        <v>0</v>
      </c>
      <c r="EA20">
        <f t="shared" si="8"/>
        <v>0</v>
      </c>
      <c r="EB20">
        <f t="shared" si="8"/>
        <v>0</v>
      </c>
      <c r="EC20">
        <f t="shared" ref="EC20:FU20" si="15">EC7-ROUNDUP(EC7*0.3,2)</f>
        <v>0</v>
      </c>
      <c r="ED20">
        <f t="shared" si="15"/>
        <v>0</v>
      </c>
      <c r="EE20">
        <f t="shared" si="15"/>
        <v>0</v>
      </c>
      <c r="EF20">
        <f t="shared" si="15"/>
        <v>0</v>
      </c>
      <c r="EG20">
        <f t="shared" si="15"/>
        <v>0</v>
      </c>
      <c r="EH20">
        <f t="shared" si="15"/>
        <v>0</v>
      </c>
      <c r="EI20">
        <f t="shared" si="15"/>
        <v>0</v>
      </c>
      <c r="EJ20">
        <f t="shared" si="15"/>
        <v>0</v>
      </c>
      <c r="EK20">
        <f t="shared" si="15"/>
        <v>0</v>
      </c>
      <c r="EL20">
        <f t="shared" si="15"/>
        <v>0</v>
      </c>
      <c r="EM20">
        <f t="shared" si="15"/>
        <v>0</v>
      </c>
      <c r="EN20">
        <f t="shared" si="15"/>
        <v>0</v>
      </c>
      <c r="EO20">
        <f t="shared" si="15"/>
        <v>0</v>
      </c>
      <c r="EP20">
        <f t="shared" si="15"/>
        <v>0</v>
      </c>
      <c r="EQ20">
        <f t="shared" si="15"/>
        <v>0</v>
      </c>
      <c r="ER20">
        <f t="shared" si="15"/>
        <v>0</v>
      </c>
      <c r="ES20">
        <f t="shared" si="15"/>
        <v>0</v>
      </c>
      <c r="ET20">
        <f t="shared" si="15"/>
        <v>0</v>
      </c>
      <c r="EU20">
        <f t="shared" si="15"/>
        <v>0</v>
      </c>
      <c r="EV20">
        <f t="shared" si="15"/>
        <v>0</v>
      </c>
      <c r="EW20">
        <f t="shared" si="15"/>
        <v>0</v>
      </c>
      <c r="EX20">
        <f t="shared" si="15"/>
        <v>0</v>
      </c>
      <c r="EY20">
        <f t="shared" si="15"/>
        <v>0</v>
      </c>
      <c r="EZ20">
        <f t="shared" si="15"/>
        <v>0</v>
      </c>
      <c r="FA20">
        <f t="shared" si="15"/>
        <v>0</v>
      </c>
      <c r="FB20">
        <f t="shared" si="15"/>
        <v>0</v>
      </c>
      <c r="FC20">
        <f t="shared" si="15"/>
        <v>0</v>
      </c>
      <c r="FD20">
        <f t="shared" si="15"/>
        <v>0</v>
      </c>
      <c r="FE20">
        <f t="shared" si="15"/>
        <v>0</v>
      </c>
      <c r="FF20">
        <f t="shared" si="15"/>
        <v>0</v>
      </c>
      <c r="FG20">
        <f t="shared" si="15"/>
        <v>0</v>
      </c>
      <c r="FH20">
        <f t="shared" si="15"/>
        <v>0</v>
      </c>
      <c r="FI20">
        <f t="shared" si="15"/>
        <v>0</v>
      </c>
      <c r="FJ20">
        <f t="shared" si="15"/>
        <v>0</v>
      </c>
      <c r="FK20">
        <f t="shared" si="15"/>
        <v>0</v>
      </c>
      <c r="FL20">
        <f t="shared" si="15"/>
        <v>0</v>
      </c>
      <c r="FM20">
        <f t="shared" si="15"/>
        <v>0</v>
      </c>
      <c r="FN20">
        <f t="shared" si="15"/>
        <v>0</v>
      </c>
      <c r="FO20">
        <f t="shared" si="15"/>
        <v>0</v>
      </c>
      <c r="FP20">
        <f t="shared" si="15"/>
        <v>0</v>
      </c>
      <c r="FQ20">
        <f t="shared" si="15"/>
        <v>0</v>
      </c>
      <c r="FR20">
        <f t="shared" si="15"/>
        <v>0</v>
      </c>
      <c r="FS20">
        <f t="shared" si="15"/>
        <v>0</v>
      </c>
      <c r="FT20">
        <f t="shared" si="15"/>
        <v>0</v>
      </c>
      <c r="FU20">
        <f t="shared" si="15"/>
        <v>0</v>
      </c>
    </row>
    <row r="23" spans="1:177" x14ac:dyDescent="0.25">
      <c r="D23" s="1" t="s">
        <v>186</v>
      </c>
      <c r="E23">
        <f>SUM(E17:E20)</f>
        <v>53.63</v>
      </c>
      <c r="F23">
        <f t="shared" ref="F23:BQ23" si="16">SUM(F17:F20)</f>
        <v>51.86</v>
      </c>
      <c r="G23">
        <f t="shared" si="16"/>
        <v>50.8</v>
      </c>
      <c r="H23">
        <f t="shared" si="16"/>
        <v>49.64</v>
      </c>
      <c r="I23">
        <f t="shared" si="16"/>
        <v>52.03</v>
      </c>
      <c r="J23">
        <f t="shared" si="16"/>
        <v>50.889999999999993</v>
      </c>
      <c r="K23">
        <f t="shared" si="16"/>
        <v>49.5</v>
      </c>
      <c r="L23">
        <f t="shared" si="16"/>
        <v>50.870000000000005</v>
      </c>
      <c r="M23">
        <f t="shared" si="16"/>
        <v>50.190000000000012</v>
      </c>
      <c r="N23">
        <f t="shared" si="16"/>
        <v>49.14</v>
      </c>
      <c r="O23">
        <f t="shared" si="16"/>
        <v>48.53</v>
      </c>
      <c r="P23">
        <f t="shared" si="16"/>
        <v>49.919999999999995</v>
      </c>
      <c r="Q23">
        <f t="shared" si="16"/>
        <v>49.91</v>
      </c>
      <c r="R23">
        <f t="shared" si="16"/>
        <v>55.709999999999994</v>
      </c>
      <c r="S23">
        <f t="shared" si="16"/>
        <v>52.360000000000007</v>
      </c>
      <c r="T23">
        <f t="shared" si="16"/>
        <v>51.760000000000005</v>
      </c>
      <c r="U23">
        <f t="shared" si="16"/>
        <v>51.15</v>
      </c>
      <c r="V23">
        <f t="shared" si="16"/>
        <v>49.91</v>
      </c>
      <c r="W23">
        <f t="shared" si="16"/>
        <v>51.169999999999995</v>
      </c>
      <c r="X23">
        <f t="shared" si="16"/>
        <v>49.32</v>
      </c>
      <c r="Y23">
        <f t="shared" si="16"/>
        <v>49.489999999999995</v>
      </c>
      <c r="Z23">
        <f t="shared" si="16"/>
        <v>0</v>
      </c>
      <c r="AA23">
        <f t="shared" si="16"/>
        <v>0</v>
      </c>
      <c r="AB23">
        <f t="shared" si="16"/>
        <v>0</v>
      </c>
      <c r="AC23">
        <f t="shared" si="16"/>
        <v>0</v>
      </c>
      <c r="AD23">
        <f t="shared" si="16"/>
        <v>0</v>
      </c>
      <c r="AE23">
        <f t="shared" si="16"/>
        <v>0</v>
      </c>
      <c r="AF23">
        <f t="shared" si="16"/>
        <v>0</v>
      </c>
      <c r="AG23">
        <f t="shared" si="16"/>
        <v>0</v>
      </c>
      <c r="AH23">
        <f t="shared" si="16"/>
        <v>0</v>
      </c>
      <c r="AI23">
        <f t="shared" si="16"/>
        <v>0</v>
      </c>
      <c r="AJ23">
        <f t="shared" si="16"/>
        <v>0</v>
      </c>
      <c r="AK23">
        <f t="shared" si="16"/>
        <v>0</v>
      </c>
      <c r="AL23">
        <f t="shared" si="16"/>
        <v>0</v>
      </c>
      <c r="AM23">
        <f t="shared" si="16"/>
        <v>0</v>
      </c>
      <c r="AN23">
        <f t="shared" si="16"/>
        <v>0</v>
      </c>
      <c r="AO23">
        <f t="shared" si="16"/>
        <v>0</v>
      </c>
      <c r="AP23">
        <f t="shared" si="16"/>
        <v>0</v>
      </c>
      <c r="AQ23">
        <f t="shared" si="16"/>
        <v>0</v>
      </c>
      <c r="AR23">
        <f t="shared" si="16"/>
        <v>0</v>
      </c>
      <c r="AS23">
        <f t="shared" si="16"/>
        <v>0</v>
      </c>
      <c r="AT23">
        <f t="shared" si="16"/>
        <v>0</v>
      </c>
      <c r="AU23">
        <f t="shared" si="16"/>
        <v>0</v>
      </c>
      <c r="AV23">
        <f t="shared" si="16"/>
        <v>0</v>
      </c>
      <c r="AW23">
        <f t="shared" si="16"/>
        <v>0</v>
      </c>
      <c r="AX23">
        <f t="shared" si="16"/>
        <v>0</v>
      </c>
      <c r="AY23">
        <f t="shared" si="16"/>
        <v>0</v>
      </c>
      <c r="AZ23">
        <f t="shared" si="16"/>
        <v>0</v>
      </c>
      <c r="BA23">
        <f t="shared" si="16"/>
        <v>0</v>
      </c>
      <c r="BB23">
        <f t="shared" si="16"/>
        <v>0</v>
      </c>
      <c r="BC23">
        <f t="shared" si="16"/>
        <v>0</v>
      </c>
      <c r="BD23">
        <f t="shared" si="16"/>
        <v>0</v>
      </c>
      <c r="BE23">
        <f t="shared" si="16"/>
        <v>0</v>
      </c>
      <c r="BF23">
        <f t="shared" si="16"/>
        <v>0</v>
      </c>
      <c r="BG23">
        <f t="shared" si="16"/>
        <v>0</v>
      </c>
      <c r="BH23">
        <f t="shared" si="16"/>
        <v>0</v>
      </c>
      <c r="BI23">
        <f t="shared" si="16"/>
        <v>0</v>
      </c>
      <c r="BJ23">
        <f t="shared" si="16"/>
        <v>0</v>
      </c>
      <c r="BK23">
        <f t="shared" si="16"/>
        <v>0</v>
      </c>
      <c r="BL23">
        <f t="shared" si="16"/>
        <v>0</v>
      </c>
      <c r="BM23">
        <f t="shared" si="16"/>
        <v>0</v>
      </c>
      <c r="BN23">
        <f t="shared" si="16"/>
        <v>0</v>
      </c>
      <c r="BO23">
        <f t="shared" si="16"/>
        <v>0</v>
      </c>
      <c r="BP23">
        <f t="shared" si="16"/>
        <v>0</v>
      </c>
      <c r="BQ23">
        <f t="shared" si="16"/>
        <v>0</v>
      </c>
      <c r="BR23">
        <f t="shared" ref="BR23:EC23" si="17">SUM(BR17:BR20)</f>
        <v>0</v>
      </c>
      <c r="BS23">
        <f t="shared" si="17"/>
        <v>0</v>
      </c>
      <c r="BT23">
        <f t="shared" si="17"/>
        <v>0</v>
      </c>
      <c r="BU23">
        <f t="shared" si="17"/>
        <v>0</v>
      </c>
      <c r="BV23">
        <f t="shared" si="17"/>
        <v>0</v>
      </c>
      <c r="BW23">
        <f t="shared" si="17"/>
        <v>0</v>
      </c>
      <c r="BX23">
        <f t="shared" si="17"/>
        <v>0</v>
      </c>
      <c r="BY23">
        <f t="shared" si="17"/>
        <v>0</v>
      </c>
      <c r="BZ23">
        <f t="shared" si="17"/>
        <v>0</v>
      </c>
      <c r="CA23">
        <f t="shared" si="17"/>
        <v>0</v>
      </c>
      <c r="CB23">
        <f t="shared" si="17"/>
        <v>0</v>
      </c>
      <c r="CC23">
        <f t="shared" si="17"/>
        <v>0</v>
      </c>
      <c r="CD23">
        <f t="shared" si="17"/>
        <v>0</v>
      </c>
      <c r="CE23">
        <f t="shared" si="17"/>
        <v>0</v>
      </c>
      <c r="CF23">
        <f t="shared" si="17"/>
        <v>0</v>
      </c>
      <c r="CG23">
        <f t="shared" si="17"/>
        <v>0</v>
      </c>
      <c r="CH23">
        <f t="shared" si="17"/>
        <v>0</v>
      </c>
      <c r="CI23">
        <f t="shared" si="17"/>
        <v>0</v>
      </c>
      <c r="CJ23">
        <f t="shared" si="17"/>
        <v>0</v>
      </c>
      <c r="CK23">
        <f t="shared" si="17"/>
        <v>0</v>
      </c>
      <c r="CL23">
        <f t="shared" si="17"/>
        <v>0</v>
      </c>
      <c r="CM23">
        <f t="shared" si="17"/>
        <v>0</v>
      </c>
      <c r="CN23">
        <f t="shared" si="17"/>
        <v>0</v>
      </c>
      <c r="CO23">
        <f t="shared" si="17"/>
        <v>0</v>
      </c>
      <c r="CP23">
        <f t="shared" si="17"/>
        <v>0</v>
      </c>
      <c r="CQ23">
        <f t="shared" si="17"/>
        <v>0</v>
      </c>
      <c r="CR23">
        <f t="shared" si="17"/>
        <v>0</v>
      </c>
      <c r="CS23">
        <f t="shared" si="17"/>
        <v>0</v>
      </c>
      <c r="CT23">
        <f t="shared" si="17"/>
        <v>0</v>
      </c>
      <c r="CU23">
        <f t="shared" si="17"/>
        <v>0</v>
      </c>
      <c r="CV23">
        <f t="shared" si="17"/>
        <v>0</v>
      </c>
      <c r="CW23">
        <f t="shared" si="17"/>
        <v>0</v>
      </c>
      <c r="CX23">
        <f t="shared" si="17"/>
        <v>0</v>
      </c>
      <c r="CY23">
        <f t="shared" si="17"/>
        <v>0</v>
      </c>
      <c r="CZ23">
        <f t="shared" si="17"/>
        <v>0</v>
      </c>
      <c r="DA23">
        <f t="shared" si="17"/>
        <v>0</v>
      </c>
      <c r="DB23">
        <f t="shared" si="17"/>
        <v>0</v>
      </c>
      <c r="DC23">
        <f t="shared" si="17"/>
        <v>0</v>
      </c>
      <c r="DD23">
        <f t="shared" si="17"/>
        <v>0</v>
      </c>
      <c r="DE23">
        <f t="shared" si="17"/>
        <v>0</v>
      </c>
      <c r="DF23">
        <f t="shared" si="17"/>
        <v>0</v>
      </c>
      <c r="DG23">
        <f t="shared" si="17"/>
        <v>0</v>
      </c>
      <c r="DH23">
        <f t="shared" si="17"/>
        <v>0</v>
      </c>
      <c r="DI23">
        <f t="shared" si="17"/>
        <v>0</v>
      </c>
      <c r="DJ23">
        <f t="shared" si="17"/>
        <v>0</v>
      </c>
      <c r="DK23">
        <f t="shared" si="17"/>
        <v>0</v>
      </c>
      <c r="DL23">
        <f t="shared" si="17"/>
        <v>0</v>
      </c>
      <c r="DM23">
        <f t="shared" si="17"/>
        <v>0</v>
      </c>
      <c r="DN23">
        <f t="shared" si="17"/>
        <v>0</v>
      </c>
      <c r="DO23">
        <f t="shared" si="17"/>
        <v>0</v>
      </c>
      <c r="DP23">
        <f t="shared" si="17"/>
        <v>0</v>
      </c>
      <c r="DQ23">
        <f t="shared" si="17"/>
        <v>0</v>
      </c>
      <c r="DR23">
        <f t="shared" si="17"/>
        <v>0</v>
      </c>
      <c r="DS23">
        <f t="shared" si="17"/>
        <v>0</v>
      </c>
      <c r="DT23">
        <f t="shared" si="17"/>
        <v>0</v>
      </c>
      <c r="DU23">
        <f t="shared" si="17"/>
        <v>0</v>
      </c>
      <c r="DV23">
        <f t="shared" si="17"/>
        <v>0</v>
      </c>
      <c r="DW23">
        <f t="shared" si="17"/>
        <v>0</v>
      </c>
      <c r="DX23">
        <f t="shared" si="17"/>
        <v>0</v>
      </c>
      <c r="DY23">
        <f t="shared" si="17"/>
        <v>0</v>
      </c>
      <c r="DZ23">
        <f t="shared" si="17"/>
        <v>0</v>
      </c>
      <c r="EA23">
        <f t="shared" si="17"/>
        <v>0</v>
      </c>
      <c r="EB23">
        <f t="shared" si="17"/>
        <v>0</v>
      </c>
      <c r="EC23">
        <f t="shared" si="17"/>
        <v>0</v>
      </c>
      <c r="ED23">
        <f t="shared" ref="ED23:FU23" si="18">SUM(ED17:ED20)</f>
        <v>0</v>
      </c>
      <c r="EE23">
        <f t="shared" si="18"/>
        <v>0</v>
      </c>
      <c r="EF23">
        <f t="shared" si="18"/>
        <v>0</v>
      </c>
      <c r="EG23">
        <f t="shared" si="18"/>
        <v>0</v>
      </c>
      <c r="EH23">
        <f t="shared" si="18"/>
        <v>0</v>
      </c>
      <c r="EI23">
        <f t="shared" si="18"/>
        <v>0</v>
      </c>
      <c r="EJ23">
        <f t="shared" si="18"/>
        <v>0</v>
      </c>
      <c r="EK23">
        <f t="shared" si="18"/>
        <v>0</v>
      </c>
      <c r="EL23">
        <f t="shared" si="18"/>
        <v>0</v>
      </c>
      <c r="EM23">
        <f t="shared" si="18"/>
        <v>0</v>
      </c>
      <c r="EN23">
        <f t="shared" si="18"/>
        <v>0</v>
      </c>
      <c r="EO23">
        <f t="shared" si="18"/>
        <v>0</v>
      </c>
      <c r="EP23">
        <f t="shared" si="18"/>
        <v>0</v>
      </c>
      <c r="EQ23">
        <f t="shared" si="18"/>
        <v>0</v>
      </c>
      <c r="ER23">
        <f t="shared" si="18"/>
        <v>0</v>
      </c>
      <c r="ES23">
        <f t="shared" si="18"/>
        <v>0</v>
      </c>
      <c r="ET23">
        <f t="shared" si="18"/>
        <v>0</v>
      </c>
      <c r="EU23">
        <f t="shared" si="18"/>
        <v>0</v>
      </c>
      <c r="EV23">
        <f t="shared" si="18"/>
        <v>0</v>
      </c>
      <c r="EW23">
        <f t="shared" si="18"/>
        <v>0</v>
      </c>
      <c r="EX23">
        <f t="shared" si="18"/>
        <v>0</v>
      </c>
      <c r="EY23">
        <f t="shared" si="18"/>
        <v>0</v>
      </c>
      <c r="EZ23">
        <f t="shared" si="18"/>
        <v>0</v>
      </c>
      <c r="FA23">
        <f t="shared" si="18"/>
        <v>0</v>
      </c>
      <c r="FB23">
        <f t="shared" si="18"/>
        <v>0</v>
      </c>
      <c r="FC23">
        <f t="shared" si="18"/>
        <v>0</v>
      </c>
      <c r="FD23">
        <f t="shared" si="18"/>
        <v>0</v>
      </c>
      <c r="FE23">
        <f t="shared" si="18"/>
        <v>0</v>
      </c>
      <c r="FF23">
        <f t="shared" si="18"/>
        <v>0</v>
      </c>
      <c r="FG23">
        <f t="shared" si="18"/>
        <v>0</v>
      </c>
      <c r="FH23">
        <f t="shared" si="18"/>
        <v>0</v>
      </c>
      <c r="FI23">
        <f t="shared" si="18"/>
        <v>0</v>
      </c>
      <c r="FJ23">
        <f t="shared" si="18"/>
        <v>0</v>
      </c>
      <c r="FK23">
        <f t="shared" si="18"/>
        <v>0</v>
      </c>
      <c r="FL23">
        <f t="shared" si="18"/>
        <v>0</v>
      </c>
      <c r="FM23">
        <f t="shared" si="18"/>
        <v>0</v>
      </c>
      <c r="FN23">
        <f t="shared" si="18"/>
        <v>0</v>
      </c>
      <c r="FO23">
        <f t="shared" si="18"/>
        <v>0</v>
      </c>
      <c r="FP23">
        <f t="shared" si="18"/>
        <v>0</v>
      </c>
      <c r="FQ23">
        <f t="shared" si="18"/>
        <v>0</v>
      </c>
      <c r="FR23">
        <f t="shared" si="18"/>
        <v>0</v>
      </c>
      <c r="FS23">
        <f t="shared" si="18"/>
        <v>0</v>
      </c>
      <c r="FT23">
        <f t="shared" si="18"/>
        <v>0</v>
      </c>
      <c r="FU23">
        <f t="shared" si="18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E8AA-2FBE-41EE-ACDF-A55B812D8603}">
  <dimension ref="A1:FU42"/>
  <sheetViews>
    <sheetView topLeftCell="A10" workbookViewId="0">
      <pane xSplit="4" topLeftCell="E1" activePane="topRight" state="frozen"/>
      <selection pane="topRight" activeCell="K22" sqref="K22"/>
    </sheetView>
  </sheetViews>
  <sheetFormatPr defaultRowHeight="15" x14ac:dyDescent="0.25"/>
  <cols>
    <col min="1" max="1" width="9.85546875" customWidth="1"/>
    <col min="2" max="2" width="26.7109375" customWidth="1"/>
    <col min="3" max="3" width="0" hidden="1" customWidth="1"/>
    <col min="4" max="4" width="9.140625" customWidth="1"/>
    <col min="5" max="177" width="10.5703125" customWidth="1"/>
  </cols>
  <sheetData>
    <row r="1" spans="1:177" x14ac:dyDescent="0.25">
      <c r="B1" t="s">
        <v>16</v>
      </c>
    </row>
    <row r="3" spans="1:177" x14ac:dyDescent="0.25">
      <c r="A3" s="1" t="s">
        <v>0</v>
      </c>
      <c r="B3" s="1" t="s">
        <v>1</v>
      </c>
      <c r="C3" s="1" t="s">
        <v>2</v>
      </c>
      <c r="D3" s="1" t="s">
        <v>8</v>
      </c>
      <c r="E3" s="2">
        <f>Inventory!E1</f>
        <v>44331</v>
      </c>
      <c r="F3" s="2">
        <f>Inventory!F1</f>
        <v>44332</v>
      </c>
      <c r="G3" s="2">
        <f>Inventory!G1</f>
        <v>44334</v>
      </c>
      <c r="H3" s="2">
        <f>Inventory!H1</f>
        <v>44336</v>
      </c>
      <c r="I3" s="2">
        <f>Inventory!I1</f>
        <v>44337</v>
      </c>
      <c r="J3" s="2">
        <f>Inventory!J1</f>
        <v>44338</v>
      </c>
      <c r="K3" s="2">
        <f>Inventory!K1</f>
        <v>44339</v>
      </c>
      <c r="L3" s="2">
        <f>Inventory!L1</f>
        <v>44340</v>
      </c>
      <c r="M3" s="2">
        <f>Inventory!M1</f>
        <v>44341</v>
      </c>
      <c r="N3" s="2">
        <f>Inventory!N1</f>
        <v>44342</v>
      </c>
      <c r="O3" s="2">
        <f>Inventory!O1</f>
        <v>44343</v>
      </c>
      <c r="P3" s="2">
        <f>Inventory!P1</f>
        <v>44344</v>
      </c>
      <c r="Q3" s="2">
        <f>Inventory!Q1</f>
        <v>44345</v>
      </c>
      <c r="R3" s="2">
        <f>Inventory!R1</f>
        <v>44346</v>
      </c>
      <c r="S3" s="2">
        <f>Inventory!S1</f>
        <v>44347</v>
      </c>
      <c r="T3" s="2">
        <f>Inventory!T1</f>
        <v>44348</v>
      </c>
      <c r="U3" s="2">
        <f>Inventory!U1</f>
        <v>44349</v>
      </c>
      <c r="V3" s="2">
        <f>Inventory!V1</f>
        <v>44350</v>
      </c>
      <c r="W3" s="2">
        <f>Inventory!W1</f>
        <v>44351</v>
      </c>
      <c r="X3" s="2">
        <f>Inventory!X1</f>
        <v>44352</v>
      </c>
      <c r="Y3" s="2">
        <f>Inventory!Y1</f>
        <v>44353</v>
      </c>
      <c r="Z3" s="2">
        <f>Inventory!Z1</f>
        <v>44354</v>
      </c>
      <c r="AA3" s="2">
        <f>Inventory!AA1</f>
        <v>44355</v>
      </c>
      <c r="AB3" s="2">
        <f>Inventory!AB1</f>
        <v>44356</v>
      </c>
      <c r="AC3" s="2">
        <f>Inventory!AC1</f>
        <v>44357</v>
      </c>
      <c r="AD3" s="2">
        <f>Inventory!AD1</f>
        <v>44358</v>
      </c>
      <c r="AE3" s="2">
        <f>Inventory!AE1</f>
        <v>44359</v>
      </c>
      <c r="AF3" s="2">
        <f>Inventory!AF1</f>
        <v>44360</v>
      </c>
      <c r="AG3" s="2">
        <f>Inventory!AG1</f>
        <v>44361</v>
      </c>
      <c r="AH3" s="2">
        <f>Inventory!AH1</f>
        <v>44362</v>
      </c>
      <c r="AI3" s="2">
        <f>Inventory!AI1</f>
        <v>44363</v>
      </c>
      <c r="AJ3" s="2">
        <f>Inventory!AJ1</f>
        <v>44364</v>
      </c>
      <c r="AK3" s="2">
        <f>Inventory!AK1</f>
        <v>44365</v>
      </c>
      <c r="AL3" s="2">
        <f>Inventory!AL1</f>
        <v>44366</v>
      </c>
      <c r="AM3" s="2">
        <f>Inventory!AM1</f>
        <v>44367</v>
      </c>
      <c r="AN3" s="2">
        <f>Inventory!AN1</f>
        <v>44368</v>
      </c>
      <c r="AO3" s="2">
        <f>Inventory!AO1</f>
        <v>44369</v>
      </c>
      <c r="AP3" s="2">
        <f>Inventory!AP1</f>
        <v>44370</v>
      </c>
      <c r="AQ3" s="2">
        <f>Inventory!AQ1</f>
        <v>44371</v>
      </c>
      <c r="AR3" s="2">
        <f>Inventory!AR1</f>
        <v>44372</v>
      </c>
      <c r="AS3" s="2">
        <f>Inventory!AS1</f>
        <v>44373</v>
      </c>
      <c r="AT3" s="2">
        <f>Inventory!AT1</f>
        <v>44374</v>
      </c>
      <c r="AU3" s="2">
        <f>Inventory!AU1</f>
        <v>44375</v>
      </c>
      <c r="AV3" s="2">
        <f>Inventory!AV1</f>
        <v>44376</v>
      </c>
      <c r="AW3" s="2">
        <f>Inventory!AW1</f>
        <v>44377</v>
      </c>
      <c r="AX3" s="2">
        <f>Inventory!AX1</f>
        <v>44378</v>
      </c>
      <c r="AY3" s="2">
        <f>Inventory!AY1</f>
        <v>44379</v>
      </c>
      <c r="AZ3" s="2">
        <f>Inventory!AZ1</f>
        <v>44380</v>
      </c>
      <c r="BA3" s="2">
        <f>Inventory!BA1</f>
        <v>44381</v>
      </c>
      <c r="BB3" s="2">
        <f>Inventory!BB1</f>
        <v>44382</v>
      </c>
      <c r="BC3" s="2">
        <f>Inventory!BC1</f>
        <v>44383</v>
      </c>
      <c r="BD3" s="2">
        <f>Inventory!BD1</f>
        <v>44384</v>
      </c>
      <c r="BE3" s="2">
        <f>Inventory!BE1</f>
        <v>44385</v>
      </c>
      <c r="BF3" s="2">
        <f>Inventory!BF1</f>
        <v>44386</v>
      </c>
      <c r="BG3" s="2">
        <f>Inventory!BG1</f>
        <v>44387</v>
      </c>
      <c r="BH3" s="2">
        <f>Inventory!BH1</f>
        <v>44388</v>
      </c>
      <c r="BI3" s="2">
        <f>Inventory!BI1</f>
        <v>44389</v>
      </c>
      <c r="BJ3" s="2">
        <f>Inventory!BJ1</f>
        <v>44390</v>
      </c>
      <c r="BK3" s="2">
        <f>Inventory!BK1</f>
        <v>44391</v>
      </c>
      <c r="BL3" s="2">
        <f>Inventory!BL1</f>
        <v>44392</v>
      </c>
      <c r="BM3" s="2">
        <f>Inventory!BM1</f>
        <v>44393</v>
      </c>
      <c r="BN3" s="2">
        <f>Inventory!BN1</f>
        <v>44394</v>
      </c>
      <c r="BO3" s="2">
        <f>Inventory!BO1</f>
        <v>44395</v>
      </c>
      <c r="BP3" s="2">
        <f>Inventory!BP1</f>
        <v>44396</v>
      </c>
      <c r="BQ3" s="2">
        <f>Inventory!BQ1</f>
        <v>44397</v>
      </c>
      <c r="BR3" s="2">
        <f>Inventory!BR1</f>
        <v>44398</v>
      </c>
      <c r="BS3" s="2">
        <f>Inventory!BS1</f>
        <v>44399</v>
      </c>
      <c r="BT3" s="2">
        <f>Inventory!BT1</f>
        <v>44400</v>
      </c>
      <c r="BU3" s="2">
        <f>Inventory!BU1</f>
        <v>44401</v>
      </c>
      <c r="BV3" s="2">
        <f>Inventory!BV1</f>
        <v>44402</v>
      </c>
      <c r="BW3" s="2">
        <f>Inventory!BW1</f>
        <v>44403</v>
      </c>
      <c r="BX3" s="2">
        <f>Inventory!BX1</f>
        <v>44404</v>
      </c>
      <c r="BY3" s="2">
        <f>Inventory!BY1</f>
        <v>44405</v>
      </c>
      <c r="BZ3" s="2">
        <f>Inventory!BZ1</f>
        <v>44406</v>
      </c>
      <c r="CA3" s="2">
        <f>Inventory!CA1</f>
        <v>44407</v>
      </c>
      <c r="CB3" s="2">
        <f>Inventory!CB1</f>
        <v>44408</v>
      </c>
      <c r="CC3" s="2">
        <f>Inventory!CC1</f>
        <v>44409</v>
      </c>
      <c r="CD3" s="2">
        <f>Inventory!CD1</f>
        <v>44410</v>
      </c>
      <c r="CE3" s="2">
        <f>Inventory!CE1</f>
        <v>44411</v>
      </c>
      <c r="CF3" s="2">
        <f>Inventory!CF1</f>
        <v>44412</v>
      </c>
      <c r="CG3" s="2">
        <f>Inventory!CG1</f>
        <v>44413</v>
      </c>
      <c r="CH3" s="2">
        <f>Inventory!CH1</f>
        <v>44414</v>
      </c>
      <c r="CI3" s="2">
        <f>Inventory!CI1</f>
        <v>44415</v>
      </c>
      <c r="CJ3" s="2">
        <f>Inventory!CJ1</f>
        <v>44416</v>
      </c>
      <c r="CK3" s="2">
        <f>Inventory!CK1</f>
        <v>44417</v>
      </c>
      <c r="CL3" s="2">
        <f>Inventory!CL1</f>
        <v>44418</v>
      </c>
      <c r="CM3" s="2">
        <f>Inventory!CM1</f>
        <v>44419</v>
      </c>
      <c r="CN3" s="2">
        <f>Inventory!CN1</f>
        <v>44420</v>
      </c>
      <c r="CO3" s="2">
        <f>Inventory!CO1</f>
        <v>44421</v>
      </c>
      <c r="CP3" s="2">
        <f>Inventory!CP1</f>
        <v>44422</v>
      </c>
      <c r="CQ3" s="2">
        <f>Inventory!CQ1</f>
        <v>44423</v>
      </c>
      <c r="CR3" s="2">
        <f>Inventory!CR1</f>
        <v>44424</v>
      </c>
      <c r="CS3" s="2">
        <f>Inventory!CS1</f>
        <v>44425</v>
      </c>
      <c r="CT3" s="2">
        <f>Inventory!CT1</f>
        <v>44426</v>
      </c>
      <c r="CU3" s="2">
        <f>Inventory!CU1</f>
        <v>44427</v>
      </c>
      <c r="CV3" s="2">
        <f>Inventory!CV1</f>
        <v>44428</v>
      </c>
      <c r="CW3" s="2">
        <f>Inventory!CW1</f>
        <v>44429</v>
      </c>
      <c r="CX3" s="2">
        <f>Inventory!CX1</f>
        <v>44430</v>
      </c>
      <c r="CY3" s="2">
        <f>Inventory!CY1</f>
        <v>44431</v>
      </c>
      <c r="CZ3" s="2">
        <f>Inventory!CZ1</f>
        <v>44432</v>
      </c>
      <c r="DA3" s="2">
        <f>Inventory!DA1</f>
        <v>44433</v>
      </c>
      <c r="DB3" s="2">
        <f>Inventory!DB1</f>
        <v>44434</v>
      </c>
      <c r="DC3" s="2">
        <f>Inventory!DC1</f>
        <v>44435</v>
      </c>
      <c r="DD3" s="2">
        <f>Inventory!DD1</f>
        <v>44436</v>
      </c>
      <c r="DE3" s="2">
        <f>Inventory!DE1</f>
        <v>44437</v>
      </c>
      <c r="DF3" s="2">
        <f>Inventory!DF1</f>
        <v>44438</v>
      </c>
      <c r="DG3" s="2">
        <f>Inventory!DG1</f>
        <v>44439</v>
      </c>
      <c r="DH3" s="2">
        <f>Inventory!DH1</f>
        <v>44440</v>
      </c>
      <c r="DI3" s="2">
        <f>Inventory!DI1</f>
        <v>44441</v>
      </c>
      <c r="DJ3" s="2">
        <f>Inventory!DJ1</f>
        <v>44442</v>
      </c>
      <c r="DK3" s="2">
        <f>Inventory!DK1</f>
        <v>44443</v>
      </c>
      <c r="DL3" s="2">
        <f>Inventory!DL1</f>
        <v>44444</v>
      </c>
      <c r="DM3" s="2">
        <f>Inventory!DM1</f>
        <v>44445</v>
      </c>
      <c r="DN3" s="2">
        <f>Inventory!DN1</f>
        <v>44446</v>
      </c>
      <c r="DO3" s="2">
        <f>Inventory!DO1</f>
        <v>44447</v>
      </c>
      <c r="DP3" s="2">
        <f>Inventory!DP1</f>
        <v>44448</v>
      </c>
      <c r="DQ3" s="2">
        <f>Inventory!DQ1</f>
        <v>44449</v>
      </c>
      <c r="DR3" s="2">
        <f>Inventory!DR1</f>
        <v>44450</v>
      </c>
      <c r="DS3" s="2">
        <f>Inventory!DS1</f>
        <v>44451</v>
      </c>
      <c r="DT3" s="2">
        <f>Inventory!DT1</f>
        <v>44452</v>
      </c>
      <c r="DU3" s="2">
        <f>Inventory!DU1</f>
        <v>44453</v>
      </c>
      <c r="DV3" s="2">
        <f>Inventory!DV1</f>
        <v>44454</v>
      </c>
      <c r="DW3" s="2">
        <f>Inventory!DW1</f>
        <v>44455</v>
      </c>
      <c r="DX3" s="2">
        <f>Inventory!DX1</f>
        <v>44456</v>
      </c>
      <c r="DY3" s="2">
        <f>Inventory!DY1</f>
        <v>44457</v>
      </c>
      <c r="DZ3" s="2">
        <f>Inventory!DZ1</f>
        <v>44458</v>
      </c>
      <c r="EA3" s="2">
        <f>Inventory!EA1</f>
        <v>44459</v>
      </c>
      <c r="EB3" s="2">
        <f>Inventory!EB1</f>
        <v>44460</v>
      </c>
      <c r="EC3" s="2">
        <f>Inventory!EC1</f>
        <v>44461</v>
      </c>
      <c r="ED3" s="2">
        <f>Inventory!ED1</f>
        <v>44462</v>
      </c>
      <c r="EE3" s="2">
        <f>Inventory!EE1</f>
        <v>44463</v>
      </c>
      <c r="EF3" s="2">
        <f>Inventory!EF1</f>
        <v>44464</v>
      </c>
      <c r="EG3" s="2">
        <f>Inventory!EG1</f>
        <v>44465</v>
      </c>
      <c r="EH3" s="2">
        <f>Inventory!EH1</f>
        <v>44466</v>
      </c>
      <c r="EI3" s="2">
        <f>Inventory!EI1</f>
        <v>44467</v>
      </c>
      <c r="EJ3" s="2">
        <f>Inventory!EJ1</f>
        <v>44468</v>
      </c>
      <c r="EK3" s="2">
        <f>Inventory!EK1</f>
        <v>44469</v>
      </c>
      <c r="EL3" s="2">
        <f>Inventory!EL1</f>
        <v>44470</v>
      </c>
      <c r="EM3" s="2">
        <f>Inventory!EM1</f>
        <v>44471</v>
      </c>
      <c r="EN3" s="2">
        <f>Inventory!EN1</f>
        <v>44472</v>
      </c>
      <c r="EO3" s="2">
        <f>Inventory!EO1</f>
        <v>44473</v>
      </c>
      <c r="EP3" s="2">
        <f>Inventory!EP1</f>
        <v>44474</v>
      </c>
      <c r="EQ3" s="2">
        <f>Inventory!EQ1</f>
        <v>44475</v>
      </c>
      <c r="ER3" s="2">
        <f>Inventory!ER1</f>
        <v>44476</v>
      </c>
      <c r="ES3" s="2">
        <f>Inventory!ES1</f>
        <v>44477</v>
      </c>
      <c r="ET3" s="2">
        <f>Inventory!ET1</f>
        <v>44478</v>
      </c>
      <c r="EU3" s="2">
        <f>Inventory!EU1</f>
        <v>44479</v>
      </c>
      <c r="EV3" s="2">
        <f>Inventory!EV1</f>
        <v>44480</v>
      </c>
      <c r="EW3" s="2">
        <f>Inventory!EW1</f>
        <v>44481</v>
      </c>
      <c r="EX3" s="2">
        <f>Inventory!EX1</f>
        <v>44482</v>
      </c>
      <c r="EY3" s="2">
        <f>Inventory!EY1</f>
        <v>44483</v>
      </c>
      <c r="EZ3" s="2">
        <f>Inventory!EZ1</f>
        <v>44484</v>
      </c>
      <c r="FA3" s="2">
        <f>Inventory!FA1</f>
        <v>44485</v>
      </c>
      <c r="FB3" s="2">
        <f>Inventory!FB1</f>
        <v>44486</v>
      </c>
      <c r="FC3" s="2">
        <f>Inventory!FC1</f>
        <v>44487</v>
      </c>
      <c r="FD3" s="2">
        <f>Inventory!FD1</f>
        <v>44488</v>
      </c>
      <c r="FE3" s="2">
        <f>Inventory!FE1</f>
        <v>44489</v>
      </c>
      <c r="FF3" s="2">
        <f>Inventory!FF1</f>
        <v>44490</v>
      </c>
      <c r="FG3" s="2">
        <f>Inventory!FG1</f>
        <v>44491</v>
      </c>
      <c r="FH3" s="2">
        <f>Inventory!FH1</f>
        <v>44492</v>
      </c>
      <c r="FI3" s="2">
        <f>Inventory!FI1</f>
        <v>44493</v>
      </c>
      <c r="FJ3" s="2">
        <f>Inventory!FJ1</f>
        <v>44494</v>
      </c>
      <c r="FK3" s="2">
        <f>Inventory!FK1</f>
        <v>44495</v>
      </c>
      <c r="FL3" s="2">
        <f>Inventory!FL1</f>
        <v>44496</v>
      </c>
      <c r="FM3" s="2">
        <f>Inventory!FM1</f>
        <v>44497</v>
      </c>
      <c r="FN3" s="2">
        <f>Inventory!FN1</f>
        <v>44498</v>
      </c>
      <c r="FO3" s="2">
        <f>Inventory!FO1</f>
        <v>44499</v>
      </c>
      <c r="FP3" s="2">
        <f>Inventory!FP1</f>
        <v>44500</v>
      </c>
      <c r="FQ3" s="2">
        <f>Inventory!FQ1</f>
        <v>44501</v>
      </c>
      <c r="FR3" s="2">
        <f>Inventory!FR1</f>
        <v>44502</v>
      </c>
      <c r="FS3" s="2">
        <f>Inventory!FS1</f>
        <v>44503</v>
      </c>
      <c r="FT3" s="2">
        <f>Inventory!FT1</f>
        <v>44504</v>
      </c>
      <c r="FU3" s="2">
        <f>Inventory!FU1</f>
        <v>44505</v>
      </c>
    </row>
    <row r="4" spans="1:177" x14ac:dyDescent="0.25">
      <c r="A4" t="str" cm="1">
        <f t="array" ref="A4:FU17">_xlfn._xlws.FILTER(Inventory!$A$2:$FU$103, (Inventory!C2:C103="SMG"))</f>
        <v>UMP-45</v>
      </c>
      <c r="B4" t="str">
        <v xml:space="preserve"> Plastique MW</v>
      </c>
      <c r="C4" t="str">
        <v>SMG</v>
      </c>
      <c r="D4" t="str">
        <v>CS20</v>
      </c>
      <c r="E4">
        <v>0.8</v>
      </c>
      <c r="F4">
        <v>0.83</v>
      </c>
      <c r="G4">
        <v>0.82</v>
      </c>
      <c r="H4">
        <v>0.76</v>
      </c>
      <c r="I4">
        <v>0.82</v>
      </c>
      <c r="J4">
        <v>0.83</v>
      </c>
      <c r="K4">
        <v>0.84</v>
      </c>
      <c r="L4">
        <v>0.84</v>
      </c>
      <c r="M4">
        <v>0.84</v>
      </c>
      <c r="N4">
        <v>0.83</v>
      </c>
      <c r="O4">
        <v>0.85</v>
      </c>
      <c r="P4">
        <v>0.85</v>
      </c>
      <c r="Q4">
        <v>0.87</v>
      </c>
      <c r="R4">
        <v>0.85</v>
      </c>
      <c r="S4">
        <v>0.83</v>
      </c>
      <c r="T4">
        <v>0.84</v>
      </c>
      <c r="U4">
        <v>0.83</v>
      </c>
      <c r="V4">
        <v>0.75</v>
      </c>
      <c r="W4">
        <v>0.81</v>
      </c>
      <c r="X4">
        <v>0.82</v>
      </c>
      <c r="Y4">
        <v>0.82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</row>
    <row r="5" spans="1:177" x14ac:dyDescent="0.25">
      <c r="A5" t="str">
        <v>PP-Bizon</v>
      </c>
      <c r="B5" t="str">
        <v>Fuel Rod FT</v>
      </c>
      <c r="C5" t="str">
        <v>SMG</v>
      </c>
      <c r="D5" t="str">
        <v>Revolver</v>
      </c>
      <c r="E5">
        <v>1.1000000000000001</v>
      </c>
      <c r="F5">
        <v>1.04</v>
      </c>
      <c r="G5">
        <v>0.98</v>
      </c>
      <c r="H5">
        <v>0.93</v>
      </c>
      <c r="I5">
        <v>0.88</v>
      </c>
      <c r="J5">
        <v>0.98</v>
      </c>
      <c r="K5">
        <v>0.94</v>
      </c>
      <c r="L5">
        <v>0.93</v>
      </c>
      <c r="M5">
        <v>0.96</v>
      </c>
      <c r="N5">
        <v>0.93</v>
      </c>
      <c r="O5">
        <v>0.98</v>
      </c>
      <c r="P5">
        <v>0.98</v>
      </c>
      <c r="Q5">
        <v>0.88</v>
      </c>
      <c r="R5">
        <v>0.87</v>
      </c>
      <c r="S5">
        <v>0.85</v>
      </c>
      <c r="T5">
        <v>0.84</v>
      </c>
      <c r="U5">
        <v>0.92</v>
      </c>
      <c r="V5">
        <v>0.86</v>
      </c>
      <c r="W5">
        <v>0.89</v>
      </c>
      <c r="X5">
        <v>0.85</v>
      </c>
      <c r="Y5">
        <v>0.86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</row>
    <row r="6" spans="1:177" x14ac:dyDescent="0.25">
      <c r="A6" t="str">
        <v>MP9</v>
      </c>
      <c r="B6" t="str">
        <v>Hydra MW</v>
      </c>
      <c r="C6" t="str">
        <v>SMG</v>
      </c>
      <c r="D6" t="str">
        <v>CS20</v>
      </c>
      <c r="E6">
        <v>6.38</v>
      </c>
      <c r="F6">
        <v>5.63</v>
      </c>
      <c r="G6">
        <v>5.7</v>
      </c>
      <c r="H6">
        <v>5.94</v>
      </c>
      <c r="I6">
        <v>5.87</v>
      </c>
      <c r="J6">
        <v>6.21</v>
      </c>
      <c r="K6">
        <v>5.92</v>
      </c>
      <c r="L6">
        <v>6.18</v>
      </c>
      <c r="M6">
        <v>5.84</v>
      </c>
      <c r="N6">
        <v>5.87</v>
      </c>
      <c r="O6">
        <v>6.07</v>
      </c>
      <c r="P6">
        <v>5.77</v>
      </c>
      <c r="Q6">
        <v>5.94</v>
      </c>
      <c r="R6">
        <v>5.78</v>
      </c>
      <c r="S6">
        <v>6.27</v>
      </c>
      <c r="T6">
        <v>6.04</v>
      </c>
      <c r="U6">
        <v>6.14</v>
      </c>
      <c r="V6">
        <v>5.75</v>
      </c>
      <c r="W6">
        <v>5.92</v>
      </c>
      <c r="X6">
        <v>5.93</v>
      </c>
      <c r="Y6">
        <v>5.93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</row>
    <row r="7" spans="1:177" x14ac:dyDescent="0.25">
      <c r="A7" t="str">
        <v>MP7</v>
      </c>
      <c r="B7" t="str">
        <v>Impire MW</v>
      </c>
      <c r="C7" t="str">
        <v>SMG</v>
      </c>
      <c r="D7" t="str">
        <v>Wildfire</v>
      </c>
      <c r="E7">
        <v>1.46</v>
      </c>
      <c r="F7">
        <v>1.44</v>
      </c>
      <c r="G7">
        <v>1.49</v>
      </c>
      <c r="H7">
        <v>1.46</v>
      </c>
      <c r="I7">
        <v>1.53</v>
      </c>
      <c r="J7">
        <v>1.53</v>
      </c>
      <c r="K7">
        <v>1.45</v>
      </c>
      <c r="L7">
        <v>1.53</v>
      </c>
      <c r="M7">
        <v>1.46</v>
      </c>
      <c r="N7">
        <v>1.49</v>
      </c>
      <c r="O7">
        <v>1.52</v>
      </c>
      <c r="P7">
        <v>1.51</v>
      </c>
      <c r="Q7">
        <v>1.56</v>
      </c>
      <c r="R7">
        <v>1.54</v>
      </c>
      <c r="S7">
        <v>1.41</v>
      </c>
      <c r="T7">
        <v>1.51</v>
      </c>
      <c r="U7">
        <v>1.45</v>
      </c>
      <c r="V7">
        <v>1.51</v>
      </c>
      <c r="W7">
        <v>1.41</v>
      </c>
      <c r="X7">
        <v>1.46</v>
      </c>
      <c r="Y7">
        <v>1.38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</row>
    <row r="8" spans="1:177" x14ac:dyDescent="0.25">
      <c r="A8" t="str">
        <v>MAC-10</v>
      </c>
      <c r="B8" t="str">
        <v>Malachite MW</v>
      </c>
      <c r="C8" t="str">
        <v>SMG</v>
      </c>
      <c r="D8" t="str">
        <v>Chroma</v>
      </c>
      <c r="E8">
        <v>1.5</v>
      </c>
      <c r="F8">
        <v>1.45</v>
      </c>
      <c r="G8">
        <v>1.4</v>
      </c>
      <c r="H8">
        <v>1.39</v>
      </c>
      <c r="I8">
        <v>1.51</v>
      </c>
      <c r="J8">
        <v>1.54</v>
      </c>
      <c r="K8">
        <v>1.46</v>
      </c>
      <c r="L8">
        <v>1.55</v>
      </c>
      <c r="M8">
        <v>1.55</v>
      </c>
      <c r="N8">
        <v>1.51</v>
      </c>
      <c r="O8">
        <v>1.49</v>
      </c>
      <c r="P8">
        <v>1.5</v>
      </c>
      <c r="Q8">
        <v>1.51</v>
      </c>
      <c r="R8">
        <v>1.54</v>
      </c>
      <c r="S8">
        <v>1.54</v>
      </c>
      <c r="T8">
        <v>1.55</v>
      </c>
      <c r="U8">
        <v>1.56</v>
      </c>
      <c r="V8">
        <v>1.52</v>
      </c>
      <c r="W8">
        <v>1.46</v>
      </c>
      <c r="X8">
        <v>1.51</v>
      </c>
      <c r="Y8">
        <v>1.52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</row>
    <row r="9" spans="1:177" x14ac:dyDescent="0.25">
      <c r="A9" t="str">
        <v>MP5-SD</v>
      </c>
      <c r="B9" t="str">
        <v>Bamboo Garden MW</v>
      </c>
      <c r="C9" t="str">
        <v>SMG</v>
      </c>
      <c r="D9" t="str">
        <v>St. Marc</v>
      </c>
      <c r="E9">
        <v>0.52</v>
      </c>
      <c r="F9">
        <v>0.48</v>
      </c>
      <c r="G9">
        <v>0.54</v>
      </c>
      <c r="H9">
        <v>0.55000000000000004</v>
      </c>
      <c r="I9">
        <v>0.53</v>
      </c>
      <c r="J9">
        <v>0.61</v>
      </c>
      <c r="K9">
        <v>0.76</v>
      </c>
      <c r="L9">
        <v>0.78</v>
      </c>
      <c r="M9">
        <v>0.83</v>
      </c>
      <c r="N9">
        <v>1.06</v>
      </c>
      <c r="O9">
        <v>1.29</v>
      </c>
      <c r="P9">
        <v>1.21</v>
      </c>
      <c r="Q9">
        <v>1.0900000000000001</v>
      </c>
      <c r="R9">
        <v>1.04</v>
      </c>
      <c r="S9">
        <v>0.98</v>
      </c>
      <c r="T9">
        <v>0.93</v>
      </c>
      <c r="U9">
        <v>1.01</v>
      </c>
      <c r="V9">
        <v>1.08</v>
      </c>
      <c r="W9">
        <v>1.23</v>
      </c>
      <c r="X9">
        <v>1.41</v>
      </c>
      <c r="Y9">
        <v>1.31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</row>
    <row r="10" spans="1:177" x14ac:dyDescent="0.25">
      <c r="A10" t="str">
        <v>MAC-10</v>
      </c>
      <c r="B10" t="str">
        <v>StatTrak Neon Rider MW</v>
      </c>
      <c r="C10" t="str">
        <v>SMG</v>
      </c>
      <c r="D10" t="str">
        <v>Chroma 2</v>
      </c>
      <c r="E10">
        <v>22.48</v>
      </c>
      <c r="F10">
        <v>23.47</v>
      </c>
      <c r="G10">
        <v>20.71</v>
      </c>
      <c r="H10">
        <v>19.8</v>
      </c>
      <c r="I10">
        <v>21.98</v>
      </c>
      <c r="J10">
        <v>23.47</v>
      </c>
      <c r="K10">
        <v>23.57</v>
      </c>
      <c r="L10">
        <v>22.65</v>
      </c>
      <c r="M10">
        <v>23.03</v>
      </c>
      <c r="N10">
        <v>23.07</v>
      </c>
      <c r="O10">
        <v>22.67</v>
      </c>
      <c r="P10">
        <v>22.71</v>
      </c>
      <c r="Q10">
        <v>21.96</v>
      </c>
      <c r="R10">
        <v>21.29</v>
      </c>
      <c r="S10">
        <v>22.8</v>
      </c>
      <c r="T10">
        <v>22.7</v>
      </c>
      <c r="U10">
        <v>22.81</v>
      </c>
      <c r="V10">
        <v>22.88</v>
      </c>
      <c r="W10">
        <v>21.67</v>
      </c>
      <c r="X10">
        <v>22.85</v>
      </c>
      <c r="Y10">
        <v>21.98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</row>
    <row r="11" spans="1:177" x14ac:dyDescent="0.25">
      <c r="A11" t="str">
        <v>UMP-45</v>
      </c>
      <c r="B11" t="str">
        <v>Momentum FN</v>
      </c>
      <c r="C11" t="str">
        <v>SMG</v>
      </c>
      <c r="D11" t="str">
        <v>Danger Zone</v>
      </c>
      <c r="E11">
        <v>7.79</v>
      </c>
      <c r="F11">
        <v>8.19</v>
      </c>
      <c r="G11">
        <v>7.47</v>
      </c>
      <c r="H11">
        <v>7.59</v>
      </c>
      <c r="I11">
        <v>7.85</v>
      </c>
      <c r="J11">
        <v>7.68</v>
      </c>
      <c r="K11">
        <v>7.31</v>
      </c>
      <c r="L11">
        <v>7.53</v>
      </c>
      <c r="M11">
        <v>7.43</v>
      </c>
      <c r="N11">
        <v>7.4</v>
      </c>
      <c r="O11">
        <v>7.98</v>
      </c>
      <c r="P11">
        <v>7.1</v>
      </c>
      <c r="Q11">
        <v>7.31</v>
      </c>
      <c r="R11">
        <v>7.64</v>
      </c>
      <c r="S11">
        <v>7.47</v>
      </c>
      <c r="T11">
        <v>7.42</v>
      </c>
      <c r="U11">
        <v>7.47</v>
      </c>
      <c r="V11">
        <v>7.62</v>
      </c>
      <c r="W11">
        <v>7.9</v>
      </c>
      <c r="X11">
        <v>7.95</v>
      </c>
      <c r="Y11">
        <v>7.67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</row>
    <row r="12" spans="1:177" x14ac:dyDescent="0.25">
      <c r="A12" t="str">
        <v>MP7</v>
      </c>
      <c r="B12" t="str">
        <v>Bloodsport MW</v>
      </c>
      <c r="C12" t="str">
        <v>SMG</v>
      </c>
      <c r="D12" t="str">
        <v>Clutch</v>
      </c>
      <c r="E12">
        <v>3.63</v>
      </c>
      <c r="F12">
        <v>3.61</v>
      </c>
      <c r="G12">
        <v>3.63</v>
      </c>
      <c r="H12">
        <v>3.49</v>
      </c>
      <c r="I12">
        <v>3.84</v>
      </c>
      <c r="J12">
        <v>3.54</v>
      </c>
      <c r="K12">
        <v>3.57</v>
      </c>
      <c r="L12">
        <v>3.54</v>
      </c>
      <c r="M12">
        <v>3.75</v>
      </c>
      <c r="N12">
        <v>3.79</v>
      </c>
      <c r="O12">
        <v>3.49</v>
      </c>
      <c r="P12">
        <v>3.61</v>
      </c>
      <c r="Q12">
        <v>3.39</v>
      </c>
      <c r="R12">
        <v>3.53</v>
      </c>
      <c r="S12">
        <v>3.4</v>
      </c>
      <c r="T12">
        <v>3.49</v>
      </c>
      <c r="U12">
        <v>3.41</v>
      </c>
      <c r="V12">
        <v>3.64</v>
      </c>
      <c r="W12">
        <v>3.64</v>
      </c>
      <c r="X12">
        <v>3.23</v>
      </c>
      <c r="Y12">
        <v>3.28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</row>
    <row r="13" spans="1:177" x14ac:dyDescent="0.25">
      <c r="A13" t="str">
        <v>MP7</v>
      </c>
      <c r="B13" t="str">
        <v>Nemesis MW</v>
      </c>
      <c r="C13" t="str">
        <v>SMG</v>
      </c>
      <c r="D13" t="str">
        <v>Falchion</v>
      </c>
      <c r="E13">
        <v>5.33</v>
      </c>
      <c r="F13">
        <v>5.67</v>
      </c>
      <c r="G13">
        <v>5.86</v>
      </c>
      <c r="H13">
        <v>5.63</v>
      </c>
      <c r="I13">
        <v>5.79</v>
      </c>
      <c r="J13">
        <v>5.22</v>
      </c>
      <c r="K13">
        <v>5.4</v>
      </c>
      <c r="L13">
        <v>5.59</v>
      </c>
      <c r="M13">
        <v>5.26</v>
      </c>
      <c r="N13">
        <v>6.57</v>
      </c>
      <c r="O13">
        <v>5.89</v>
      </c>
      <c r="P13">
        <v>5.25</v>
      </c>
      <c r="Q13">
        <v>5.48</v>
      </c>
      <c r="R13">
        <v>5.58</v>
      </c>
      <c r="S13">
        <v>5.88</v>
      </c>
      <c r="T13">
        <v>5.53</v>
      </c>
      <c r="U13">
        <v>5.66</v>
      </c>
      <c r="V13">
        <v>5.03</v>
      </c>
      <c r="W13">
        <v>5.91</v>
      </c>
      <c r="X13">
        <v>5.42</v>
      </c>
      <c r="Y13">
        <v>5.63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</row>
    <row r="14" spans="1:177" x14ac:dyDescent="0.25">
      <c r="A14" t="str">
        <v>UMP-45</v>
      </c>
      <c r="B14" t="str">
        <v>StatTrak Primal Saber FT</v>
      </c>
      <c r="C14" t="str">
        <v>SMG</v>
      </c>
      <c r="D14" t="str">
        <v>Chroma 3</v>
      </c>
      <c r="E14">
        <v>4.41</v>
      </c>
      <c r="F14">
        <v>4.16</v>
      </c>
      <c r="G14">
        <v>4.37</v>
      </c>
      <c r="H14">
        <v>4.34</v>
      </c>
      <c r="I14">
        <v>3.77</v>
      </c>
      <c r="J14">
        <v>4.34</v>
      </c>
      <c r="K14">
        <v>3.96</v>
      </c>
      <c r="L14">
        <v>4.2699999999999996</v>
      </c>
      <c r="M14">
        <v>4.05</v>
      </c>
      <c r="N14">
        <v>3.79</v>
      </c>
      <c r="O14">
        <v>3.93</v>
      </c>
      <c r="P14">
        <v>3.88</v>
      </c>
      <c r="Q14">
        <v>4.2300000000000004</v>
      </c>
      <c r="R14">
        <v>3.91</v>
      </c>
      <c r="S14">
        <v>4.33</v>
      </c>
      <c r="T14">
        <v>3.93</v>
      </c>
      <c r="U14">
        <v>4.08</v>
      </c>
      <c r="V14">
        <v>3.75</v>
      </c>
      <c r="W14">
        <v>4.1900000000000004</v>
      </c>
      <c r="X14">
        <v>3.74</v>
      </c>
      <c r="Y14">
        <v>3.62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</row>
    <row r="15" spans="1:177" x14ac:dyDescent="0.25">
      <c r="A15" t="str">
        <v>MP9</v>
      </c>
      <c r="B15" t="str">
        <v>StatTrak Dart MW</v>
      </c>
      <c r="C15" t="str">
        <v>SMG</v>
      </c>
      <c r="D15" t="str">
        <v>Vanguard</v>
      </c>
      <c r="E15">
        <v>1.73</v>
      </c>
      <c r="F15">
        <v>1.74</v>
      </c>
      <c r="G15">
        <v>1.61</v>
      </c>
      <c r="H15">
        <v>1.72</v>
      </c>
      <c r="I15">
        <v>1.73</v>
      </c>
      <c r="J15">
        <v>1.65</v>
      </c>
      <c r="K15">
        <v>1.69</v>
      </c>
      <c r="L15">
        <v>1.75</v>
      </c>
      <c r="M15">
        <v>2.09</v>
      </c>
      <c r="N15">
        <v>1.77</v>
      </c>
      <c r="O15">
        <v>1.72</v>
      </c>
      <c r="P15">
        <v>1.69</v>
      </c>
      <c r="Q15">
        <v>1.63</v>
      </c>
      <c r="R15">
        <v>1.49</v>
      </c>
      <c r="S15">
        <v>1.75</v>
      </c>
      <c r="T15">
        <v>1.7</v>
      </c>
      <c r="U15">
        <v>1.69</v>
      </c>
      <c r="V15">
        <v>1.69</v>
      </c>
      <c r="W15">
        <v>1.72</v>
      </c>
      <c r="X15">
        <v>1.51</v>
      </c>
      <c r="Y15">
        <v>1.76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</row>
    <row r="16" spans="1:177" x14ac:dyDescent="0.25">
      <c r="A16" t="str">
        <v>P90</v>
      </c>
      <c r="B16" t="str">
        <v>Asiimov FT</v>
      </c>
      <c r="C16" t="str">
        <v>SMG</v>
      </c>
      <c r="D16" t="str">
        <v>Breakout</v>
      </c>
      <c r="E16">
        <v>8.36</v>
      </c>
      <c r="F16">
        <v>8.0500000000000007</v>
      </c>
      <c r="G16">
        <v>7.84</v>
      </c>
      <c r="H16">
        <v>8.07</v>
      </c>
      <c r="I16">
        <v>8.6999999999999993</v>
      </c>
      <c r="J16">
        <v>8.58</v>
      </c>
      <c r="K16">
        <v>8.42</v>
      </c>
      <c r="L16">
        <v>7.84</v>
      </c>
      <c r="M16">
        <v>8.1</v>
      </c>
      <c r="N16">
        <v>7.68</v>
      </c>
      <c r="O16">
        <v>8.07</v>
      </c>
      <c r="P16">
        <v>8.23</v>
      </c>
      <c r="Q16">
        <v>8.7799999999999994</v>
      </c>
      <c r="R16">
        <v>7.94</v>
      </c>
      <c r="S16">
        <v>8.4600000000000009</v>
      </c>
      <c r="T16">
        <v>8.58</v>
      </c>
      <c r="U16">
        <v>7.98</v>
      </c>
      <c r="V16">
        <v>8.35</v>
      </c>
      <c r="W16">
        <v>8.6300000000000008</v>
      </c>
      <c r="X16">
        <v>7.56</v>
      </c>
      <c r="Y16">
        <v>7.71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</row>
    <row r="17" spans="1:177" x14ac:dyDescent="0.25">
      <c r="A17" t="str">
        <v>PP-Bizon</v>
      </c>
      <c r="B17" t="str">
        <v>StatTrak Osiris FT</v>
      </c>
      <c r="C17" t="str">
        <v>SMG</v>
      </c>
      <c r="D17" t="str">
        <v>Breakout</v>
      </c>
      <c r="E17">
        <v>1.46</v>
      </c>
      <c r="F17">
        <v>1.44</v>
      </c>
      <c r="G17">
        <v>1.44</v>
      </c>
      <c r="H17">
        <v>1.39</v>
      </c>
      <c r="I17">
        <v>1.47</v>
      </c>
      <c r="J17">
        <v>1.44</v>
      </c>
      <c r="K17">
        <v>1.43</v>
      </c>
      <c r="L17">
        <v>1.39</v>
      </c>
      <c r="M17">
        <v>1.43</v>
      </c>
      <c r="N17">
        <v>1.53</v>
      </c>
      <c r="O17">
        <v>1.54</v>
      </c>
      <c r="P17">
        <v>1.57</v>
      </c>
      <c r="Q17">
        <v>1.65</v>
      </c>
      <c r="R17">
        <v>1.61</v>
      </c>
      <c r="S17">
        <v>1.61</v>
      </c>
      <c r="T17">
        <v>1.65</v>
      </c>
      <c r="U17">
        <v>1.58</v>
      </c>
      <c r="V17">
        <v>1.49</v>
      </c>
      <c r="W17">
        <v>1.46</v>
      </c>
      <c r="X17">
        <v>1.44</v>
      </c>
      <c r="Y17">
        <v>1.52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</row>
    <row r="20" spans="1:177" x14ac:dyDescent="0.25">
      <c r="D20" s="1" t="s">
        <v>186</v>
      </c>
      <c r="E20">
        <f>SUM(E4:E17)</f>
        <v>66.949999999999974</v>
      </c>
      <c r="F20">
        <f t="shared" ref="F20:BQ20" si="0">SUM(F4:F17)</f>
        <v>67.2</v>
      </c>
      <c r="G20">
        <f t="shared" si="0"/>
        <v>63.86</v>
      </c>
      <c r="H20">
        <f t="shared" si="0"/>
        <v>63.060000000000009</v>
      </c>
      <c r="I20">
        <f t="shared" si="0"/>
        <v>66.27</v>
      </c>
      <c r="J20">
        <f t="shared" si="0"/>
        <v>67.62</v>
      </c>
      <c r="K20">
        <f t="shared" si="0"/>
        <v>66.72</v>
      </c>
      <c r="L20">
        <f t="shared" si="0"/>
        <v>66.36999999999999</v>
      </c>
      <c r="M20">
        <f t="shared" si="0"/>
        <v>66.62</v>
      </c>
      <c r="N20">
        <f t="shared" si="0"/>
        <v>67.289999999999992</v>
      </c>
      <c r="O20">
        <f t="shared" si="0"/>
        <v>67.490000000000023</v>
      </c>
      <c r="P20">
        <f t="shared" si="0"/>
        <v>65.86</v>
      </c>
      <c r="Q20">
        <f t="shared" si="0"/>
        <v>66.280000000000015</v>
      </c>
      <c r="R20">
        <f t="shared" si="0"/>
        <v>64.61</v>
      </c>
      <c r="S20">
        <f t="shared" si="0"/>
        <v>67.58</v>
      </c>
      <c r="T20">
        <f t="shared" si="0"/>
        <v>66.710000000000008</v>
      </c>
      <c r="U20">
        <f t="shared" si="0"/>
        <v>66.589999999999989</v>
      </c>
      <c r="V20">
        <f t="shared" si="0"/>
        <v>65.919999999999987</v>
      </c>
      <c r="W20">
        <f t="shared" si="0"/>
        <v>66.839999999999989</v>
      </c>
      <c r="X20">
        <f t="shared" si="0"/>
        <v>65.679999999999993</v>
      </c>
      <c r="Y20">
        <f t="shared" si="0"/>
        <v>64.989999999999995</v>
      </c>
      <c r="Z20">
        <f t="shared" si="0"/>
        <v>0</v>
      </c>
      <c r="AA20">
        <f t="shared" si="0"/>
        <v>0</v>
      </c>
      <c r="AB20">
        <f t="shared" si="0"/>
        <v>0</v>
      </c>
      <c r="AC20">
        <f t="shared" si="0"/>
        <v>0</v>
      </c>
      <c r="AD20">
        <f t="shared" si="0"/>
        <v>0</v>
      </c>
      <c r="AE20">
        <f t="shared" si="0"/>
        <v>0</v>
      </c>
      <c r="AF20">
        <f t="shared" si="0"/>
        <v>0</v>
      </c>
      <c r="AG20">
        <f t="shared" si="0"/>
        <v>0</v>
      </c>
      <c r="AH20">
        <f t="shared" si="0"/>
        <v>0</v>
      </c>
      <c r="AI20">
        <f t="shared" si="0"/>
        <v>0</v>
      </c>
      <c r="AJ20">
        <f t="shared" si="0"/>
        <v>0</v>
      </c>
      <c r="AK20">
        <f t="shared" si="0"/>
        <v>0</v>
      </c>
      <c r="AL20">
        <f t="shared" si="0"/>
        <v>0</v>
      </c>
      <c r="AM20">
        <f t="shared" si="0"/>
        <v>0</v>
      </c>
      <c r="AN20">
        <f t="shared" si="0"/>
        <v>0</v>
      </c>
      <c r="AO20">
        <f t="shared" si="0"/>
        <v>0</v>
      </c>
      <c r="AP20">
        <f t="shared" si="0"/>
        <v>0</v>
      </c>
      <c r="AQ20">
        <f t="shared" si="0"/>
        <v>0</v>
      </c>
      <c r="AR20">
        <f t="shared" si="0"/>
        <v>0</v>
      </c>
      <c r="AS20">
        <f t="shared" si="0"/>
        <v>0</v>
      </c>
      <c r="AT20">
        <f t="shared" si="0"/>
        <v>0</v>
      </c>
      <c r="AU20">
        <f t="shared" si="0"/>
        <v>0</v>
      </c>
      <c r="AV20">
        <f t="shared" si="0"/>
        <v>0</v>
      </c>
      <c r="AW20">
        <f t="shared" si="0"/>
        <v>0</v>
      </c>
      <c r="AX20">
        <f t="shared" si="0"/>
        <v>0</v>
      </c>
      <c r="AY20">
        <f t="shared" si="0"/>
        <v>0</v>
      </c>
      <c r="AZ20">
        <f t="shared" si="0"/>
        <v>0</v>
      </c>
      <c r="BA20">
        <f t="shared" si="0"/>
        <v>0</v>
      </c>
      <c r="BB20">
        <f t="shared" si="0"/>
        <v>0</v>
      </c>
      <c r="BC20">
        <f t="shared" si="0"/>
        <v>0</v>
      </c>
      <c r="BD20">
        <f t="shared" si="0"/>
        <v>0</v>
      </c>
      <c r="BE20">
        <f t="shared" si="0"/>
        <v>0</v>
      </c>
      <c r="BF20">
        <f t="shared" si="0"/>
        <v>0</v>
      </c>
      <c r="BG20">
        <f t="shared" si="0"/>
        <v>0</v>
      </c>
      <c r="BH20">
        <f t="shared" si="0"/>
        <v>0</v>
      </c>
      <c r="BI20">
        <f t="shared" si="0"/>
        <v>0</v>
      </c>
      <c r="BJ20">
        <f t="shared" si="0"/>
        <v>0</v>
      </c>
      <c r="BK20">
        <f t="shared" si="0"/>
        <v>0</v>
      </c>
      <c r="BL20">
        <f t="shared" si="0"/>
        <v>0</v>
      </c>
      <c r="BM20">
        <f t="shared" si="0"/>
        <v>0</v>
      </c>
      <c r="BN20">
        <f t="shared" si="0"/>
        <v>0</v>
      </c>
      <c r="BO20">
        <f t="shared" si="0"/>
        <v>0</v>
      </c>
      <c r="BP20">
        <f t="shared" si="0"/>
        <v>0</v>
      </c>
      <c r="BQ20">
        <f t="shared" si="0"/>
        <v>0</v>
      </c>
      <c r="BR20">
        <f t="shared" ref="BR20:EC20" si="1">SUM(BR4:BR17)</f>
        <v>0</v>
      </c>
      <c r="BS20">
        <f t="shared" si="1"/>
        <v>0</v>
      </c>
      <c r="BT20">
        <f t="shared" si="1"/>
        <v>0</v>
      </c>
      <c r="BU20">
        <f t="shared" si="1"/>
        <v>0</v>
      </c>
      <c r="BV20">
        <f t="shared" si="1"/>
        <v>0</v>
      </c>
      <c r="BW20">
        <f t="shared" si="1"/>
        <v>0</v>
      </c>
      <c r="BX20">
        <f t="shared" si="1"/>
        <v>0</v>
      </c>
      <c r="BY20">
        <f t="shared" si="1"/>
        <v>0</v>
      </c>
      <c r="BZ20">
        <f t="shared" si="1"/>
        <v>0</v>
      </c>
      <c r="CA20">
        <f t="shared" si="1"/>
        <v>0</v>
      </c>
      <c r="CB20">
        <f t="shared" si="1"/>
        <v>0</v>
      </c>
      <c r="CC20">
        <f t="shared" si="1"/>
        <v>0</v>
      </c>
      <c r="CD20">
        <f t="shared" si="1"/>
        <v>0</v>
      </c>
      <c r="CE20">
        <f t="shared" si="1"/>
        <v>0</v>
      </c>
      <c r="CF20">
        <f t="shared" si="1"/>
        <v>0</v>
      </c>
      <c r="CG20">
        <f t="shared" si="1"/>
        <v>0</v>
      </c>
      <c r="CH20">
        <f t="shared" si="1"/>
        <v>0</v>
      </c>
      <c r="CI20">
        <f t="shared" si="1"/>
        <v>0</v>
      </c>
      <c r="CJ20">
        <f t="shared" si="1"/>
        <v>0</v>
      </c>
      <c r="CK20">
        <f t="shared" si="1"/>
        <v>0</v>
      </c>
      <c r="CL20">
        <f t="shared" si="1"/>
        <v>0</v>
      </c>
      <c r="CM20">
        <f t="shared" si="1"/>
        <v>0</v>
      </c>
      <c r="CN20">
        <f t="shared" si="1"/>
        <v>0</v>
      </c>
      <c r="CO20">
        <f t="shared" si="1"/>
        <v>0</v>
      </c>
      <c r="CP20">
        <f t="shared" si="1"/>
        <v>0</v>
      </c>
      <c r="CQ20">
        <f t="shared" si="1"/>
        <v>0</v>
      </c>
      <c r="CR20">
        <f t="shared" si="1"/>
        <v>0</v>
      </c>
      <c r="CS20">
        <f t="shared" si="1"/>
        <v>0</v>
      </c>
      <c r="CT20">
        <f t="shared" si="1"/>
        <v>0</v>
      </c>
      <c r="CU20">
        <f t="shared" si="1"/>
        <v>0</v>
      </c>
      <c r="CV20">
        <f t="shared" si="1"/>
        <v>0</v>
      </c>
      <c r="CW20">
        <f t="shared" si="1"/>
        <v>0</v>
      </c>
      <c r="CX20">
        <f t="shared" si="1"/>
        <v>0</v>
      </c>
      <c r="CY20">
        <f t="shared" si="1"/>
        <v>0</v>
      </c>
      <c r="CZ20">
        <f t="shared" si="1"/>
        <v>0</v>
      </c>
      <c r="DA20">
        <f t="shared" si="1"/>
        <v>0</v>
      </c>
      <c r="DB20">
        <f t="shared" si="1"/>
        <v>0</v>
      </c>
      <c r="DC20">
        <f t="shared" si="1"/>
        <v>0</v>
      </c>
      <c r="DD20">
        <f t="shared" si="1"/>
        <v>0</v>
      </c>
      <c r="DE20">
        <f t="shared" si="1"/>
        <v>0</v>
      </c>
      <c r="DF20">
        <f t="shared" si="1"/>
        <v>0</v>
      </c>
      <c r="DG20">
        <f t="shared" si="1"/>
        <v>0</v>
      </c>
      <c r="DH20">
        <f t="shared" si="1"/>
        <v>0</v>
      </c>
      <c r="DI20">
        <f t="shared" si="1"/>
        <v>0</v>
      </c>
      <c r="DJ20">
        <f t="shared" si="1"/>
        <v>0</v>
      </c>
      <c r="DK20">
        <f t="shared" si="1"/>
        <v>0</v>
      </c>
      <c r="DL20">
        <f t="shared" si="1"/>
        <v>0</v>
      </c>
      <c r="DM20">
        <f t="shared" si="1"/>
        <v>0</v>
      </c>
      <c r="DN20">
        <f t="shared" si="1"/>
        <v>0</v>
      </c>
      <c r="DO20">
        <f t="shared" si="1"/>
        <v>0</v>
      </c>
      <c r="DP20">
        <f t="shared" si="1"/>
        <v>0</v>
      </c>
      <c r="DQ20">
        <f t="shared" si="1"/>
        <v>0</v>
      </c>
      <c r="DR20">
        <f t="shared" si="1"/>
        <v>0</v>
      </c>
      <c r="DS20">
        <f t="shared" si="1"/>
        <v>0</v>
      </c>
      <c r="DT20">
        <f t="shared" si="1"/>
        <v>0</v>
      </c>
      <c r="DU20">
        <f t="shared" si="1"/>
        <v>0</v>
      </c>
      <c r="DV20">
        <f t="shared" si="1"/>
        <v>0</v>
      </c>
      <c r="DW20">
        <f t="shared" si="1"/>
        <v>0</v>
      </c>
      <c r="DX20">
        <f t="shared" si="1"/>
        <v>0</v>
      </c>
      <c r="DY20">
        <f t="shared" si="1"/>
        <v>0</v>
      </c>
      <c r="DZ20">
        <f t="shared" si="1"/>
        <v>0</v>
      </c>
      <c r="EA20">
        <f t="shared" si="1"/>
        <v>0</v>
      </c>
      <c r="EB20">
        <f t="shared" si="1"/>
        <v>0</v>
      </c>
      <c r="EC20">
        <f t="shared" si="1"/>
        <v>0</v>
      </c>
      <c r="ED20">
        <f t="shared" ref="ED20:FU20" si="2">SUM(ED4:ED17)</f>
        <v>0</v>
      </c>
      <c r="EE20">
        <f t="shared" si="2"/>
        <v>0</v>
      </c>
      <c r="EF20">
        <f t="shared" si="2"/>
        <v>0</v>
      </c>
      <c r="EG20">
        <f t="shared" si="2"/>
        <v>0</v>
      </c>
      <c r="EH20">
        <f t="shared" si="2"/>
        <v>0</v>
      </c>
      <c r="EI20">
        <f t="shared" si="2"/>
        <v>0</v>
      </c>
      <c r="EJ20">
        <f t="shared" si="2"/>
        <v>0</v>
      </c>
      <c r="EK20">
        <f t="shared" si="2"/>
        <v>0</v>
      </c>
      <c r="EL20">
        <f t="shared" si="2"/>
        <v>0</v>
      </c>
      <c r="EM20">
        <f t="shared" si="2"/>
        <v>0</v>
      </c>
      <c r="EN20">
        <f t="shared" si="2"/>
        <v>0</v>
      </c>
      <c r="EO20">
        <f t="shared" si="2"/>
        <v>0</v>
      </c>
      <c r="EP20">
        <f t="shared" si="2"/>
        <v>0</v>
      </c>
      <c r="EQ20">
        <f t="shared" si="2"/>
        <v>0</v>
      </c>
      <c r="ER20">
        <f t="shared" si="2"/>
        <v>0</v>
      </c>
      <c r="ES20">
        <f t="shared" si="2"/>
        <v>0</v>
      </c>
      <c r="ET20">
        <f t="shared" si="2"/>
        <v>0</v>
      </c>
      <c r="EU20">
        <f t="shared" si="2"/>
        <v>0</v>
      </c>
      <c r="EV20">
        <f t="shared" si="2"/>
        <v>0</v>
      </c>
      <c r="EW20">
        <f t="shared" si="2"/>
        <v>0</v>
      </c>
      <c r="EX20">
        <f t="shared" si="2"/>
        <v>0</v>
      </c>
      <c r="EY20">
        <f t="shared" si="2"/>
        <v>0</v>
      </c>
      <c r="EZ20">
        <f t="shared" si="2"/>
        <v>0</v>
      </c>
      <c r="FA20">
        <f t="shared" si="2"/>
        <v>0</v>
      </c>
      <c r="FB20">
        <f t="shared" si="2"/>
        <v>0</v>
      </c>
      <c r="FC20">
        <f t="shared" si="2"/>
        <v>0</v>
      </c>
      <c r="FD20">
        <f t="shared" si="2"/>
        <v>0</v>
      </c>
      <c r="FE20">
        <f t="shared" si="2"/>
        <v>0</v>
      </c>
      <c r="FF20">
        <f t="shared" si="2"/>
        <v>0</v>
      </c>
      <c r="FG20">
        <f t="shared" si="2"/>
        <v>0</v>
      </c>
      <c r="FH20">
        <f t="shared" si="2"/>
        <v>0</v>
      </c>
      <c r="FI20">
        <f t="shared" si="2"/>
        <v>0</v>
      </c>
      <c r="FJ20">
        <f t="shared" si="2"/>
        <v>0</v>
      </c>
      <c r="FK20">
        <f t="shared" si="2"/>
        <v>0</v>
      </c>
      <c r="FL20">
        <f t="shared" si="2"/>
        <v>0</v>
      </c>
      <c r="FM20">
        <f t="shared" si="2"/>
        <v>0</v>
      </c>
      <c r="FN20">
        <f t="shared" si="2"/>
        <v>0</v>
      </c>
      <c r="FO20">
        <f t="shared" si="2"/>
        <v>0</v>
      </c>
      <c r="FP20">
        <f t="shared" si="2"/>
        <v>0</v>
      </c>
      <c r="FQ20">
        <f t="shared" si="2"/>
        <v>0</v>
      </c>
      <c r="FR20">
        <f t="shared" si="2"/>
        <v>0</v>
      </c>
      <c r="FS20">
        <f t="shared" si="2"/>
        <v>0</v>
      </c>
      <c r="FT20">
        <f t="shared" si="2"/>
        <v>0</v>
      </c>
      <c r="FU20">
        <f t="shared" si="2"/>
        <v>0</v>
      </c>
    </row>
    <row r="25" spans="1:177" x14ac:dyDescent="0.25">
      <c r="A25" s="1" t="s">
        <v>0</v>
      </c>
      <c r="B25" s="1" t="s">
        <v>1</v>
      </c>
      <c r="C25" s="1" t="s">
        <v>2</v>
      </c>
      <c r="D25" s="1" t="s">
        <v>8</v>
      </c>
      <c r="E25" s="2">
        <f>E3</f>
        <v>44331</v>
      </c>
      <c r="F25" s="2">
        <f t="shared" ref="F25:BQ25" si="3">F3</f>
        <v>44332</v>
      </c>
      <c r="G25" s="2">
        <f t="shared" si="3"/>
        <v>44334</v>
      </c>
      <c r="H25" s="2">
        <f t="shared" si="3"/>
        <v>44336</v>
      </c>
      <c r="I25" s="2">
        <f t="shared" si="3"/>
        <v>44337</v>
      </c>
      <c r="J25" s="2">
        <f t="shared" si="3"/>
        <v>44338</v>
      </c>
      <c r="K25" s="2">
        <f t="shared" si="3"/>
        <v>44339</v>
      </c>
      <c r="L25" s="2">
        <f t="shared" si="3"/>
        <v>44340</v>
      </c>
      <c r="M25" s="2">
        <f t="shared" si="3"/>
        <v>44341</v>
      </c>
      <c r="N25" s="2">
        <f t="shared" si="3"/>
        <v>44342</v>
      </c>
      <c r="O25" s="2">
        <f t="shared" si="3"/>
        <v>44343</v>
      </c>
      <c r="P25" s="2">
        <f t="shared" si="3"/>
        <v>44344</v>
      </c>
      <c r="Q25" s="2">
        <f t="shared" si="3"/>
        <v>44345</v>
      </c>
      <c r="R25" s="2">
        <f t="shared" si="3"/>
        <v>44346</v>
      </c>
      <c r="S25" s="2">
        <f t="shared" si="3"/>
        <v>44347</v>
      </c>
      <c r="T25" s="2">
        <f t="shared" si="3"/>
        <v>44348</v>
      </c>
      <c r="U25" s="2">
        <f t="shared" si="3"/>
        <v>44349</v>
      </c>
      <c r="V25" s="2">
        <f t="shared" si="3"/>
        <v>44350</v>
      </c>
      <c r="W25" s="2">
        <f t="shared" si="3"/>
        <v>44351</v>
      </c>
      <c r="X25" s="2">
        <f t="shared" si="3"/>
        <v>44352</v>
      </c>
      <c r="Y25" s="2">
        <f t="shared" si="3"/>
        <v>44353</v>
      </c>
      <c r="Z25" s="2">
        <f t="shared" si="3"/>
        <v>44354</v>
      </c>
      <c r="AA25" s="2">
        <f t="shared" si="3"/>
        <v>44355</v>
      </c>
      <c r="AB25" s="2">
        <f t="shared" si="3"/>
        <v>44356</v>
      </c>
      <c r="AC25" s="2">
        <f t="shared" si="3"/>
        <v>44357</v>
      </c>
      <c r="AD25" s="2">
        <f t="shared" si="3"/>
        <v>44358</v>
      </c>
      <c r="AE25" s="2">
        <f t="shared" si="3"/>
        <v>44359</v>
      </c>
      <c r="AF25" s="2">
        <f t="shared" si="3"/>
        <v>44360</v>
      </c>
      <c r="AG25" s="2">
        <f t="shared" si="3"/>
        <v>44361</v>
      </c>
      <c r="AH25" s="2">
        <f t="shared" si="3"/>
        <v>44362</v>
      </c>
      <c r="AI25" s="2">
        <f t="shared" si="3"/>
        <v>44363</v>
      </c>
      <c r="AJ25" s="2">
        <f t="shared" si="3"/>
        <v>44364</v>
      </c>
      <c r="AK25" s="2">
        <f t="shared" si="3"/>
        <v>44365</v>
      </c>
      <c r="AL25" s="2">
        <f t="shared" si="3"/>
        <v>44366</v>
      </c>
      <c r="AM25" s="2">
        <f t="shared" si="3"/>
        <v>44367</v>
      </c>
      <c r="AN25" s="2">
        <f t="shared" si="3"/>
        <v>44368</v>
      </c>
      <c r="AO25" s="2">
        <f t="shared" si="3"/>
        <v>44369</v>
      </c>
      <c r="AP25" s="2">
        <f t="shared" si="3"/>
        <v>44370</v>
      </c>
      <c r="AQ25" s="2">
        <f t="shared" si="3"/>
        <v>44371</v>
      </c>
      <c r="AR25" s="2">
        <f t="shared" si="3"/>
        <v>44372</v>
      </c>
      <c r="AS25" s="2">
        <f t="shared" si="3"/>
        <v>44373</v>
      </c>
      <c r="AT25" s="2">
        <f t="shared" si="3"/>
        <v>44374</v>
      </c>
      <c r="AU25" s="2">
        <f t="shared" si="3"/>
        <v>44375</v>
      </c>
      <c r="AV25" s="2">
        <f t="shared" si="3"/>
        <v>44376</v>
      </c>
      <c r="AW25" s="2">
        <f t="shared" si="3"/>
        <v>44377</v>
      </c>
      <c r="AX25" s="2">
        <f t="shared" si="3"/>
        <v>44378</v>
      </c>
      <c r="AY25" s="2">
        <f t="shared" si="3"/>
        <v>44379</v>
      </c>
      <c r="AZ25" s="2">
        <f t="shared" si="3"/>
        <v>44380</v>
      </c>
      <c r="BA25" s="2">
        <f t="shared" si="3"/>
        <v>44381</v>
      </c>
      <c r="BB25" s="2">
        <f t="shared" si="3"/>
        <v>44382</v>
      </c>
      <c r="BC25" s="2">
        <f t="shared" si="3"/>
        <v>44383</v>
      </c>
      <c r="BD25" s="2">
        <f t="shared" si="3"/>
        <v>44384</v>
      </c>
      <c r="BE25" s="2">
        <f t="shared" si="3"/>
        <v>44385</v>
      </c>
      <c r="BF25" s="2">
        <f t="shared" si="3"/>
        <v>44386</v>
      </c>
      <c r="BG25" s="2">
        <f t="shared" si="3"/>
        <v>44387</v>
      </c>
      <c r="BH25" s="2">
        <f t="shared" si="3"/>
        <v>44388</v>
      </c>
      <c r="BI25" s="2">
        <f t="shared" si="3"/>
        <v>44389</v>
      </c>
      <c r="BJ25" s="2">
        <f t="shared" si="3"/>
        <v>44390</v>
      </c>
      <c r="BK25" s="2">
        <f t="shared" si="3"/>
        <v>44391</v>
      </c>
      <c r="BL25" s="2">
        <f t="shared" si="3"/>
        <v>44392</v>
      </c>
      <c r="BM25" s="2">
        <f t="shared" si="3"/>
        <v>44393</v>
      </c>
      <c r="BN25" s="2">
        <f t="shared" si="3"/>
        <v>44394</v>
      </c>
      <c r="BO25" s="2">
        <f t="shared" si="3"/>
        <v>44395</v>
      </c>
      <c r="BP25" s="2">
        <f t="shared" si="3"/>
        <v>44396</v>
      </c>
      <c r="BQ25" s="2">
        <f t="shared" si="3"/>
        <v>44397</v>
      </c>
      <c r="BR25" s="2">
        <f t="shared" ref="BR25:EC25" si="4">BR3</f>
        <v>44398</v>
      </c>
      <c r="BS25" s="2">
        <f t="shared" si="4"/>
        <v>44399</v>
      </c>
      <c r="BT25" s="2">
        <f t="shared" si="4"/>
        <v>44400</v>
      </c>
      <c r="BU25" s="2">
        <f t="shared" si="4"/>
        <v>44401</v>
      </c>
      <c r="BV25" s="2">
        <f t="shared" si="4"/>
        <v>44402</v>
      </c>
      <c r="BW25" s="2">
        <f t="shared" si="4"/>
        <v>44403</v>
      </c>
      <c r="BX25" s="2">
        <f t="shared" si="4"/>
        <v>44404</v>
      </c>
      <c r="BY25" s="2">
        <f t="shared" si="4"/>
        <v>44405</v>
      </c>
      <c r="BZ25" s="2">
        <f t="shared" si="4"/>
        <v>44406</v>
      </c>
      <c r="CA25" s="2">
        <f t="shared" si="4"/>
        <v>44407</v>
      </c>
      <c r="CB25" s="2">
        <f t="shared" si="4"/>
        <v>44408</v>
      </c>
      <c r="CC25" s="2">
        <f t="shared" si="4"/>
        <v>44409</v>
      </c>
      <c r="CD25" s="2">
        <f t="shared" si="4"/>
        <v>44410</v>
      </c>
      <c r="CE25" s="2">
        <f t="shared" si="4"/>
        <v>44411</v>
      </c>
      <c r="CF25" s="2">
        <f t="shared" si="4"/>
        <v>44412</v>
      </c>
      <c r="CG25" s="2">
        <f t="shared" si="4"/>
        <v>44413</v>
      </c>
      <c r="CH25" s="2">
        <f t="shared" si="4"/>
        <v>44414</v>
      </c>
      <c r="CI25" s="2">
        <f t="shared" si="4"/>
        <v>44415</v>
      </c>
      <c r="CJ25" s="2">
        <f t="shared" si="4"/>
        <v>44416</v>
      </c>
      <c r="CK25" s="2">
        <f t="shared" si="4"/>
        <v>44417</v>
      </c>
      <c r="CL25" s="2">
        <f t="shared" si="4"/>
        <v>44418</v>
      </c>
      <c r="CM25" s="2">
        <f t="shared" si="4"/>
        <v>44419</v>
      </c>
      <c r="CN25" s="2">
        <f t="shared" si="4"/>
        <v>44420</v>
      </c>
      <c r="CO25" s="2">
        <f t="shared" si="4"/>
        <v>44421</v>
      </c>
      <c r="CP25" s="2">
        <f t="shared" si="4"/>
        <v>44422</v>
      </c>
      <c r="CQ25" s="2">
        <f t="shared" si="4"/>
        <v>44423</v>
      </c>
      <c r="CR25" s="2">
        <f t="shared" si="4"/>
        <v>44424</v>
      </c>
      <c r="CS25" s="2">
        <f t="shared" si="4"/>
        <v>44425</v>
      </c>
      <c r="CT25" s="2">
        <f t="shared" si="4"/>
        <v>44426</v>
      </c>
      <c r="CU25" s="2">
        <f t="shared" si="4"/>
        <v>44427</v>
      </c>
      <c r="CV25" s="2">
        <f t="shared" si="4"/>
        <v>44428</v>
      </c>
      <c r="CW25" s="2">
        <f t="shared" si="4"/>
        <v>44429</v>
      </c>
      <c r="CX25" s="2">
        <f t="shared" si="4"/>
        <v>44430</v>
      </c>
      <c r="CY25" s="2">
        <f t="shared" si="4"/>
        <v>44431</v>
      </c>
      <c r="CZ25" s="2">
        <f t="shared" si="4"/>
        <v>44432</v>
      </c>
      <c r="DA25" s="2">
        <f t="shared" si="4"/>
        <v>44433</v>
      </c>
      <c r="DB25" s="2">
        <f t="shared" si="4"/>
        <v>44434</v>
      </c>
      <c r="DC25" s="2">
        <f t="shared" si="4"/>
        <v>44435</v>
      </c>
      <c r="DD25" s="2">
        <f t="shared" si="4"/>
        <v>44436</v>
      </c>
      <c r="DE25" s="2">
        <f t="shared" si="4"/>
        <v>44437</v>
      </c>
      <c r="DF25" s="2">
        <f t="shared" si="4"/>
        <v>44438</v>
      </c>
      <c r="DG25" s="2">
        <f t="shared" si="4"/>
        <v>44439</v>
      </c>
      <c r="DH25" s="2">
        <f t="shared" si="4"/>
        <v>44440</v>
      </c>
      <c r="DI25" s="2">
        <f t="shared" si="4"/>
        <v>44441</v>
      </c>
      <c r="DJ25" s="2">
        <f t="shared" si="4"/>
        <v>44442</v>
      </c>
      <c r="DK25" s="2">
        <f t="shared" si="4"/>
        <v>44443</v>
      </c>
      <c r="DL25" s="2">
        <f t="shared" si="4"/>
        <v>44444</v>
      </c>
      <c r="DM25" s="2">
        <f t="shared" si="4"/>
        <v>44445</v>
      </c>
      <c r="DN25" s="2">
        <f t="shared" si="4"/>
        <v>44446</v>
      </c>
      <c r="DO25" s="2">
        <f t="shared" si="4"/>
        <v>44447</v>
      </c>
      <c r="DP25" s="2">
        <f t="shared" si="4"/>
        <v>44448</v>
      </c>
      <c r="DQ25" s="2">
        <f t="shared" si="4"/>
        <v>44449</v>
      </c>
      <c r="DR25" s="2">
        <f t="shared" si="4"/>
        <v>44450</v>
      </c>
      <c r="DS25" s="2">
        <f t="shared" si="4"/>
        <v>44451</v>
      </c>
      <c r="DT25" s="2">
        <f t="shared" si="4"/>
        <v>44452</v>
      </c>
      <c r="DU25" s="2">
        <f t="shared" si="4"/>
        <v>44453</v>
      </c>
      <c r="DV25" s="2">
        <f t="shared" si="4"/>
        <v>44454</v>
      </c>
      <c r="DW25" s="2">
        <f t="shared" si="4"/>
        <v>44455</v>
      </c>
      <c r="DX25" s="2">
        <f t="shared" si="4"/>
        <v>44456</v>
      </c>
      <c r="DY25" s="2">
        <f t="shared" si="4"/>
        <v>44457</v>
      </c>
      <c r="DZ25" s="2">
        <f t="shared" si="4"/>
        <v>44458</v>
      </c>
      <c r="EA25" s="2">
        <f t="shared" si="4"/>
        <v>44459</v>
      </c>
      <c r="EB25" s="2">
        <f t="shared" si="4"/>
        <v>44460</v>
      </c>
      <c r="EC25" s="2">
        <f t="shared" si="4"/>
        <v>44461</v>
      </c>
      <c r="ED25" s="2">
        <f t="shared" ref="ED25:FU25" si="5">ED3</f>
        <v>44462</v>
      </c>
      <c r="EE25" s="2">
        <f t="shared" si="5"/>
        <v>44463</v>
      </c>
      <c r="EF25" s="2">
        <f t="shared" si="5"/>
        <v>44464</v>
      </c>
      <c r="EG25" s="2">
        <f t="shared" si="5"/>
        <v>44465</v>
      </c>
      <c r="EH25" s="2">
        <f t="shared" si="5"/>
        <v>44466</v>
      </c>
      <c r="EI25" s="2">
        <f t="shared" si="5"/>
        <v>44467</v>
      </c>
      <c r="EJ25" s="2">
        <f t="shared" si="5"/>
        <v>44468</v>
      </c>
      <c r="EK25" s="2">
        <f t="shared" si="5"/>
        <v>44469</v>
      </c>
      <c r="EL25" s="2">
        <f t="shared" si="5"/>
        <v>44470</v>
      </c>
      <c r="EM25" s="2">
        <f t="shared" si="5"/>
        <v>44471</v>
      </c>
      <c r="EN25" s="2">
        <f t="shared" si="5"/>
        <v>44472</v>
      </c>
      <c r="EO25" s="2">
        <f t="shared" si="5"/>
        <v>44473</v>
      </c>
      <c r="EP25" s="2">
        <f t="shared" si="5"/>
        <v>44474</v>
      </c>
      <c r="EQ25" s="2">
        <f t="shared" si="5"/>
        <v>44475</v>
      </c>
      <c r="ER25" s="2">
        <f t="shared" si="5"/>
        <v>44476</v>
      </c>
      <c r="ES25" s="2">
        <f t="shared" si="5"/>
        <v>44477</v>
      </c>
      <c r="ET25" s="2">
        <f t="shared" si="5"/>
        <v>44478</v>
      </c>
      <c r="EU25" s="2">
        <f t="shared" si="5"/>
        <v>44479</v>
      </c>
      <c r="EV25" s="2">
        <f t="shared" si="5"/>
        <v>44480</v>
      </c>
      <c r="EW25" s="2">
        <f t="shared" si="5"/>
        <v>44481</v>
      </c>
      <c r="EX25" s="2">
        <f t="shared" si="5"/>
        <v>44482</v>
      </c>
      <c r="EY25" s="2">
        <f t="shared" si="5"/>
        <v>44483</v>
      </c>
      <c r="EZ25" s="2">
        <f t="shared" si="5"/>
        <v>44484</v>
      </c>
      <c r="FA25" s="2">
        <f t="shared" si="5"/>
        <v>44485</v>
      </c>
      <c r="FB25" s="2">
        <f t="shared" si="5"/>
        <v>44486</v>
      </c>
      <c r="FC25" s="2">
        <f t="shared" si="5"/>
        <v>44487</v>
      </c>
      <c r="FD25" s="2">
        <f t="shared" si="5"/>
        <v>44488</v>
      </c>
      <c r="FE25" s="2">
        <f t="shared" si="5"/>
        <v>44489</v>
      </c>
      <c r="FF25" s="2">
        <f t="shared" si="5"/>
        <v>44490</v>
      </c>
      <c r="FG25" s="2">
        <f t="shared" si="5"/>
        <v>44491</v>
      </c>
      <c r="FH25" s="2">
        <f t="shared" si="5"/>
        <v>44492</v>
      </c>
      <c r="FI25" s="2">
        <f t="shared" si="5"/>
        <v>44493</v>
      </c>
      <c r="FJ25" s="2">
        <f t="shared" si="5"/>
        <v>44494</v>
      </c>
      <c r="FK25" s="2">
        <f t="shared" si="5"/>
        <v>44495</v>
      </c>
      <c r="FL25" s="2">
        <f t="shared" si="5"/>
        <v>44496</v>
      </c>
      <c r="FM25" s="2">
        <f t="shared" si="5"/>
        <v>44497</v>
      </c>
      <c r="FN25" s="2">
        <f t="shared" si="5"/>
        <v>44498</v>
      </c>
      <c r="FO25" s="2">
        <f t="shared" si="5"/>
        <v>44499</v>
      </c>
      <c r="FP25" s="2">
        <f t="shared" si="5"/>
        <v>44500</v>
      </c>
      <c r="FQ25" s="2">
        <f t="shared" si="5"/>
        <v>44501</v>
      </c>
      <c r="FR25" s="2">
        <f t="shared" si="5"/>
        <v>44502</v>
      </c>
      <c r="FS25" s="2">
        <f t="shared" si="5"/>
        <v>44503</v>
      </c>
      <c r="FT25" s="2">
        <f t="shared" si="5"/>
        <v>44504</v>
      </c>
      <c r="FU25" s="2">
        <f t="shared" si="5"/>
        <v>44505</v>
      </c>
    </row>
    <row r="26" spans="1:177" x14ac:dyDescent="0.25">
      <c r="A26" t="str">
        <f>A4</f>
        <v>UMP-45</v>
      </c>
      <c r="B26" t="str">
        <f t="shared" ref="B26:D26" si="6">B4</f>
        <v xml:space="preserve"> Plastique MW</v>
      </c>
      <c r="C26" t="str">
        <f t="shared" si="6"/>
        <v>SMG</v>
      </c>
      <c r="D26" t="str">
        <f t="shared" si="6"/>
        <v>CS20</v>
      </c>
      <c r="E26">
        <f>E4-ROUNDUP(E4*0.3,2)</f>
        <v>0.56000000000000005</v>
      </c>
      <c r="F26">
        <f t="shared" ref="F26:BQ27" si="7">F4-ROUNDUP(F4*0.3,2)</f>
        <v>0.57999999999999996</v>
      </c>
      <c r="G26">
        <f t="shared" si="7"/>
        <v>0.56999999999999995</v>
      </c>
      <c r="H26">
        <f t="shared" si="7"/>
        <v>0.53</v>
      </c>
      <c r="I26">
        <f t="shared" si="7"/>
        <v>0.56999999999999995</v>
      </c>
      <c r="J26">
        <f t="shared" si="7"/>
        <v>0.57999999999999996</v>
      </c>
      <c r="K26">
        <f t="shared" si="7"/>
        <v>0.57999999999999996</v>
      </c>
      <c r="L26">
        <f t="shared" si="7"/>
        <v>0.57999999999999996</v>
      </c>
      <c r="M26">
        <f t="shared" si="7"/>
        <v>0.57999999999999996</v>
      </c>
      <c r="N26">
        <f t="shared" si="7"/>
        <v>0.57999999999999996</v>
      </c>
      <c r="O26">
        <f t="shared" si="7"/>
        <v>0.59</v>
      </c>
      <c r="P26">
        <f t="shared" si="7"/>
        <v>0.59</v>
      </c>
      <c r="Q26">
        <f t="shared" si="7"/>
        <v>0.6</v>
      </c>
      <c r="R26">
        <f t="shared" si="7"/>
        <v>0.59</v>
      </c>
      <c r="S26">
        <f t="shared" si="7"/>
        <v>0.57999999999999996</v>
      </c>
      <c r="T26">
        <f t="shared" si="7"/>
        <v>0.57999999999999996</v>
      </c>
      <c r="U26">
        <f t="shared" si="7"/>
        <v>0.57999999999999996</v>
      </c>
      <c r="V26">
        <f t="shared" si="7"/>
        <v>0.52</v>
      </c>
      <c r="W26">
        <f t="shared" si="7"/>
        <v>0.56000000000000005</v>
      </c>
      <c r="X26">
        <f t="shared" si="7"/>
        <v>0.56999999999999995</v>
      </c>
      <c r="Y26">
        <f t="shared" si="7"/>
        <v>0.56999999999999995</v>
      </c>
      <c r="Z26">
        <f t="shared" si="7"/>
        <v>0</v>
      </c>
      <c r="AA26">
        <f t="shared" si="7"/>
        <v>0</v>
      </c>
      <c r="AB26">
        <f t="shared" si="7"/>
        <v>0</v>
      </c>
      <c r="AC26">
        <f t="shared" si="7"/>
        <v>0</v>
      </c>
      <c r="AD26">
        <f t="shared" si="7"/>
        <v>0</v>
      </c>
      <c r="AE26">
        <f t="shared" si="7"/>
        <v>0</v>
      </c>
      <c r="AF26">
        <f t="shared" si="7"/>
        <v>0</v>
      </c>
      <c r="AG26">
        <f t="shared" si="7"/>
        <v>0</v>
      </c>
      <c r="AH26">
        <f t="shared" si="7"/>
        <v>0</v>
      </c>
      <c r="AI26">
        <f t="shared" si="7"/>
        <v>0</v>
      </c>
      <c r="AJ26">
        <f t="shared" si="7"/>
        <v>0</v>
      </c>
      <c r="AK26">
        <f t="shared" si="7"/>
        <v>0</v>
      </c>
      <c r="AL26">
        <f t="shared" si="7"/>
        <v>0</v>
      </c>
      <c r="AM26">
        <f t="shared" si="7"/>
        <v>0</v>
      </c>
      <c r="AN26">
        <f t="shared" si="7"/>
        <v>0</v>
      </c>
      <c r="AO26">
        <f t="shared" si="7"/>
        <v>0</v>
      </c>
      <c r="AP26">
        <f t="shared" si="7"/>
        <v>0</v>
      </c>
      <c r="AQ26">
        <f t="shared" si="7"/>
        <v>0</v>
      </c>
      <c r="AR26">
        <f t="shared" si="7"/>
        <v>0</v>
      </c>
      <c r="AS26">
        <f t="shared" si="7"/>
        <v>0</v>
      </c>
      <c r="AT26">
        <f t="shared" si="7"/>
        <v>0</v>
      </c>
      <c r="AU26">
        <f t="shared" si="7"/>
        <v>0</v>
      </c>
      <c r="AV26">
        <f t="shared" si="7"/>
        <v>0</v>
      </c>
      <c r="AW26">
        <f t="shared" si="7"/>
        <v>0</v>
      </c>
      <c r="AX26">
        <f t="shared" si="7"/>
        <v>0</v>
      </c>
      <c r="AY26">
        <f t="shared" si="7"/>
        <v>0</v>
      </c>
      <c r="AZ26">
        <f t="shared" si="7"/>
        <v>0</v>
      </c>
      <c r="BA26">
        <f t="shared" si="7"/>
        <v>0</v>
      </c>
      <c r="BB26">
        <f t="shared" si="7"/>
        <v>0</v>
      </c>
      <c r="BC26">
        <f t="shared" si="7"/>
        <v>0</v>
      </c>
      <c r="BD26">
        <f t="shared" si="7"/>
        <v>0</v>
      </c>
      <c r="BE26">
        <f t="shared" si="7"/>
        <v>0</v>
      </c>
      <c r="BF26">
        <f t="shared" si="7"/>
        <v>0</v>
      </c>
      <c r="BG26">
        <f t="shared" si="7"/>
        <v>0</v>
      </c>
      <c r="BH26">
        <f t="shared" si="7"/>
        <v>0</v>
      </c>
      <c r="BI26">
        <f t="shared" si="7"/>
        <v>0</v>
      </c>
      <c r="BJ26">
        <f t="shared" si="7"/>
        <v>0</v>
      </c>
      <c r="BK26">
        <f t="shared" si="7"/>
        <v>0</v>
      </c>
      <c r="BL26">
        <f t="shared" si="7"/>
        <v>0</v>
      </c>
      <c r="BM26">
        <f t="shared" si="7"/>
        <v>0</v>
      </c>
      <c r="BN26">
        <f t="shared" si="7"/>
        <v>0</v>
      </c>
      <c r="BO26">
        <f t="shared" si="7"/>
        <v>0</v>
      </c>
      <c r="BP26">
        <f t="shared" si="7"/>
        <v>0</v>
      </c>
      <c r="BQ26">
        <f t="shared" si="7"/>
        <v>0</v>
      </c>
      <c r="BR26">
        <f t="shared" ref="BR26:EC29" si="8">BR4-ROUNDUP(BR4*0.3,2)</f>
        <v>0</v>
      </c>
      <c r="BS26">
        <f t="shared" si="8"/>
        <v>0</v>
      </c>
      <c r="BT26">
        <f t="shared" si="8"/>
        <v>0</v>
      </c>
      <c r="BU26">
        <f t="shared" si="8"/>
        <v>0</v>
      </c>
      <c r="BV26">
        <f t="shared" si="8"/>
        <v>0</v>
      </c>
      <c r="BW26">
        <f t="shared" si="8"/>
        <v>0</v>
      </c>
      <c r="BX26">
        <f t="shared" si="8"/>
        <v>0</v>
      </c>
      <c r="BY26">
        <f t="shared" si="8"/>
        <v>0</v>
      </c>
      <c r="BZ26">
        <f t="shared" si="8"/>
        <v>0</v>
      </c>
      <c r="CA26">
        <f t="shared" si="8"/>
        <v>0</v>
      </c>
      <c r="CB26">
        <f t="shared" si="8"/>
        <v>0</v>
      </c>
      <c r="CC26">
        <f t="shared" si="8"/>
        <v>0</v>
      </c>
      <c r="CD26">
        <f t="shared" si="8"/>
        <v>0</v>
      </c>
      <c r="CE26">
        <f t="shared" si="8"/>
        <v>0</v>
      </c>
      <c r="CF26">
        <f t="shared" si="8"/>
        <v>0</v>
      </c>
      <c r="CG26">
        <f t="shared" si="8"/>
        <v>0</v>
      </c>
      <c r="CH26">
        <f t="shared" si="8"/>
        <v>0</v>
      </c>
      <c r="CI26">
        <f t="shared" si="8"/>
        <v>0</v>
      </c>
      <c r="CJ26">
        <f t="shared" si="8"/>
        <v>0</v>
      </c>
      <c r="CK26">
        <f t="shared" si="8"/>
        <v>0</v>
      </c>
      <c r="CL26">
        <f t="shared" si="8"/>
        <v>0</v>
      </c>
      <c r="CM26">
        <f t="shared" si="8"/>
        <v>0</v>
      </c>
      <c r="CN26">
        <f t="shared" si="8"/>
        <v>0</v>
      </c>
      <c r="CO26">
        <f t="shared" si="8"/>
        <v>0</v>
      </c>
      <c r="CP26">
        <f t="shared" si="8"/>
        <v>0</v>
      </c>
      <c r="CQ26">
        <f t="shared" si="8"/>
        <v>0</v>
      </c>
      <c r="CR26">
        <f t="shared" si="8"/>
        <v>0</v>
      </c>
      <c r="CS26">
        <f t="shared" si="8"/>
        <v>0</v>
      </c>
      <c r="CT26">
        <f t="shared" si="8"/>
        <v>0</v>
      </c>
      <c r="CU26">
        <f t="shared" si="8"/>
        <v>0</v>
      </c>
      <c r="CV26">
        <f t="shared" si="8"/>
        <v>0</v>
      </c>
      <c r="CW26">
        <f t="shared" si="8"/>
        <v>0</v>
      </c>
      <c r="CX26">
        <f t="shared" si="8"/>
        <v>0</v>
      </c>
      <c r="CY26">
        <f t="shared" si="8"/>
        <v>0</v>
      </c>
      <c r="CZ26">
        <f t="shared" si="8"/>
        <v>0</v>
      </c>
      <c r="DA26">
        <f t="shared" si="8"/>
        <v>0</v>
      </c>
      <c r="DB26">
        <f t="shared" si="8"/>
        <v>0</v>
      </c>
      <c r="DC26">
        <f t="shared" si="8"/>
        <v>0</v>
      </c>
      <c r="DD26">
        <f t="shared" si="8"/>
        <v>0</v>
      </c>
      <c r="DE26">
        <f t="shared" si="8"/>
        <v>0</v>
      </c>
      <c r="DF26">
        <f t="shared" si="8"/>
        <v>0</v>
      </c>
      <c r="DG26">
        <f t="shared" si="8"/>
        <v>0</v>
      </c>
      <c r="DH26">
        <f t="shared" si="8"/>
        <v>0</v>
      </c>
      <c r="DI26">
        <f t="shared" si="8"/>
        <v>0</v>
      </c>
      <c r="DJ26">
        <f t="shared" si="8"/>
        <v>0</v>
      </c>
      <c r="DK26">
        <f t="shared" si="8"/>
        <v>0</v>
      </c>
      <c r="DL26">
        <f t="shared" si="8"/>
        <v>0</v>
      </c>
      <c r="DM26">
        <f t="shared" si="8"/>
        <v>0</v>
      </c>
      <c r="DN26">
        <f t="shared" si="8"/>
        <v>0</v>
      </c>
      <c r="DO26">
        <f t="shared" si="8"/>
        <v>0</v>
      </c>
      <c r="DP26">
        <f t="shared" si="8"/>
        <v>0</v>
      </c>
      <c r="DQ26">
        <f t="shared" si="8"/>
        <v>0</v>
      </c>
      <c r="DR26">
        <f t="shared" si="8"/>
        <v>0</v>
      </c>
      <c r="DS26">
        <f t="shared" si="8"/>
        <v>0</v>
      </c>
      <c r="DT26">
        <f t="shared" si="8"/>
        <v>0</v>
      </c>
      <c r="DU26">
        <f t="shared" si="8"/>
        <v>0</v>
      </c>
      <c r="DV26">
        <f t="shared" si="8"/>
        <v>0</v>
      </c>
      <c r="DW26">
        <f t="shared" si="8"/>
        <v>0</v>
      </c>
      <c r="DX26">
        <f t="shared" si="8"/>
        <v>0</v>
      </c>
      <c r="DY26">
        <f t="shared" si="8"/>
        <v>0</v>
      </c>
      <c r="DZ26">
        <f t="shared" si="8"/>
        <v>0</v>
      </c>
      <c r="EA26">
        <f t="shared" si="8"/>
        <v>0</v>
      </c>
      <c r="EB26">
        <f t="shared" si="8"/>
        <v>0</v>
      </c>
      <c r="EC26">
        <f t="shared" si="8"/>
        <v>0</v>
      </c>
      <c r="ED26">
        <f t="shared" ref="ED26:FU28" si="9">ED4-ROUNDUP(ED4*0.3,2)</f>
        <v>0</v>
      </c>
      <c r="EE26">
        <f t="shared" si="9"/>
        <v>0</v>
      </c>
      <c r="EF26">
        <f t="shared" si="9"/>
        <v>0</v>
      </c>
      <c r="EG26">
        <f t="shared" si="9"/>
        <v>0</v>
      </c>
      <c r="EH26">
        <f t="shared" si="9"/>
        <v>0</v>
      </c>
      <c r="EI26">
        <f t="shared" si="9"/>
        <v>0</v>
      </c>
      <c r="EJ26">
        <f t="shared" si="9"/>
        <v>0</v>
      </c>
      <c r="EK26">
        <f t="shared" si="9"/>
        <v>0</v>
      </c>
      <c r="EL26">
        <f t="shared" si="9"/>
        <v>0</v>
      </c>
      <c r="EM26">
        <f t="shared" si="9"/>
        <v>0</v>
      </c>
      <c r="EN26">
        <f t="shared" si="9"/>
        <v>0</v>
      </c>
      <c r="EO26">
        <f t="shared" si="9"/>
        <v>0</v>
      </c>
      <c r="EP26">
        <f t="shared" si="9"/>
        <v>0</v>
      </c>
      <c r="EQ26">
        <f t="shared" si="9"/>
        <v>0</v>
      </c>
      <c r="ER26">
        <f t="shared" si="9"/>
        <v>0</v>
      </c>
      <c r="ES26">
        <f t="shared" si="9"/>
        <v>0</v>
      </c>
      <c r="ET26">
        <f t="shared" si="9"/>
        <v>0</v>
      </c>
      <c r="EU26">
        <f t="shared" si="9"/>
        <v>0</v>
      </c>
      <c r="EV26">
        <f t="shared" si="9"/>
        <v>0</v>
      </c>
      <c r="EW26">
        <f t="shared" si="9"/>
        <v>0</v>
      </c>
      <c r="EX26">
        <f t="shared" si="9"/>
        <v>0</v>
      </c>
      <c r="EY26">
        <f t="shared" si="9"/>
        <v>0</v>
      </c>
      <c r="EZ26">
        <f t="shared" si="9"/>
        <v>0</v>
      </c>
      <c r="FA26">
        <f t="shared" si="9"/>
        <v>0</v>
      </c>
      <c r="FB26">
        <f t="shared" si="9"/>
        <v>0</v>
      </c>
      <c r="FC26">
        <f t="shared" si="9"/>
        <v>0</v>
      </c>
      <c r="FD26">
        <f t="shared" si="9"/>
        <v>0</v>
      </c>
      <c r="FE26">
        <f t="shared" si="9"/>
        <v>0</v>
      </c>
      <c r="FF26">
        <f t="shared" si="9"/>
        <v>0</v>
      </c>
      <c r="FG26">
        <f t="shared" si="9"/>
        <v>0</v>
      </c>
      <c r="FH26">
        <f t="shared" si="9"/>
        <v>0</v>
      </c>
      <c r="FI26">
        <f t="shared" si="9"/>
        <v>0</v>
      </c>
      <c r="FJ26">
        <f t="shared" si="9"/>
        <v>0</v>
      </c>
      <c r="FK26">
        <f t="shared" si="9"/>
        <v>0</v>
      </c>
      <c r="FL26">
        <f t="shared" si="9"/>
        <v>0</v>
      </c>
      <c r="FM26">
        <f t="shared" si="9"/>
        <v>0</v>
      </c>
      <c r="FN26">
        <f t="shared" si="9"/>
        <v>0</v>
      </c>
      <c r="FO26">
        <f t="shared" si="9"/>
        <v>0</v>
      </c>
      <c r="FP26">
        <f t="shared" si="9"/>
        <v>0</v>
      </c>
      <c r="FQ26">
        <f t="shared" si="9"/>
        <v>0</v>
      </c>
      <c r="FR26">
        <f t="shared" si="9"/>
        <v>0</v>
      </c>
      <c r="FS26">
        <f t="shared" si="9"/>
        <v>0</v>
      </c>
      <c r="FT26">
        <f t="shared" si="9"/>
        <v>0</v>
      </c>
      <c r="FU26">
        <f t="shared" si="9"/>
        <v>0</v>
      </c>
    </row>
    <row r="27" spans="1:177" x14ac:dyDescent="0.25">
      <c r="A27" t="str">
        <f t="shared" ref="A27:D27" si="10">A5</f>
        <v>PP-Bizon</v>
      </c>
      <c r="B27" t="str">
        <f t="shared" si="10"/>
        <v>Fuel Rod FT</v>
      </c>
      <c r="C27" t="str">
        <f t="shared" si="10"/>
        <v>SMG</v>
      </c>
      <c r="D27" t="str">
        <f t="shared" si="10"/>
        <v>Revolver</v>
      </c>
      <c r="E27">
        <f t="shared" ref="E27:T39" si="11">E5-ROUNDUP(E5*0.3,2)</f>
        <v>0.77</v>
      </c>
      <c r="F27">
        <f t="shared" si="11"/>
        <v>0.72</v>
      </c>
      <c r="G27">
        <f t="shared" si="11"/>
        <v>0.67999999999999994</v>
      </c>
      <c r="H27">
        <f t="shared" si="11"/>
        <v>0.65</v>
      </c>
      <c r="I27">
        <f t="shared" si="11"/>
        <v>0.61</v>
      </c>
      <c r="J27">
        <f t="shared" si="11"/>
        <v>0.67999999999999994</v>
      </c>
      <c r="K27">
        <f t="shared" si="11"/>
        <v>0.64999999999999991</v>
      </c>
      <c r="L27">
        <f t="shared" si="11"/>
        <v>0.65</v>
      </c>
      <c r="M27">
        <f t="shared" si="11"/>
        <v>0.66999999999999993</v>
      </c>
      <c r="N27">
        <f t="shared" si="11"/>
        <v>0.65</v>
      </c>
      <c r="O27">
        <f t="shared" si="11"/>
        <v>0.67999999999999994</v>
      </c>
      <c r="P27">
        <f t="shared" si="11"/>
        <v>0.67999999999999994</v>
      </c>
      <c r="Q27">
        <f t="shared" si="11"/>
        <v>0.61</v>
      </c>
      <c r="R27">
        <f t="shared" si="11"/>
        <v>0.6</v>
      </c>
      <c r="S27">
        <f t="shared" si="11"/>
        <v>0.59</v>
      </c>
      <c r="T27">
        <f t="shared" si="11"/>
        <v>0.57999999999999996</v>
      </c>
      <c r="U27">
        <f t="shared" si="7"/>
        <v>0.64</v>
      </c>
      <c r="V27">
        <f t="shared" si="7"/>
        <v>0.6</v>
      </c>
      <c r="W27">
        <f t="shared" si="7"/>
        <v>0.62</v>
      </c>
      <c r="X27">
        <f t="shared" si="7"/>
        <v>0.59</v>
      </c>
      <c r="Y27">
        <f t="shared" si="7"/>
        <v>0.6</v>
      </c>
      <c r="Z27">
        <f t="shared" si="7"/>
        <v>0</v>
      </c>
      <c r="AA27">
        <f t="shared" si="7"/>
        <v>0</v>
      </c>
      <c r="AB27">
        <f t="shared" si="7"/>
        <v>0</v>
      </c>
      <c r="AC27">
        <f t="shared" si="7"/>
        <v>0</v>
      </c>
      <c r="AD27">
        <f t="shared" si="7"/>
        <v>0</v>
      </c>
      <c r="AE27">
        <f t="shared" si="7"/>
        <v>0</v>
      </c>
      <c r="AF27">
        <f t="shared" si="7"/>
        <v>0</v>
      </c>
      <c r="AG27">
        <f t="shared" si="7"/>
        <v>0</v>
      </c>
      <c r="AH27">
        <f t="shared" si="7"/>
        <v>0</v>
      </c>
      <c r="AI27">
        <f t="shared" si="7"/>
        <v>0</v>
      </c>
      <c r="AJ27">
        <f t="shared" si="7"/>
        <v>0</v>
      </c>
      <c r="AK27">
        <f t="shared" si="7"/>
        <v>0</v>
      </c>
      <c r="AL27">
        <f t="shared" si="7"/>
        <v>0</v>
      </c>
      <c r="AM27">
        <f t="shared" si="7"/>
        <v>0</v>
      </c>
      <c r="AN27">
        <f t="shared" si="7"/>
        <v>0</v>
      </c>
      <c r="AO27">
        <f t="shared" si="7"/>
        <v>0</v>
      </c>
      <c r="AP27">
        <f t="shared" si="7"/>
        <v>0</v>
      </c>
      <c r="AQ27">
        <f t="shared" si="7"/>
        <v>0</v>
      </c>
      <c r="AR27">
        <f t="shared" si="7"/>
        <v>0</v>
      </c>
      <c r="AS27">
        <f t="shared" si="7"/>
        <v>0</v>
      </c>
      <c r="AT27">
        <f t="shared" si="7"/>
        <v>0</v>
      </c>
      <c r="AU27">
        <f t="shared" si="7"/>
        <v>0</v>
      </c>
      <c r="AV27">
        <f t="shared" si="7"/>
        <v>0</v>
      </c>
      <c r="AW27">
        <f t="shared" si="7"/>
        <v>0</v>
      </c>
      <c r="AX27">
        <f t="shared" si="7"/>
        <v>0</v>
      </c>
      <c r="AY27">
        <f t="shared" si="7"/>
        <v>0</v>
      </c>
      <c r="AZ27">
        <f t="shared" si="7"/>
        <v>0</v>
      </c>
      <c r="BA27">
        <f t="shared" si="7"/>
        <v>0</v>
      </c>
      <c r="BB27">
        <f t="shared" si="7"/>
        <v>0</v>
      </c>
      <c r="BC27">
        <f t="shared" si="7"/>
        <v>0</v>
      </c>
      <c r="BD27">
        <f t="shared" si="7"/>
        <v>0</v>
      </c>
      <c r="BE27">
        <f t="shared" si="7"/>
        <v>0</v>
      </c>
      <c r="BF27">
        <f t="shared" si="7"/>
        <v>0</v>
      </c>
      <c r="BG27">
        <f t="shared" si="7"/>
        <v>0</v>
      </c>
      <c r="BH27">
        <f t="shared" si="7"/>
        <v>0</v>
      </c>
      <c r="BI27">
        <f t="shared" si="7"/>
        <v>0</v>
      </c>
      <c r="BJ27">
        <f t="shared" si="7"/>
        <v>0</v>
      </c>
      <c r="BK27">
        <f t="shared" si="7"/>
        <v>0</v>
      </c>
      <c r="BL27">
        <f t="shared" si="7"/>
        <v>0</v>
      </c>
      <c r="BM27">
        <f t="shared" si="7"/>
        <v>0</v>
      </c>
      <c r="BN27">
        <f t="shared" si="7"/>
        <v>0</v>
      </c>
      <c r="BO27">
        <f t="shared" si="7"/>
        <v>0</v>
      </c>
      <c r="BP27">
        <f t="shared" si="7"/>
        <v>0</v>
      </c>
      <c r="BQ27">
        <f t="shared" si="7"/>
        <v>0</v>
      </c>
      <c r="BR27">
        <f t="shared" si="8"/>
        <v>0</v>
      </c>
      <c r="BS27">
        <f t="shared" si="8"/>
        <v>0</v>
      </c>
      <c r="BT27">
        <f t="shared" si="8"/>
        <v>0</v>
      </c>
      <c r="BU27">
        <f t="shared" si="8"/>
        <v>0</v>
      </c>
      <c r="BV27">
        <f t="shared" si="8"/>
        <v>0</v>
      </c>
      <c r="BW27">
        <f t="shared" si="8"/>
        <v>0</v>
      </c>
      <c r="BX27">
        <f t="shared" si="8"/>
        <v>0</v>
      </c>
      <c r="BY27">
        <f t="shared" si="8"/>
        <v>0</v>
      </c>
      <c r="BZ27">
        <f t="shared" si="8"/>
        <v>0</v>
      </c>
      <c r="CA27">
        <f t="shared" si="8"/>
        <v>0</v>
      </c>
      <c r="CB27">
        <f t="shared" si="8"/>
        <v>0</v>
      </c>
      <c r="CC27">
        <f t="shared" si="8"/>
        <v>0</v>
      </c>
      <c r="CD27">
        <f t="shared" si="8"/>
        <v>0</v>
      </c>
      <c r="CE27">
        <f t="shared" si="8"/>
        <v>0</v>
      </c>
      <c r="CF27">
        <f t="shared" si="8"/>
        <v>0</v>
      </c>
      <c r="CG27">
        <f t="shared" si="8"/>
        <v>0</v>
      </c>
      <c r="CH27">
        <f t="shared" si="8"/>
        <v>0</v>
      </c>
      <c r="CI27">
        <f t="shared" si="8"/>
        <v>0</v>
      </c>
      <c r="CJ27">
        <f t="shared" si="8"/>
        <v>0</v>
      </c>
      <c r="CK27">
        <f t="shared" si="8"/>
        <v>0</v>
      </c>
      <c r="CL27">
        <f t="shared" si="8"/>
        <v>0</v>
      </c>
      <c r="CM27">
        <f t="shared" si="8"/>
        <v>0</v>
      </c>
      <c r="CN27">
        <f t="shared" si="8"/>
        <v>0</v>
      </c>
      <c r="CO27">
        <f t="shared" si="8"/>
        <v>0</v>
      </c>
      <c r="CP27">
        <f t="shared" si="8"/>
        <v>0</v>
      </c>
      <c r="CQ27">
        <f t="shared" si="8"/>
        <v>0</v>
      </c>
      <c r="CR27">
        <f t="shared" si="8"/>
        <v>0</v>
      </c>
      <c r="CS27">
        <f t="shared" si="8"/>
        <v>0</v>
      </c>
      <c r="CT27">
        <f t="shared" si="8"/>
        <v>0</v>
      </c>
      <c r="CU27">
        <f t="shared" si="8"/>
        <v>0</v>
      </c>
      <c r="CV27">
        <f t="shared" si="8"/>
        <v>0</v>
      </c>
      <c r="CW27">
        <f t="shared" si="8"/>
        <v>0</v>
      </c>
      <c r="CX27">
        <f t="shared" si="8"/>
        <v>0</v>
      </c>
      <c r="CY27">
        <f t="shared" si="8"/>
        <v>0</v>
      </c>
      <c r="CZ27">
        <f t="shared" si="8"/>
        <v>0</v>
      </c>
      <c r="DA27">
        <f t="shared" si="8"/>
        <v>0</v>
      </c>
      <c r="DB27">
        <f t="shared" si="8"/>
        <v>0</v>
      </c>
      <c r="DC27">
        <f t="shared" si="8"/>
        <v>0</v>
      </c>
      <c r="DD27">
        <f t="shared" si="8"/>
        <v>0</v>
      </c>
      <c r="DE27">
        <f t="shared" si="8"/>
        <v>0</v>
      </c>
      <c r="DF27">
        <f t="shared" si="8"/>
        <v>0</v>
      </c>
      <c r="DG27">
        <f t="shared" si="8"/>
        <v>0</v>
      </c>
      <c r="DH27">
        <f t="shared" si="8"/>
        <v>0</v>
      </c>
      <c r="DI27">
        <f t="shared" si="8"/>
        <v>0</v>
      </c>
      <c r="DJ27">
        <f t="shared" si="8"/>
        <v>0</v>
      </c>
      <c r="DK27">
        <f t="shared" si="8"/>
        <v>0</v>
      </c>
      <c r="DL27">
        <f t="shared" si="8"/>
        <v>0</v>
      </c>
      <c r="DM27">
        <f t="shared" si="8"/>
        <v>0</v>
      </c>
      <c r="DN27">
        <f t="shared" si="8"/>
        <v>0</v>
      </c>
      <c r="DO27">
        <f t="shared" si="8"/>
        <v>0</v>
      </c>
      <c r="DP27">
        <f t="shared" si="8"/>
        <v>0</v>
      </c>
      <c r="DQ27">
        <f t="shared" si="8"/>
        <v>0</v>
      </c>
      <c r="DR27">
        <f t="shared" si="8"/>
        <v>0</v>
      </c>
      <c r="DS27">
        <f t="shared" si="8"/>
        <v>0</v>
      </c>
      <c r="DT27">
        <f t="shared" si="8"/>
        <v>0</v>
      </c>
      <c r="DU27">
        <f t="shared" si="8"/>
        <v>0</v>
      </c>
      <c r="DV27">
        <f t="shared" si="8"/>
        <v>0</v>
      </c>
      <c r="DW27">
        <f t="shared" si="8"/>
        <v>0</v>
      </c>
      <c r="DX27">
        <f t="shared" si="8"/>
        <v>0</v>
      </c>
      <c r="DY27">
        <f t="shared" si="8"/>
        <v>0</v>
      </c>
      <c r="DZ27">
        <f t="shared" si="8"/>
        <v>0</v>
      </c>
      <c r="EA27">
        <f t="shared" si="8"/>
        <v>0</v>
      </c>
      <c r="EB27">
        <f t="shared" si="8"/>
        <v>0</v>
      </c>
      <c r="EC27">
        <f t="shared" si="8"/>
        <v>0</v>
      </c>
      <c r="ED27">
        <f t="shared" si="9"/>
        <v>0</v>
      </c>
      <c r="EE27">
        <f t="shared" si="9"/>
        <v>0</v>
      </c>
      <c r="EF27">
        <f t="shared" si="9"/>
        <v>0</v>
      </c>
      <c r="EG27">
        <f t="shared" si="9"/>
        <v>0</v>
      </c>
      <c r="EH27">
        <f t="shared" si="9"/>
        <v>0</v>
      </c>
      <c r="EI27">
        <f t="shared" si="9"/>
        <v>0</v>
      </c>
      <c r="EJ27">
        <f t="shared" si="9"/>
        <v>0</v>
      </c>
      <c r="EK27">
        <f t="shared" si="9"/>
        <v>0</v>
      </c>
      <c r="EL27">
        <f t="shared" si="9"/>
        <v>0</v>
      </c>
      <c r="EM27">
        <f t="shared" si="9"/>
        <v>0</v>
      </c>
      <c r="EN27">
        <f t="shared" si="9"/>
        <v>0</v>
      </c>
      <c r="EO27">
        <f t="shared" si="9"/>
        <v>0</v>
      </c>
      <c r="EP27">
        <f t="shared" si="9"/>
        <v>0</v>
      </c>
      <c r="EQ27">
        <f t="shared" si="9"/>
        <v>0</v>
      </c>
      <c r="ER27">
        <f t="shared" si="9"/>
        <v>0</v>
      </c>
      <c r="ES27">
        <f t="shared" si="9"/>
        <v>0</v>
      </c>
      <c r="ET27">
        <f t="shared" si="9"/>
        <v>0</v>
      </c>
      <c r="EU27">
        <f t="shared" si="9"/>
        <v>0</v>
      </c>
      <c r="EV27">
        <f t="shared" si="9"/>
        <v>0</v>
      </c>
      <c r="EW27">
        <f t="shared" si="9"/>
        <v>0</v>
      </c>
      <c r="EX27">
        <f t="shared" si="9"/>
        <v>0</v>
      </c>
      <c r="EY27">
        <f t="shared" si="9"/>
        <v>0</v>
      </c>
      <c r="EZ27">
        <f t="shared" si="9"/>
        <v>0</v>
      </c>
      <c r="FA27">
        <f t="shared" si="9"/>
        <v>0</v>
      </c>
      <c r="FB27">
        <f t="shared" si="9"/>
        <v>0</v>
      </c>
      <c r="FC27">
        <f t="shared" si="9"/>
        <v>0</v>
      </c>
      <c r="FD27">
        <f t="shared" si="9"/>
        <v>0</v>
      </c>
      <c r="FE27">
        <f t="shared" si="9"/>
        <v>0</v>
      </c>
      <c r="FF27">
        <f t="shared" si="9"/>
        <v>0</v>
      </c>
      <c r="FG27">
        <f t="shared" si="9"/>
        <v>0</v>
      </c>
      <c r="FH27">
        <f t="shared" si="9"/>
        <v>0</v>
      </c>
      <c r="FI27">
        <f t="shared" si="9"/>
        <v>0</v>
      </c>
      <c r="FJ27">
        <f t="shared" si="9"/>
        <v>0</v>
      </c>
      <c r="FK27">
        <f t="shared" si="9"/>
        <v>0</v>
      </c>
      <c r="FL27">
        <f t="shared" si="9"/>
        <v>0</v>
      </c>
      <c r="FM27">
        <f t="shared" si="9"/>
        <v>0</v>
      </c>
      <c r="FN27">
        <f t="shared" si="9"/>
        <v>0</v>
      </c>
      <c r="FO27">
        <f t="shared" si="9"/>
        <v>0</v>
      </c>
      <c r="FP27">
        <f t="shared" si="9"/>
        <v>0</v>
      </c>
      <c r="FQ27">
        <f t="shared" si="9"/>
        <v>0</v>
      </c>
      <c r="FR27">
        <f t="shared" si="9"/>
        <v>0</v>
      </c>
      <c r="FS27">
        <f t="shared" si="9"/>
        <v>0</v>
      </c>
      <c r="FT27">
        <f t="shared" si="9"/>
        <v>0</v>
      </c>
      <c r="FU27">
        <f t="shared" si="9"/>
        <v>0</v>
      </c>
    </row>
    <row r="28" spans="1:177" x14ac:dyDescent="0.25">
      <c r="A28" t="str">
        <f t="shared" ref="A28:D28" si="12">A6</f>
        <v>MP9</v>
      </c>
      <c r="B28" t="str">
        <f t="shared" si="12"/>
        <v>Hydra MW</v>
      </c>
      <c r="C28" t="str">
        <f t="shared" si="12"/>
        <v>SMG</v>
      </c>
      <c r="D28" t="str">
        <f t="shared" si="12"/>
        <v>CS20</v>
      </c>
      <c r="E28">
        <f t="shared" si="11"/>
        <v>4.46</v>
      </c>
      <c r="F28">
        <f t="shared" ref="F28:BQ31" si="13">F6-ROUNDUP(F6*0.3,2)</f>
        <v>3.94</v>
      </c>
      <c r="G28">
        <f t="shared" si="13"/>
        <v>3.99</v>
      </c>
      <c r="H28">
        <f t="shared" si="13"/>
        <v>4.1500000000000004</v>
      </c>
      <c r="I28">
        <f t="shared" si="13"/>
        <v>4.0999999999999996</v>
      </c>
      <c r="J28">
        <f t="shared" si="13"/>
        <v>4.34</v>
      </c>
      <c r="K28">
        <f t="shared" si="13"/>
        <v>4.1399999999999997</v>
      </c>
      <c r="L28">
        <f t="shared" si="13"/>
        <v>4.3199999999999994</v>
      </c>
      <c r="M28">
        <f t="shared" si="13"/>
        <v>4.08</v>
      </c>
      <c r="N28">
        <f t="shared" si="13"/>
        <v>4.0999999999999996</v>
      </c>
      <c r="O28">
        <f t="shared" si="13"/>
        <v>4.24</v>
      </c>
      <c r="P28">
        <f t="shared" si="13"/>
        <v>4.0299999999999994</v>
      </c>
      <c r="Q28">
        <f t="shared" si="13"/>
        <v>4.1500000000000004</v>
      </c>
      <c r="R28">
        <f t="shared" si="13"/>
        <v>4.04</v>
      </c>
      <c r="S28">
        <f t="shared" si="13"/>
        <v>4.38</v>
      </c>
      <c r="T28">
        <f t="shared" si="13"/>
        <v>4.22</v>
      </c>
      <c r="U28">
        <f t="shared" si="13"/>
        <v>4.2899999999999991</v>
      </c>
      <c r="V28">
        <f t="shared" si="13"/>
        <v>4.0199999999999996</v>
      </c>
      <c r="W28">
        <f t="shared" si="13"/>
        <v>4.1399999999999997</v>
      </c>
      <c r="X28">
        <f t="shared" si="13"/>
        <v>4.1499999999999995</v>
      </c>
      <c r="Y28">
        <f t="shared" si="13"/>
        <v>4.1499999999999995</v>
      </c>
      <c r="Z28">
        <f t="shared" si="13"/>
        <v>0</v>
      </c>
      <c r="AA28">
        <f t="shared" si="13"/>
        <v>0</v>
      </c>
      <c r="AB28">
        <f t="shared" si="13"/>
        <v>0</v>
      </c>
      <c r="AC28">
        <f t="shared" si="13"/>
        <v>0</v>
      </c>
      <c r="AD28">
        <f t="shared" si="13"/>
        <v>0</v>
      </c>
      <c r="AE28">
        <f t="shared" si="13"/>
        <v>0</v>
      </c>
      <c r="AF28">
        <f t="shared" si="13"/>
        <v>0</v>
      </c>
      <c r="AG28">
        <f t="shared" si="13"/>
        <v>0</v>
      </c>
      <c r="AH28">
        <f t="shared" si="13"/>
        <v>0</v>
      </c>
      <c r="AI28">
        <f t="shared" si="13"/>
        <v>0</v>
      </c>
      <c r="AJ28">
        <f t="shared" si="13"/>
        <v>0</v>
      </c>
      <c r="AK28">
        <f t="shared" si="13"/>
        <v>0</v>
      </c>
      <c r="AL28">
        <f t="shared" si="13"/>
        <v>0</v>
      </c>
      <c r="AM28">
        <f t="shared" si="13"/>
        <v>0</v>
      </c>
      <c r="AN28">
        <f t="shared" si="13"/>
        <v>0</v>
      </c>
      <c r="AO28">
        <f t="shared" si="13"/>
        <v>0</v>
      </c>
      <c r="AP28">
        <f t="shared" si="13"/>
        <v>0</v>
      </c>
      <c r="AQ28">
        <f t="shared" si="13"/>
        <v>0</v>
      </c>
      <c r="AR28">
        <f t="shared" si="13"/>
        <v>0</v>
      </c>
      <c r="AS28">
        <f t="shared" si="13"/>
        <v>0</v>
      </c>
      <c r="AT28">
        <f t="shared" si="13"/>
        <v>0</v>
      </c>
      <c r="AU28">
        <f t="shared" si="13"/>
        <v>0</v>
      </c>
      <c r="AV28">
        <f t="shared" si="13"/>
        <v>0</v>
      </c>
      <c r="AW28">
        <f t="shared" si="13"/>
        <v>0</v>
      </c>
      <c r="AX28">
        <f t="shared" si="13"/>
        <v>0</v>
      </c>
      <c r="AY28">
        <f t="shared" si="13"/>
        <v>0</v>
      </c>
      <c r="AZ28">
        <f t="shared" si="13"/>
        <v>0</v>
      </c>
      <c r="BA28">
        <f t="shared" si="13"/>
        <v>0</v>
      </c>
      <c r="BB28">
        <f t="shared" si="13"/>
        <v>0</v>
      </c>
      <c r="BC28">
        <f t="shared" si="13"/>
        <v>0</v>
      </c>
      <c r="BD28">
        <f t="shared" si="13"/>
        <v>0</v>
      </c>
      <c r="BE28">
        <f t="shared" si="13"/>
        <v>0</v>
      </c>
      <c r="BF28">
        <f t="shared" si="13"/>
        <v>0</v>
      </c>
      <c r="BG28">
        <f t="shared" si="13"/>
        <v>0</v>
      </c>
      <c r="BH28">
        <f t="shared" si="13"/>
        <v>0</v>
      </c>
      <c r="BI28">
        <f t="shared" si="13"/>
        <v>0</v>
      </c>
      <c r="BJ28">
        <f t="shared" si="13"/>
        <v>0</v>
      </c>
      <c r="BK28">
        <f t="shared" si="13"/>
        <v>0</v>
      </c>
      <c r="BL28">
        <f t="shared" si="13"/>
        <v>0</v>
      </c>
      <c r="BM28">
        <f t="shared" si="13"/>
        <v>0</v>
      </c>
      <c r="BN28">
        <f t="shared" si="13"/>
        <v>0</v>
      </c>
      <c r="BO28">
        <f t="shared" si="13"/>
        <v>0</v>
      </c>
      <c r="BP28">
        <f t="shared" si="13"/>
        <v>0</v>
      </c>
      <c r="BQ28">
        <f t="shared" si="13"/>
        <v>0</v>
      </c>
      <c r="BR28">
        <f t="shared" si="8"/>
        <v>0</v>
      </c>
      <c r="BS28">
        <f t="shared" si="8"/>
        <v>0</v>
      </c>
      <c r="BT28">
        <f t="shared" si="8"/>
        <v>0</v>
      </c>
      <c r="BU28">
        <f t="shared" si="8"/>
        <v>0</v>
      </c>
      <c r="BV28">
        <f t="shared" si="8"/>
        <v>0</v>
      </c>
      <c r="BW28">
        <f t="shared" si="8"/>
        <v>0</v>
      </c>
      <c r="BX28">
        <f t="shared" si="8"/>
        <v>0</v>
      </c>
      <c r="BY28">
        <f t="shared" si="8"/>
        <v>0</v>
      </c>
      <c r="BZ28">
        <f t="shared" si="8"/>
        <v>0</v>
      </c>
      <c r="CA28">
        <f t="shared" si="8"/>
        <v>0</v>
      </c>
      <c r="CB28">
        <f t="shared" si="8"/>
        <v>0</v>
      </c>
      <c r="CC28">
        <f t="shared" si="8"/>
        <v>0</v>
      </c>
      <c r="CD28">
        <f t="shared" si="8"/>
        <v>0</v>
      </c>
      <c r="CE28">
        <f t="shared" si="8"/>
        <v>0</v>
      </c>
      <c r="CF28">
        <f t="shared" si="8"/>
        <v>0</v>
      </c>
      <c r="CG28">
        <f t="shared" si="8"/>
        <v>0</v>
      </c>
      <c r="CH28">
        <f t="shared" si="8"/>
        <v>0</v>
      </c>
      <c r="CI28">
        <f t="shared" si="8"/>
        <v>0</v>
      </c>
      <c r="CJ28">
        <f t="shared" si="8"/>
        <v>0</v>
      </c>
      <c r="CK28">
        <f t="shared" si="8"/>
        <v>0</v>
      </c>
      <c r="CL28">
        <f t="shared" si="8"/>
        <v>0</v>
      </c>
      <c r="CM28">
        <f t="shared" si="8"/>
        <v>0</v>
      </c>
      <c r="CN28">
        <f t="shared" si="8"/>
        <v>0</v>
      </c>
      <c r="CO28">
        <f t="shared" si="8"/>
        <v>0</v>
      </c>
      <c r="CP28">
        <f t="shared" si="8"/>
        <v>0</v>
      </c>
      <c r="CQ28">
        <f t="shared" si="8"/>
        <v>0</v>
      </c>
      <c r="CR28">
        <f t="shared" si="8"/>
        <v>0</v>
      </c>
      <c r="CS28">
        <f t="shared" si="8"/>
        <v>0</v>
      </c>
      <c r="CT28">
        <f t="shared" si="8"/>
        <v>0</v>
      </c>
      <c r="CU28">
        <f t="shared" si="8"/>
        <v>0</v>
      </c>
      <c r="CV28">
        <f t="shared" si="8"/>
        <v>0</v>
      </c>
      <c r="CW28">
        <f t="shared" si="8"/>
        <v>0</v>
      </c>
      <c r="CX28">
        <f t="shared" si="8"/>
        <v>0</v>
      </c>
      <c r="CY28">
        <f t="shared" si="8"/>
        <v>0</v>
      </c>
      <c r="CZ28">
        <f t="shared" si="8"/>
        <v>0</v>
      </c>
      <c r="DA28">
        <f t="shared" si="8"/>
        <v>0</v>
      </c>
      <c r="DB28">
        <f t="shared" si="8"/>
        <v>0</v>
      </c>
      <c r="DC28">
        <f t="shared" si="8"/>
        <v>0</v>
      </c>
      <c r="DD28">
        <f t="shared" si="8"/>
        <v>0</v>
      </c>
      <c r="DE28">
        <f t="shared" si="8"/>
        <v>0</v>
      </c>
      <c r="DF28">
        <f t="shared" si="8"/>
        <v>0</v>
      </c>
      <c r="DG28">
        <f t="shared" si="8"/>
        <v>0</v>
      </c>
      <c r="DH28">
        <f t="shared" si="8"/>
        <v>0</v>
      </c>
      <c r="DI28">
        <f t="shared" si="8"/>
        <v>0</v>
      </c>
      <c r="DJ28">
        <f t="shared" si="8"/>
        <v>0</v>
      </c>
      <c r="DK28">
        <f t="shared" si="8"/>
        <v>0</v>
      </c>
      <c r="DL28">
        <f t="shared" si="8"/>
        <v>0</v>
      </c>
      <c r="DM28">
        <f t="shared" si="8"/>
        <v>0</v>
      </c>
      <c r="DN28">
        <f t="shared" si="8"/>
        <v>0</v>
      </c>
      <c r="DO28">
        <f t="shared" si="8"/>
        <v>0</v>
      </c>
      <c r="DP28">
        <f t="shared" si="8"/>
        <v>0</v>
      </c>
      <c r="DQ28">
        <f t="shared" si="8"/>
        <v>0</v>
      </c>
      <c r="DR28">
        <f t="shared" si="8"/>
        <v>0</v>
      </c>
      <c r="DS28">
        <f t="shared" si="8"/>
        <v>0</v>
      </c>
      <c r="DT28">
        <f t="shared" si="8"/>
        <v>0</v>
      </c>
      <c r="DU28">
        <f t="shared" si="8"/>
        <v>0</v>
      </c>
      <c r="DV28">
        <f t="shared" si="8"/>
        <v>0</v>
      </c>
      <c r="DW28">
        <f t="shared" si="8"/>
        <v>0</v>
      </c>
      <c r="DX28">
        <f t="shared" si="8"/>
        <v>0</v>
      </c>
      <c r="DY28">
        <f t="shared" si="8"/>
        <v>0</v>
      </c>
      <c r="DZ28">
        <f t="shared" si="8"/>
        <v>0</v>
      </c>
      <c r="EA28">
        <f t="shared" si="8"/>
        <v>0</v>
      </c>
      <c r="EB28">
        <f t="shared" si="8"/>
        <v>0</v>
      </c>
      <c r="EC28">
        <f t="shared" si="8"/>
        <v>0</v>
      </c>
      <c r="ED28">
        <f t="shared" si="9"/>
        <v>0</v>
      </c>
      <c r="EE28">
        <f t="shared" si="9"/>
        <v>0</v>
      </c>
      <c r="EF28">
        <f t="shared" si="9"/>
        <v>0</v>
      </c>
      <c r="EG28">
        <f t="shared" si="9"/>
        <v>0</v>
      </c>
      <c r="EH28">
        <f t="shared" si="9"/>
        <v>0</v>
      </c>
      <c r="EI28">
        <f t="shared" si="9"/>
        <v>0</v>
      </c>
      <c r="EJ28">
        <f t="shared" si="9"/>
        <v>0</v>
      </c>
      <c r="EK28">
        <f t="shared" si="9"/>
        <v>0</v>
      </c>
      <c r="EL28">
        <f t="shared" si="9"/>
        <v>0</v>
      </c>
      <c r="EM28">
        <f t="shared" si="9"/>
        <v>0</v>
      </c>
      <c r="EN28">
        <f t="shared" si="9"/>
        <v>0</v>
      </c>
      <c r="EO28">
        <f t="shared" si="9"/>
        <v>0</v>
      </c>
      <c r="EP28">
        <f t="shared" si="9"/>
        <v>0</v>
      </c>
      <c r="EQ28">
        <f t="shared" si="9"/>
        <v>0</v>
      </c>
      <c r="ER28">
        <f t="shared" si="9"/>
        <v>0</v>
      </c>
      <c r="ES28">
        <f t="shared" si="9"/>
        <v>0</v>
      </c>
      <c r="ET28">
        <f t="shared" si="9"/>
        <v>0</v>
      </c>
      <c r="EU28">
        <f t="shared" si="9"/>
        <v>0</v>
      </c>
      <c r="EV28">
        <f t="shared" si="9"/>
        <v>0</v>
      </c>
      <c r="EW28">
        <f t="shared" si="9"/>
        <v>0</v>
      </c>
      <c r="EX28">
        <f t="shared" si="9"/>
        <v>0</v>
      </c>
      <c r="EY28">
        <f t="shared" si="9"/>
        <v>0</v>
      </c>
      <c r="EZ28">
        <f t="shared" si="9"/>
        <v>0</v>
      </c>
      <c r="FA28">
        <f t="shared" si="9"/>
        <v>0</v>
      </c>
      <c r="FB28">
        <f t="shared" si="9"/>
        <v>0</v>
      </c>
      <c r="FC28">
        <f t="shared" si="9"/>
        <v>0</v>
      </c>
      <c r="FD28">
        <f t="shared" si="9"/>
        <v>0</v>
      </c>
      <c r="FE28">
        <f t="shared" si="9"/>
        <v>0</v>
      </c>
      <c r="FF28">
        <f t="shared" si="9"/>
        <v>0</v>
      </c>
      <c r="FG28">
        <f t="shared" si="9"/>
        <v>0</v>
      </c>
      <c r="FH28">
        <f t="shared" si="9"/>
        <v>0</v>
      </c>
      <c r="FI28">
        <f t="shared" si="9"/>
        <v>0</v>
      </c>
      <c r="FJ28">
        <f t="shared" si="9"/>
        <v>0</v>
      </c>
      <c r="FK28">
        <f t="shared" si="9"/>
        <v>0</v>
      </c>
      <c r="FL28">
        <f t="shared" si="9"/>
        <v>0</v>
      </c>
      <c r="FM28">
        <f t="shared" si="9"/>
        <v>0</v>
      </c>
      <c r="FN28">
        <f t="shared" si="9"/>
        <v>0</v>
      </c>
      <c r="FO28">
        <f t="shared" si="9"/>
        <v>0</v>
      </c>
      <c r="FP28">
        <f t="shared" si="9"/>
        <v>0</v>
      </c>
      <c r="FQ28">
        <f t="shared" si="9"/>
        <v>0</v>
      </c>
      <c r="FR28">
        <f t="shared" si="9"/>
        <v>0</v>
      </c>
      <c r="FS28">
        <f t="shared" si="9"/>
        <v>0</v>
      </c>
      <c r="FT28">
        <f t="shared" si="9"/>
        <v>0</v>
      </c>
      <c r="FU28">
        <f t="shared" si="9"/>
        <v>0</v>
      </c>
    </row>
    <row r="29" spans="1:177" x14ac:dyDescent="0.25">
      <c r="A29" t="str">
        <f t="shared" ref="A29:D29" si="14">A7</f>
        <v>MP7</v>
      </c>
      <c r="B29" t="str">
        <f t="shared" si="14"/>
        <v>Impire MW</v>
      </c>
      <c r="C29" t="str">
        <f t="shared" si="14"/>
        <v>SMG</v>
      </c>
      <c r="D29" t="str">
        <f t="shared" si="14"/>
        <v>Wildfire</v>
      </c>
      <c r="E29">
        <f t="shared" si="11"/>
        <v>1.02</v>
      </c>
      <c r="F29">
        <f t="shared" si="13"/>
        <v>1</v>
      </c>
      <c r="G29">
        <f t="shared" si="13"/>
        <v>1.04</v>
      </c>
      <c r="H29">
        <f t="shared" si="13"/>
        <v>1.02</v>
      </c>
      <c r="I29">
        <f t="shared" si="13"/>
        <v>1.07</v>
      </c>
      <c r="J29">
        <f t="shared" si="13"/>
        <v>1.07</v>
      </c>
      <c r="K29">
        <f t="shared" si="13"/>
        <v>1.01</v>
      </c>
      <c r="L29">
        <f t="shared" si="13"/>
        <v>1.07</v>
      </c>
      <c r="M29">
        <f t="shared" si="13"/>
        <v>1.02</v>
      </c>
      <c r="N29">
        <f t="shared" si="13"/>
        <v>1.04</v>
      </c>
      <c r="O29">
        <f t="shared" si="13"/>
        <v>1.06</v>
      </c>
      <c r="P29">
        <f t="shared" si="13"/>
        <v>1.05</v>
      </c>
      <c r="Q29">
        <f t="shared" si="13"/>
        <v>1.0900000000000001</v>
      </c>
      <c r="R29">
        <f t="shared" si="13"/>
        <v>1.07</v>
      </c>
      <c r="S29">
        <f t="shared" si="13"/>
        <v>0.98</v>
      </c>
      <c r="T29">
        <f t="shared" si="13"/>
        <v>1.05</v>
      </c>
      <c r="U29">
        <f t="shared" si="13"/>
        <v>1.01</v>
      </c>
      <c r="V29">
        <f t="shared" si="13"/>
        <v>1.05</v>
      </c>
      <c r="W29">
        <f t="shared" si="13"/>
        <v>0.98</v>
      </c>
      <c r="X29">
        <f t="shared" si="13"/>
        <v>1.02</v>
      </c>
      <c r="Y29">
        <f t="shared" si="13"/>
        <v>0.96</v>
      </c>
      <c r="Z29">
        <f t="shared" si="13"/>
        <v>0</v>
      </c>
      <c r="AA29">
        <f t="shared" si="13"/>
        <v>0</v>
      </c>
      <c r="AB29">
        <f t="shared" si="13"/>
        <v>0</v>
      </c>
      <c r="AC29">
        <f t="shared" si="13"/>
        <v>0</v>
      </c>
      <c r="AD29">
        <f t="shared" si="13"/>
        <v>0</v>
      </c>
      <c r="AE29">
        <f t="shared" si="13"/>
        <v>0</v>
      </c>
      <c r="AF29">
        <f t="shared" si="13"/>
        <v>0</v>
      </c>
      <c r="AG29">
        <f t="shared" si="13"/>
        <v>0</v>
      </c>
      <c r="AH29">
        <f t="shared" si="13"/>
        <v>0</v>
      </c>
      <c r="AI29">
        <f t="shared" si="13"/>
        <v>0</v>
      </c>
      <c r="AJ29">
        <f t="shared" si="13"/>
        <v>0</v>
      </c>
      <c r="AK29">
        <f t="shared" si="13"/>
        <v>0</v>
      </c>
      <c r="AL29">
        <f t="shared" si="13"/>
        <v>0</v>
      </c>
      <c r="AM29">
        <f t="shared" si="13"/>
        <v>0</v>
      </c>
      <c r="AN29">
        <f t="shared" si="13"/>
        <v>0</v>
      </c>
      <c r="AO29">
        <f t="shared" si="13"/>
        <v>0</v>
      </c>
      <c r="AP29">
        <f t="shared" si="13"/>
        <v>0</v>
      </c>
      <c r="AQ29">
        <f t="shared" si="13"/>
        <v>0</v>
      </c>
      <c r="AR29">
        <f t="shared" si="13"/>
        <v>0</v>
      </c>
      <c r="AS29">
        <f t="shared" si="13"/>
        <v>0</v>
      </c>
      <c r="AT29">
        <f t="shared" si="13"/>
        <v>0</v>
      </c>
      <c r="AU29">
        <f t="shared" si="13"/>
        <v>0</v>
      </c>
      <c r="AV29">
        <f t="shared" si="13"/>
        <v>0</v>
      </c>
      <c r="AW29">
        <f t="shared" si="13"/>
        <v>0</v>
      </c>
      <c r="AX29">
        <f t="shared" si="13"/>
        <v>0</v>
      </c>
      <c r="AY29">
        <f t="shared" si="13"/>
        <v>0</v>
      </c>
      <c r="AZ29">
        <f t="shared" si="13"/>
        <v>0</v>
      </c>
      <c r="BA29">
        <f t="shared" si="13"/>
        <v>0</v>
      </c>
      <c r="BB29">
        <f t="shared" si="13"/>
        <v>0</v>
      </c>
      <c r="BC29">
        <f t="shared" si="13"/>
        <v>0</v>
      </c>
      <c r="BD29">
        <f t="shared" si="13"/>
        <v>0</v>
      </c>
      <c r="BE29">
        <f t="shared" si="13"/>
        <v>0</v>
      </c>
      <c r="BF29">
        <f t="shared" si="13"/>
        <v>0</v>
      </c>
      <c r="BG29">
        <f t="shared" si="13"/>
        <v>0</v>
      </c>
      <c r="BH29">
        <f t="shared" si="13"/>
        <v>0</v>
      </c>
      <c r="BI29">
        <f t="shared" si="13"/>
        <v>0</v>
      </c>
      <c r="BJ29">
        <f t="shared" si="13"/>
        <v>0</v>
      </c>
      <c r="BK29">
        <f t="shared" si="13"/>
        <v>0</v>
      </c>
      <c r="BL29">
        <f t="shared" si="13"/>
        <v>0</v>
      </c>
      <c r="BM29">
        <f t="shared" si="13"/>
        <v>0</v>
      </c>
      <c r="BN29">
        <f t="shared" si="13"/>
        <v>0</v>
      </c>
      <c r="BO29">
        <f t="shared" si="13"/>
        <v>0</v>
      </c>
      <c r="BP29">
        <f t="shared" si="13"/>
        <v>0</v>
      </c>
      <c r="BQ29">
        <f t="shared" si="13"/>
        <v>0</v>
      </c>
      <c r="BR29">
        <f t="shared" si="8"/>
        <v>0</v>
      </c>
      <c r="BS29">
        <f t="shared" si="8"/>
        <v>0</v>
      </c>
      <c r="BT29">
        <f t="shared" si="8"/>
        <v>0</v>
      </c>
      <c r="BU29">
        <f t="shared" si="8"/>
        <v>0</v>
      </c>
      <c r="BV29">
        <f t="shared" si="8"/>
        <v>0</v>
      </c>
      <c r="BW29">
        <f t="shared" si="8"/>
        <v>0</v>
      </c>
      <c r="BX29">
        <f t="shared" si="8"/>
        <v>0</v>
      </c>
      <c r="BY29">
        <f t="shared" si="8"/>
        <v>0</v>
      </c>
      <c r="BZ29">
        <f t="shared" si="8"/>
        <v>0</v>
      </c>
      <c r="CA29">
        <f t="shared" si="8"/>
        <v>0</v>
      </c>
      <c r="CB29">
        <f t="shared" si="8"/>
        <v>0</v>
      </c>
      <c r="CC29">
        <f t="shared" si="8"/>
        <v>0</v>
      </c>
      <c r="CD29">
        <f t="shared" si="8"/>
        <v>0</v>
      </c>
      <c r="CE29">
        <f t="shared" si="8"/>
        <v>0</v>
      </c>
      <c r="CF29">
        <f t="shared" si="8"/>
        <v>0</v>
      </c>
      <c r="CG29">
        <f t="shared" si="8"/>
        <v>0</v>
      </c>
      <c r="CH29">
        <f t="shared" si="8"/>
        <v>0</v>
      </c>
      <c r="CI29">
        <f t="shared" si="8"/>
        <v>0</v>
      </c>
      <c r="CJ29">
        <f t="shared" si="8"/>
        <v>0</v>
      </c>
      <c r="CK29">
        <f t="shared" si="8"/>
        <v>0</v>
      </c>
      <c r="CL29">
        <f t="shared" si="8"/>
        <v>0</v>
      </c>
      <c r="CM29">
        <f t="shared" si="8"/>
        <v>0</v>
      </c>
      <c r="CN29">
        <f t="shared" si="8"/>
        <v>0</v>
      </c>
      <c r="CO29">
        <f t="shared" si="8"/>
        <v>0</v>
      </c>
      <c r="CP29">
        <f t="shared" si="8"/>
        <v>0</v>
      </c>
      <c r="CQ29">
        <f t="shared" si="8"/>
        <v>0</v>
      </c>
      <c r="CR29">
        <f t="shared" si="8"/>
        <v>0</v>
      </c>
      <c r="CS29">
        <f t="shared" si="8"/>
        <v>0</v>
      </c>
      <c r="CT29">
        <f t="shared" si="8"/>
        <v>0</v>
      </c>
      <c r="CU29">
        <f t="shared" si="8"/>
        <v>0</v>
      </c>
      <c r="CV29">
        <f t="shared" si="8"/>
        <v>0</v>
      </c>
      <c r="CW29">
        <f t="shared" si="8"/>
        <v>0</v>
      </c>
      <c r="CX29">
        <f t="shared" si="8"/>
        <v>0</v>
      </c>
      <c r="CY29">
        <f t="shared" si="8"/>
        <v>0</v>
      </c>
      <c r="CZ29">
        <f t="shared" si="8"/>
        <v>0</v>
      </c>
      <c r="DA29">
        <f t="shared" si="8"/>
        <v>0</v>
      </c>
      <c r="DB29">
        <f t="shared" si="8"/>
        <v>0</v>
      </c>
      <c r="DC29">
        <f t="shared" si="8"/>
        <v>0</v>
      </c>
      <c r="DD29">
        <f t="shared" si="8"/>
        <v>0</v>
      </c>
      <c r="DE29">
        <f t="shared" si="8"/>
        <v>0</v>
      </c>
      <c r="DF29">
        <f t="shared" si="8"/>
        <v>0</v>
      </c>
      <c r="DG29">
        <f t="shared" si="8"/>
        <v>0</v>
      </c>
      <c r="DH29">
        <f t="shared" si="8"/>
        <v>0</v>
      </c>
      <c r="DI29">
        <f t="shared" si="8"/>
        <v>0</v>
      </c>
      <c r="DJ29">
        <f t="shared" si="8"/>
        <v>0</v>
      </c>
      <c r="DK29">
        <f t="shared" si="8"/>
        <v>0</v>
      </c>
      <c r="DL29">
        <f t="shared" si="8"/>
        <v>0</v>
      </c>
      <c r="DM29">
        <f t="shared" si="8"/>
        <v>0</v>
      </c>
      <c r="DN29">
        <f t="shared" si="8"/>
        <v>0</v>
      </c>
      <c r="DO29">
        <f t="shared" si="8"/>
        <v>0</v>
      </c>
      <c r="DP29">
        <f t="shared" si="8"/>
        <v>0</v>
      </c>
      <c r="DQ29">
        <f t="shared" si="8"/>
        <v>0</v>
      </c>
      <c r="DR29">
        <f t="shared" si="8"/>
        <v>0</v>
      </c>
      <c r="DS29">
        <f t="shared" si="8"/>
        <v>0</v>
      </c>
      <c r="DT29">
        <f t="shared" si="8"/>
        <v>0</v>
      </c>
      <c r="DU29">
        <f t="shared" si="8"/>
        <v>0</v>
      </c>
      <c r="DV29">
        <f t="shared" si="8"/>
        <v>0</v>
      </c>
      <c r="DW29">
        <f t="shared" si="8"/>
        <v>0</v>
      </c>
      <c r="DX29">
        <f t="shared" si="8"/>
        <v>0</v>
      </c>
      <c r="DY29">
        <f t="shared" si="8"/>
        <v>0</v>
      </c>
      <c r="DZ29">
        <f t="shared" si="8"/>
        <v>0</v>
      </c>
      <c r="EA29">
        <f t="shared" si="8"/>
        <v>0</v>
      </c>
      <c r="EB29">
        <f t="shared" si="8"/>
        <v>0</v>
      </c>
      <c r="EC29">
        <f t="shared" ref="EC29:FU34" si="15">EC7-ROUNDUP(EC7*0.3,2)</f>
        <v>0</v>
      </c>
      <c r="ED29">
        <f t="shared" si="15"/>
        <v>0</v>
      </c>
      <c r="EE29">
        <f t="shared" si="15"/>
        <v>0</v>
      </c>
      <c r="EF29">
        <f t="shared" si="15"/>
        <v>0</v>
      </c>
      <c r="EG29">
        <f t="shared" si="15"/>
        <v>0</v>
      </c>
      <c r="EH29">
        <f t="shared" si="15"/>
        <v>0</v>
      </c>
      <c r="EI29">
        <f t="shared" si="15"/>
        <v>0</v>
      </c>
      <c r="EJ29">
        <f t="shared" si="15"/>
        <v>0</v>
      </c>
      <c r="EK29">
        <f t="shared" si="15"/>
        <v>0</v>
      </c>
      <c r="EL29">
        <f t="shared" si="15"/>
        <v>0</v>
      </c>
      <c r="EM29">
        <f t="shared" si="15"/>
        <v>0</v>
      </c>
      <c r="EN29">
        <f t="shared" si="15"/>
        <v>0</v>
      </c>
      <c r="EO29">
        <f t="shared" si="15"/>
        <v>0</v>
      </c>
      <c r="EP29">
        <f t="shared" si="15"/>
        <v>0</v>
      </c>
      <c r="EQ29">
        <f t="shared" si="15"/>
        <v>0</v>
      </c>
      <c r="ER29">
        <f t="shared" si="15"/>
        <v>0</v>
      </c>
      <c r="ES29">
        <f t="shared" si="15"/>
        <v>0</v>
      </c>
      <c r="ET29">
        <f t="shared" si="15"/>
        <v>0</v>
      </c>
      <c r="EU29">
        <f t="shared" si="15"/>
        <v>0</v>
      </c>
      <c r="EV29">
        <f t="shared" si="15"/>
        <v>0</v>
      </c>
      <c r="EW29">
        <f t="shared" si="15"/>
        <v>0</v>
      </c>
      <c r="EX29">
        <f t="shared" si="15"/>
        <v>0</v>
      </c>
      <c r="EY29">
        <f t="shared" si="15"/>
        <v>0</v>
      </c>
      <c r="EZ29">
        <f t="shared" si="15"/>
        <v>0</v>
      </c>
      <c r="FA29">
        <f t="shared" si="15"/>
        <v>0</v>
      </c>
      <c r="FB29">
        <f t="shared" si="15"/>
        <v>0</v>
      </c>
      <c r="FC29">
        <f t="shared" si="15"/>
        <v>0</v>
      </c>
      <c r="FD29">
        <f t="shared" si="15"/>
        <v>0</v>
      </c>
      <c r="FE29">
        <f t="shared" si="15"/>
        <v>0</v>
      </c>
      <c r="FF29">
        <f t="shared" si="15"/>
        <v>0</v>
      </c>
      <c r="FG29">
        <f t="shared" si="15"/>
        <v>0</v>
      </c>
      <c r="FH29">
        <f t="shared" si="15"/>
        <v>0</v>
      </c>
      <c r="FI29">
        <f t="shared" si="15"/>
        <v>0</v>
      </c>
      <c r="FJ29">
        <f t="shared" si="15"/>
        <v>0</v>
      </c>
      <c r="FK29">
        <f t="shared" si="15"/>
        <v>0</v>
      </c>
      <c r="FL29">
        <f t="shared" si="15"/>
        <v>0</v>
      </c>
      <c r="FM29">
        <f t="shared" si="15"/>
        <v>0</v>
      </c>
      <c r="FN29">
        <f t="shared" si="15"/>
        <v>0</v>
      </c>
      <c r="FO29">
        <f t="shared" si="15"/>
        <v>0</v>
      </c>
      <c r="FP29">
        <f t="shared" si="15"/>
        <v>0</v>
      </c>
      <c r="FQ29">
        <f t="shared" si="15"/>
        <v>0</v>
      </c>
      <c r="FR29">
        <f t="shared" si="15"/>
        <v>0</v>
      </c>
      <c r="FS29">
        <f t="shared" si="15"/>
        <v>0</v>
      </c>
      <c r="FT29">
        <f t="shared" si="15"/>
        <v>0</v>
      </c>
      <c r="FU29">
        <f t="shared" si="15"/>
        <v>0</v>
      </c>
    </row>
    <row r="30" spans="1:177" x14ac:dyDescent="0.25">
      <c r="A30" t="str">
        <f t="shared" ref="A30:D30" si="16">A8</f>
        <v>MAC-10</v>
      </c>
      <c r="B30" t="str">
        <f t="shared" si="16"/>
        <v>Malachite MW</v>
      </c>
      <c r="C30" t="str">
        <f t="shared" si="16"/>
        <v>SMG</v>
      </c>
      <c r="D30" t="str">
        <f t="shared" si="16"/>
        <v>Chroma</v>
      </c>
      <c r="E30">
        <f t="shared" si="11"/>
        <v>1.05</v>
      </c>
      <c r="F30">
        <f t="shared" si="13"/>
        <v>1.01</v>
      </c>
      <c r="G30">
        <f t="shared" si="13"/>
        <v>0.98</v>
      </c>
      <c r="H30">
        <f t="shared" si="13"/>
        <v>0.97</v>
      </c>
      <c r="I30">
        <f t="shared" si="13"/>
        <v>1.05</v>
      </c>
      <c r="J30">
        <f t="shared" si="13"/>
        <v>1.07</v>
      </c>
      <c r="K30">
        <f t="shared" si="13"/>
        <v>1.02</v>
      </c>
      <c r="L30">
        <f t="shared" si="13"/>
        <v>1.08</v>
      </c>
      <c r="M30">
        <f t="shared" si="13"/>
        <v>1.08</v>
      </c>
      <c r="N30">
        <f t="shared" si="13"/>
        <v>1.05</v>
      </c>
      <c r="O30">
        <f t="shared" si="13"/>
        <v>1.04</v>
      </c>
      <c r="P30">
        <f t="shared" si="13"/>
        <v>1.05</v>
      </c>
      <c r="Q30">
        <f t="shared" si="13"/>
        <v>1.05</v>
      </c>
      <c r="R30">
        <f t="shared" si="13"/>
        <v>1.07</v>
      </c>
      <c r="S30">
        <f t="shared" si="13"/>
        <v>1.07</v>
      </c>
      <c r="T30">
        <f t="shared" si="13"/>
        <v>1.08</v>
      </c>
      <c r="U30">
        <f t="shared" si="13"/>
        <v>1.0900000000000001</v>
      </c>
      <c r="V30">
        <f t="shared" si="13"/>
        <v>1.06</v>
      </c>
      <c r="W30">
        <f t="shared" si="13"/>
        <v>1.02</v>
      </c>
      <c r="X30">
        <f t="shared" si="13"/>
        <v>1.05</v>
      </c>
      <c r="Y30">
        <f t="shared" si="13"/>
        <v>1.06</v>
      </c>
      <c r="Z30">
        <f t="shared" si="13"/>
        <v>0</v>
      </c>
      <c r="AA30">
        <f t="shared" si="13"/>
        <v>0</v>
      </c>
      <c r="AB30">
        <f t="shared" si="13"/>
        <v>0</v>
      </c>
      <c r="AC30">
        <f t="shared" si="13"/>
        <v>0</v>
      </c>
      <c r="AD30">
        <f t="shared" si="13"/>
        <v>0</v>
      </c>
      <c r="AE30">
        <f t="shared" si="13"/>
        <v>0</v>
      </c>
      <c r="AF30">
        <f t="shared" si="13"/>
        <v>0</v>
      </c>
      <c r="AG30">
        <f t="shared" si="13"/>
        <v>0</v>
      </c>
      <c r="AH30">
        <f t="shared" si="13"/>
        <v>0</v>
      </c>
      <c r="AI30">
        <f t="shared" si="13"/>
        <v>0</v>
      </c>
      <c r="AJ30">
        <f t="shared" si="13"/>
        <v>0</v>
      </c>
      <c r="AK30">
        <f t="shared" si="13"/>
        <v>0</v>
      </c>
      <c r="AL30">
        <f t="shared" si="13"/>
        <v>0</v>
      </c>
      <c r="AM30">
        <f t="shared" si="13"/>
        <v>0</v>
      </c>
      <c r="AN30">
        <f t="shared" si="13"/>
        <v>0</v>
      </c>
      <c r="AO30">
        <f t="shared" si="13"/>
        <v>0</v>
      </c>
      <c r="AP30">
        <f t="shared" si="13"/>
        <v>0</v>
      </c>
      <c r="AQ30">
        <f t="shared" si="13"/>
        <v>0</v>
      </c>
      <c r="AR30">
        <f t="shared" si="13"/>
        <v>0</v>
      </c>
      <c r="AS30">
        <f t="shared" si="13"/>
        <v>0</v>
      </c>
      <c r="AT30">
        <f t="shared" si="13"/>
        <v>0</v>
      </c>
      <c r="AU30">
        <f t="shared" si="13"/>
        <v>0</v>
      </c>
      <c r="AV30">
        <f t="shared" si="13"/>
        <v>0</v>
      </c>
      <c r="AW30">
        <f t="shared" si="13"/>
        <v>0</v>
      </c>
      <c r="AX30">
        <f t="shared" si="13"/>
        <v>0</v>
      </c>
      <c r="AY30">
        <f t="shared" si="13"/>
        <v>0</v>
      </c>
      <c r="AZ30">
        <f t="shared" si="13"/>
        <v>0</v>
      </c>
      <c r="BA30">
        <f t="shared" si="13"/>
        <v>0</v>
      </c>
      <c r="BB30">
        <f t="shared" si="13"/>
        <v>0</v>
      </c>
      <c r="BC30">
        <f t="shared" si="13"/>
        <v>0</v>
      </c>
      <c r="BD30">
        <f t="shared" si="13"/>
        <v>0</v>
      </c>
      <c r="BE30">
        <f t="shared" si="13"/>
        <v>0</v>
      </c>
      <c r="BF30">
        <f t="shared" si="13"/>
        <v>0</v>
      </c>
      <c r="BG30">
        <f t="shared" si="13"/>
        <v>0</v>
      </c>
      <c r="BH30">
        <f t="shared" si="13"/>
        <v>0</v>
      </c>
      <c r="BI30">
        <f t="shared" si="13"/>
        <v>0</v>
      </c>
      <c r="BJ30">
        <f t="shared" si="13"/>
        <v>0</v>
      </c>
      <c r="BK30">
        <f t="shared" si="13"/>
        <v>0</v>
      </c>
      <c r="BL30">
        <f t="shared" si="13"/>
        <v>0</v>
      </c>
      <c r="BM30">
        <f t="shared" si="13"/>
        <v>0</v>
      </c>
      <c r="BN30">
        <f t="shared" si="13"/>
        <v>0</v>
      </c>
      <c r="BO30">
        <f t="shared" si="13"/>
        <v>0</v>
      </c>
      <c r="BP30">
        <f t="shared" si="13"/>
        <v>0</v>
      </c>
      <c r="BQ30">
        <f t="shared" si="13"/>
        <v>0</v>
      </c>
      <c r="BR30">
        <f t="shared" ref="BR30:EC39" si="17">BR8-ROUNDUP(BR8*0.3,2)</f>
        <v>0</v>
      </c>
      <c r="BS30">
        <f t="shared" si="17"/>
        <v>0</v>
      </c>
      <c r="BT30">
        <f t="shared" si="17"/>
        <v>0</v>
      </c>
      <c r="BU30">
        <f t="shared" si="17"/>
        <v>0</v>
      </c>
      <c r="BV30">
        <f t="shared" si="17"/>
        <v>0</v>
      </c>
      <c r="BW30">
        <f t="shared" si="17"/>
        <v>0</v>
      </c>
      <c r="BX30">
        <f t="shared" si="17"/>
        <v>0</v>
      </c>
      <c r="BY30">
        <f t="shared" si="17"/>
        <v>0</v>
      </c>
      <c r="BZ30">
        <f t="shared" si="17"/>
        <v>0</v>
      </c>
      <c r="CA30">
        <f t="shared" si="17"/>
        <v>0</v>
      </c>
      <c r="CB30">
        <f t="shared" si="17"/>
        <v>0</v>
      </c>
      <c r="CC30">
        <f t="shared" si="17"/>
        <v>0</v>
      </c>
      <c r="CD30">
        <f t="shared" si="17"/>
        <v>0</v>
      </c>
      <c r="CE30">
        <f t="shared" si="17"/>
        <v>0</v>
      </c>
      <c r="CF30">
        <f t="shared" si="17"/>
        <v>0</v>
      </c>
      <c r="CG30">
        <f t="shared" si="17"/>
        <v>0</v>
      </c>
      <c r="CH30">
        <f t="shared" si="17"/>
        <v>0</v>
      </c>
      <c r="CI30">
        <f t="shared" si="17"/>
        <v>0</v>
      </c>
      <c r="CJ30">
        <f t="shared" si="17"/>
        <v>0</v>
      </c>
      <c r="CK30">
        <f t="shared" si="17"/>
        <v>0</v>
      </c>
      <c r="CL30">
        <f t="shared" si="17"/>
        <v>0</v>
      </c>
      <c r="CM30">
        <f t="shared" si="17"/>
        <v>0</v>
      </c>
      <c r="CN30">
        <f t="shared" si="17"/>
        <v>0</v>
      </c>
      <c r="CO30">
        <f t="shared" si="17"/>
        <v>0</v>
      </c>
      <c r="CP30">
        <f t="shared" si="17"/>
        <v>0</v>
      </c>
      <c r="CQ30">
        <f t="shared" si="17"/>
        <v>0</v>
      </c>
      <c r="CR30">
        <f t="shared" si="17"/>
        <v>0</v>
      </c>
      <c r="CS30">
        <f t="shared" si="17"/>
        <v>0</v>
      </c>
      <c r="CT30">
        <f t="shared" si="17"/>
        <v>0</v>
      </c>
      <c r="CU30">
        <f t="shared" si="17"/>
        <v>0</v>
      </c>
      <c r="CV30">
        <f t="shared" si="17"/>
        <v>0</v>
      </c>
      <c r="CW30">
        <f t="shared" si="17"/>
        <v>0</v>
      </c>
      <c r="CX30">
        <f t="shared" si="17"/>
        <v>0</v>
      </c>
      <c r="CY30">
        <f t="shared" si="17"/>
        <v>0</v>
      </c>
      <c r="CZ30">
        <f t="shared" si="17"/>
        <v>0</v>
      </c>
      <c r="DA30">
        <f t="shared" si="17"/>
        <v>0</v>
      </c>
      <c r="DB30">
        <f t="shared" si="17"/>
        <v>0</v>
      </c>
      <c r="DC30">
        <f t="shared" si="17"/>
        <v>0</v>
      </c>
      <c r="DD30">
        <f t="shared" si="17"/>
        <v>0</v>
      </c>
      <c r="DE30">
        <f t="shared" si="17"/>
        <v>0</v>
      </c>
      <c r="DF30">
        <f t="shared" si="17"/>
        <v>0</v>
      </c>
      <c r="DG30">
        <f t="shared" si="17"/>
        <v>0</v>
      </c>
      <c r="DH30">
        <f t="shared" si="17"/>
        <v>0</v>
      </c>
      <c r="DI30">
        <f t="shared" si="17"/>
        <v>0</v>
      </c>
      <c r="DJ30">
        <f t="shared" si="17"/>
        <v>0</v>
      </c>
      <c r="DK30">
        <f t="shared" si="17"/>
        <v>0</v>
      </c>
      <c r="DL30">
        <f t="shared" si="17"/>
        <v>0</v>
      </c>
      <c r="DM30">
        <f t="shared" si="17"/>
        <v>0</v>
      </c>
      <c r="DN30">
        <f t="shared" si="17"/>
        <v>0</v>
      </c>
      <c r="DO30">
        <f t="shared" si="17"/>
        <v>0</v>
      </c>
      <c r="DP30">
        <f t="shared" si="17"/>
        <v>0</v>
      </c>
      <c r="DQ30">
        <f t="shared" si="17"/>
        <v>0</v>
      </c>
      <c r="DR30">
        <f t="shared" si="17"/>
        <v>0</v>
      </c>
      <c r="DS30">
        <f t="shared" si="17"/>
        <v>0</v>
      </c>
      <c r="DT30">
        <f t="shared" si="17"/>
        <v>0</v>
      </c>
      <c r="DU30">
        <f t="shared" si="17"/>
        <v>0</v>
      </c>
      <c r="DV30">
        <f t="shared" si="17"/>
        <v>0</v>
      </c>
      <c r="DW30">
        <f t="shared" si="17"/>
        <v>0</v>
      </c>
      <c r="DX30">
        <f t="shared" si="17"/>
        <v>0</v>
      </c>
      <c r="DY30">
        <f t="shared" si="17"/>
        <v>0</v>
      </c>
      <c r="DZ30">
        <f t="shared" si="17"/>
        <v>0</v>
      </c>
      <c r="EA30">
        <f t="shared" si="17"/>
        <v>0</v>
      </c>
      <c r="EB30">
        <f t="shared" si="17"/>
        <v>0</v>
      </c>
      <c r="EC30">
        <f t="shared" si="17"/>
        <v>0</v>
      </c>
      <c r="ED30">
        <f t="shared" si="15"/>
        <v>0</v>
      </c>
      <c r="EE30">
        <f t="shared" si="15"/>
        <v>0</v>
      </c>
      <c r="EF30">
        <f t="shared" si="15"/>
        <v>0</v>
      </c>
      <c r="EG30">
        <f t="shared" si="15"/>
        <v>0</v>
      </c>
      <c r="EH30">
        <f t="shared" si="15"/>
        <v>0</v>
      </c>
      <c r="EI30">
        <f t="shared" si="15"/>
        <v>0</v>
      </c>
      <c r="EJ30">
        <f t="shared" si="15"/>
        <v>0</v>
      </c>
      <c r="EK30">
        <f t="shared" si="15"/>
        <v>0</v>
      </c>
      <c r="EL30">
        <f t="shared" si="15"/>
        <v>0</v>
      </c>
      <c r="EM30">
        <f t="shared" si="15"/>
        <v>0</v>
      </c>
      <c r="EN30">
        <f t="shared" si="15"/>
        <v>0</v>
      </c>
      <c r="EO30">
        <f t="shared" si="15"/>
        <v>0</v>
      </c>
      <c r="EP30">
        <f t="shared" si="15"/>
        <v>0</v>
      </c>
      <c r="EQ30">
        <f t="shared" si="15"/>
        <v>0</v>
      </c>
      <c r="ER30">
        <f t="shared" si="15"/>
        <v>0</v>
      </c>
      <c r="ES30">
        <f t="shared" si="15"/>
        <v>0</v>
      </c>
      <c r="ET30">
        <f t="shared" si="15"/>
        <v>0</v>
      </c>
      <c r="EU30">
        <f t="shared" si="15"/>
        <v>0</v>
      </c>
      <c r="EV30">
        <f t="shared" si="15"/>
        <v>0</v>
      </c>
      <c r="EW30">
        <f t="shared" si="15"/>
        <v>0</v>
      </c>
      <c r="EX30">
        <f t="shared" si="15"/>
        <v>0</v>
      </c>
      <c r="EY30">
        <f t="shared" si="15"/>
        <v>0</v>
      </c>
      <c r="EZ30">
        <f t="shared" si="15"/>
        <v>0</v>
      </c>
      <c r="FA30">
        <f t="shared" si="15"/>
        <v>0</v>
      </c>
      <c r="FB30">
        <f t="shared" si="15"/>
        <v>0</v>
      </c>
      <c r="FC30">
        <f t="shared" si="15"/>
        <v>0</v>
      </c>
      <c r="FD30">
        <f t="shared" si="15"/>
        <v>0</v>
      </c>
      <c r="FE30">
        <f t="shared" si="15"/>
        <v>0</v>
      </c>
      <c r="FF30">
        <f t="shared" si="15"/>
        <v>0</v>
      </c>
      <c r="FG30">
        <f t="shared" si="15"/>
        <v>0</v>
      </c>
      <c r="FH30">
        <f t="shared" si="15"/>
        <v>0</v>
      </c>
      <c r="FI30">
        <f t="shared" si="15"/>
        <v>0</v>
      </c>
      <c r="FJ30">
        <f t="shared" si="15"/>
        <v>0</v>
      </c>
      <c r="FK30">
        <f t="shared" si="15"/>
        <v>0</v>
      </c>
      <c r="FL30">
        <f t="shared" si="15"/>
        <v>0</v>
      </c>
      <c r="FM30">
        <f t="shared" si="15"/>
        <v>0</v>
      </c>
      <c r="FN30">
        <f t="shared" si="15"/>
        <v>0</v>
      </c>
      <c r="FO30">
        <f t="shared" si="15"/>
        <v>0</v>
      </c>
      <c r="FP30">
        <f t="shared" si="15"/>
        <v>0</v>
      </c>
      <c r="FQ30">
        <f t="shared" si="15"/>
        <v>0</v>
      </c>
      <c r="FR30">
        <f t="shared" si="15"/>
        <v>0</v>
      </c>
      <c r="FS30">
        <f t="shared" si="15"/>
        <v>0</v>
      </c>
      <c r="FT30">
        <f t="shared" si="15"/>
        <v>0</v>
      </c>
      <c r="FU30">
        <f t="shared" si="15"/>
        <v>0</v>
      </c>
    </row>
    <row r="31" spans="1:177" x14ac:dyDescent="0.25">
      <c r="A31" t="str">
        <f t="shared" ref="A31:D31" si="18">A9</f>
        <v>MP5-SD</v>
      </c>
      <c r="B31" t="str">
        <f t="shared" si="18"/>
        <v>Bamboo Garden MW</v>
      </c>
      <c r="C31" t="str">
        <f t="shared" si="18"/>
        <v>SMG</v>
      </c>
      <c r="D31" t="str">
        <f t="shared" si="18"/>
        <v>St. Marc</v>
      </c>
      <c r="E31">
        <f t="shared" si="11"/>
        <v>0.36</v>
      </c>
      <c r="F31">
        <f t="shared" si="13"/>
        <v>0.32999999999999996</v>
      </c>
      <c r="G31">
        <f t="shared" si="13"/>
        <v>0.37</v>
      </c>
      <c r="H31">
        <f t="shared" si="13"/>
        <v>0.38</v>
      </c>
      <c r="I31">
        <f t="shared" si="13"/>
        <v>0.37</v>
      </c>
      <c r="J31">
        <f t="shared" si="13"/>
        <v>0.42</v>
      </c>
      <c r="K31">
        <f t="shared" si="13"/>
        <v>0.53</v>
      </c>
      <c r="L31">
        <f t="shared" si="13"/>
        <v>0.54</v>
      </c>
      <c r="M31">
        <f t="shared" si="13"/>
        <v>0.57999999999999996</v>
      </c>
      <c r="N31">
        <f t="shared" si="13"/>
        <v>0.74</v>
      </c>
      <c r="O31">
        <f t="shared" si="13"/>
        <v>0.9</v>
      </c>
      <c r="P31">
        <f t="shared" si="13"/>
        <v>0.84</v>
      </c>
      <c r="Q31">
        <f t="shared" si="13"/>
        <v>0.76</v>
      </c>
      <c r="R31">
        <f t="shared" si="13"/>
        <v>0.72</v>
      </c>
      <c r="S31">
        <f t="shared" si="13"/>
        <v>0.67999999999999994</v>
      </c>
      <c r="T31">
        <f t="shared" si="13"/>
        <v>0.65</v>
      </c>
      <c r="U31">
        <f t="shared" si="13"/>
        <v>0.7</v>
      </c>
      <c r="V31">
        <f t="shared" si="13"/>
        <v>0.75</v>
      </c>
      <c r="W31">
        <f t="shared" si="13"/>
        <v>0.86</v>
      </c>
      <c r="X31">
        <f t="shared" si="13"/>
        <v>0.98</v>
      </c>
      <c r="Y31">
        <f t="shared" si="13"/>
        <v>0.91</v>
      </c>
      <c r="Z31">
        <f t="shared" si="13"/>
        <v>0</v>
      </c>
      <c r="AA31">
        <f t="shared" si="13"/>
        <v>0</v>
      </c>
      <c r="AB31">
        <f t="shared" si="13"/>
        <v>0</v>
      </c>
      <c r="AC31">
        <f t="shared" si="13"/>
        <v>0</v>
      </c>
      <c r="AD31">
        <f t="shared" si="13"/>
        <v>0</v>
      </c>
      <c r="AE31">
        <f t="shared" si="13"/>
        <v>0</v>
      </c>
      <c r="AF31">
        <f t="shared" si="13"/>
        <v>0</v>
      </c>
      <c r="AG31">
        <f t="shared" si="13"/>
        <v>0</v>
      </c>
      <c r="AH31">
        <f t="shared" si="13"/>
        <v>0</v>
      </c>
      <c r="AI31">
        <f t="shared" si="13"/>
        <v>0</v>
      </c>
      <c r="AJ31">
        <f t="shared" si="13"/>
        <v>0</v>
      </c>
      <c r="AK31">
        <f t="shared" si="13"/>
        <v>0</v>
      </c>
      <c r="AL31">
        <f t="shared" si="13"/>
        <v>0</v>
      </c>
      <c r="AM31">
        <f t="shared" si="13"/>
        <v>0</v>
      </c>
      <c r="AN31">
        <f t="shared" si="13"/>
        <v>0</v>
      </c>
      <c r="AO31">
        <f t="shared" si="13"/>
        <v>0</v>
      </c>
      <c r="AP31">
        <f t="shared" si="13"/>
        <v>0</v>
      </c>
      <c r="AQ31">
        <f t="shared" si="13"/>
        <v>0</v>
      </c>
      <c r="AR31">
        <f t="shared" si="13"/>
        <v>0</v>
      </c>
      <c r="AS31">
        <f t="shared" si="13"/>
        <v>0</v>
      </c>
      <c r="AT31">
        <f t="shared" si="13"/>
        <v>0</v>
      </c>
      <c r="AU31">
        <f t="shared" si="13"/>
        <v>0</v>
      </c>
      <c r="AV31">
        <f t="shared" si="13"/>
        <v>0</v>
      </c>
      <c r="AW31">
        <f t="shared" si="13"/>
        <v>0</v>
      </c>
      <c r="AX31">
        <f t="shared" si="13"/>
        <v>0</v>
      </c>
      <c r="AY31">
        <f t="shared" si="13"/>
        <v>0</v>
      </c>
      <c r="AZ31">
        <f t="shared" si="13"/>
        <v>0</v>
      </c>
      <c r="BA31">
        <f t="shared" si="13"/>
        <v>0</v>
      </c>
      <c r="BB31">
        <f t="shared" si="13"/>
        <v>0</v>
      </c>
      <c r="BC31">
        <f t="shared" si="13"/>
        <v>0</v>
      </c>
      <c r="BD31">
        <f t="shared" si="13"/>
        <v>0</v>
      </c>
      <c r="BE31">
        <f t="shared" si="13"/>
        <v>0</v>
      </c>
      <c r="BF31">
        <f t="shared" si="13"/>
        <v>0</v>
      </c>
      <c r="BG31">
        <f t="shared" si="13"/>
        <v>0</v>
      </c>
      <c r="BH31">
        <f t="shared" si="13"/>
        <v>0</v>
      </c>
      <c r="BI31">
        <f t="shared" si="13"/>
        <v>0</v>
      </c>
      <c r="BJ31">
        <f t="shared" si="13"/>
        <v>0</v>
      </c>
      <c r="BK31">
        <f t="shared" si="13"/>
        <v>0</v>
      </c>
      <c r="BL31">
        <f t="shared" si="13"/>
        <v>0</v>
      </c>
      <c r="BM31">
        <f t="shared" si="13"/>
        <v>0</v>
      </c>
      <c r="BN31">
        <f t="shared" si="13"/>
        <v>0</v>
      </c>
      <c r="BO31">
        <f t="shared" si="13"/>
        <v>0</v>
      </c>
      <c r="BP31">
        <f t="shared" si="13"/>
        <v>0</v>
      </c>
      <c r="BQ31">
        <f t="shared" ref="BQ31:EB34" si="19">BQ9-ROUNDUP(BQ9*0.3,2)</f>
        <v>0</v>
      </c>
      <c r="BR31">
        <f t="shared" si="19"/>
        <v>0</v>
      </c>
      <c r="BS31">
        <f t="shared" si="19"/>
        <v>0</v>
      </c>
      <c r="BT31">
        <f t="shared" si="19"/>
        <v>0</v>
      </c>
      <c r="BU31">
        <f t="shared" si="19"/>
        <v>0</v>
      </c>
      <c r="BV31">
        <f t="shared" si="19"/>
        <v>0</v>
      </c>
      <c r="BW31">
        <f t="shared" si="19"/>
        <v>0</v>
      </c>
      <c r="BX31">
        <f t="shared" si="19"/>
        <v>0</v>
      </c>
      <c r="BY31">
        <f t="shared" si="19"/>
        <v>0</v>
      </c>
      <c r="BZ31">
        <f t="shared" si="19"/>
        <v>0</v>
      </c>
      <c r="CA31">
        <f t="shared" si="19"/>
        <v>0</v>
      </c>
      <c r="CB31">
        <f t="shared" si="19"/>
        <v>0</v>
      </c>
      <c r="CC31">
        <f t="shared" si="19"/>
        <v>0</v>
      </c>
      <c r="CD31">
        <f t="shared" si="19"/>
        <v>0</v>
      </c>
      <c r="CE31">
        <f t="shared" si="19"/>
        <v>0</v>
      </c>
      <c r="CF31">
        <f t="shared" si="19"/>
        <v>0</v>
      </c>
      <c r="CG31">
        <f t="shared" si="19"/>
        <v>0</v>
      </c>
      <c r="CH31">
        <f t="shared" si="19"/>
        <v>0</v>
      </c>
      <c r="CI31">
        <f t="shared" si="19"/>
        <v>0</v>
      </c>
      <c r="CJ31">
        <f t="shared" si="19"/>
        <v>0</v>
      </c>
      <c r="CK31">
        <f t="shared" si="19"/>
        <v>0</v>
      </c>
      <c r="CL31">
        <f t="shared" si="19"/>
        <v>0</v>
      </c>
      <c r="CM31">
        <f t="shared" si="19"/>
        <v>0</v>
      </c>
      <c r="CN31">
        <f t="shared" si="19"/>
        <v>0</v>
      </c>
      <c r="CO31">
        <f t="shared" si="19"/>
        <v>0</v>
      </c>
      <c r="CP31">
        <f t="shared" si="19"/>
        <v>0</v>
      </c>
      <c r="CQ31">
        <f t="shared" si="19"/>
        <v>0</v>
      </c>
      <c r="CR31">
        <f t="shared" si="19"/>
        <v>0</v>
      </c>
      <c r="CS31">
        <f t="shared" si="19"/>
        <v>0</v>
      </c>
      <c r="CT31">
        <f t="shared" si="19"/>
        <v>0</v>
      </c>
      <c r="CU31">
        <f t="shared" si="19"/>
        <v>0</v>
      </c>
      <c r="CV31">
        <f t="shared" si="19"/>
        <v>0</v>
      </c>
      <c r="CW31">
        <f t="shared" si="19"/>
        <v>0</v>
      </c>
      <c r="CX31">
        <f t="shared" si="19"/>
        <v>0</v>
      </c>
      <c r="CY31">
        <f t="shared" si="19"/>
        <v>0</v>
      </c>
      <c r="CZ31">
        <f t="shared" si="19"/>
        <v>0</v>
      </c>
      <c r="DA31">
        <f t="shared" si="19"/>
        <v>0</v>
      </c>
      <c r="DB31">
        <f t="shared" si="19"/>
        <v>0</v>
      </c>
      <c r="DC31">
        <f t="shared" si="19"/>
        <v>0</v>
      </c>
      <c r="DD31">
        <f t="shared" si="19"/>
        <v>0</v>
      </c>
      <c r="DE31">
        <f t="shared" si="19"/>
        <v>0</v>
      </c>
      <c r="DF31">
        <f t="shared" si="19"/>
        <v>0</v>
      </c>
      <c r="DG31">
        <f t="shared" si="19"/>
        <v>0</v>
      </c>
      <c r="DH31">
        <f t="shared" si="19"/>
        <v>0</v>
      </c>
      <c r="DI31">
        <f t="shared" si="19"/>
        <v>0</v>
      </c>
      <c r="DJ31">
        <f t="shared" si="19"/>
        <v>0</v>
      </c>
      <c r="DK31">
        <f t="shared" si="19"/>
        <v>0</v>
      </c>
      <c r="DL31">
        <f t="shared" si="19"/>
        <v>0</v>
      </c>
      <c r="DM31">
        <f t="shared" si="19"/>
        <v>0</v>
      </c>
      <c r="DN31">
        <f t="shared" si="19"/>
        <v>0</v>
      </c>
      <c r="DO31">
        <f t="shared" si="19"/>
        <v>0</v>
      </c>
      <c r="DP31">
        <f t="shared" si="19"/>
        <v>0</v>
      </c>
      <c r="DQ31">
        <f t="shared" si="19"/>
        <v>0</v>
      </c>
      <c r="DR31">
        <f t="shared" si="19"/>
        <v>0</v>
      </c>
      <c r="DS31">
        <f t="shared" si="19"/>
        <v>0</v>
      </c>
      <c r="DT31">
        <f t="shared" si="19"/>
        <v>0</v>
      </c>
      <c r="DU31">
        <f t="shared" si="19"/>
        <v>0</v>
      </c>
      <c r="DV31">
        <f t="shared" si="19"/>
        <v>0</v>
      </c>
      <c r="DW31">
        <f t="shared" si="19"/>
        <v>0</v>
      </c>
      <c r="DX31">
        <f t="shared" si="19"/>
        <v>0</v>
      </c>
      <c r="DY31">
        <f t="shared" si="19"/>
        <v>0</v>
      </c>
      <c r="DZ31">
        <f t="shared" si="19"/>
        <v>0</v>
      </c>
      <c r="EA31">
        <f t="shared" si="19"/>
        <v>0</v>
      </c>
      <c r="EB31">
        <f t="shared" si="19"/>
        <v>0</v>
      </c>
      <c r="EC31">
        <f t="shared" si="17"/>
        <v>0</v>
      </c>
      <c r="ED31">
        <f t="shared" si="15"/>
        <v>0</v>
      </c>
      <c r="EE31">
        <f t="shared" si="15"/>
        <v>0</v>
      </c>
      <c r="EF31">
        <f t="shared" si="15"/>
        <v>0</v>
      </c>
      <c r="EG31">
        <f t="shared" si="15"/>
        <v>0</v>
      </c>
      <c r="EH31">
        <f t="shared" si="15"/>
        <v>0</v>
      </c>
      <c r="EI31">
        <f t="shared" si="15"/>
        <v>0</v>
      </c>
      <c r="EJ31">
        <f t="shared" si="15"/>
        <v>0</v>
      </c>
      <c r="EK31">
        <f t="shared" si="15"/>
        <v>0</v>
      </c>
      <c r="EL31">
        <f t="shared" si="15"/>
        <v>0</v>
      </c>
      <c r="EM31">
        <f t="shared" si="15"/>
        <v>0</v>
      </c>
      <c r="EN31">
        <f t="shared" si="15"/>
        <v>0</v>
      </c>
      <c r="EO31">
        <f t="shared" si="15"/>
        <v>0</v>
      </c>
      <c r="EP31">
        <f t="shared" si="15"/>
        <v>0</v>
      </c>
      <c r="EQ31">
        <f t="shared" si="15"/>
        <v>0</v>
      </c>
      <c r="ER31">
        <f t="shared" si="15"/>
        <v>0</v>
      </c>
      <c r="ES31">
        <f t="shared" si="15"/>
        <v>0</v>
      </c>
      <c r="ET31">
        <f t="shared" si="15"/>
        <v>0</v>
      </c>
      <c r="EU31">
        <f t="shared" si="15"/>
        <v>0</v>
      </c>
      <c r="EV31">
        <f t="shared" si="15"/>
        <v>0</v>
      </c>
      <c r="EW31">
        <f t="shared" si="15"/>
        <v>0</v>
      </c>
      <c r="EX31">
        <f t="shared" si="15"/>
        <v>0</v>
      </c>
      <c r="EY31">
        <f t="shared" si="15"/>
        <v>0</v>
      </c>
      <c r="EZ31">
        <f t="shared" si="15"/>
        <v>0</v>
      </c>
      <c r="FA31">
        <f t="shared" si="15"/>
        <v>0</v>
      </c>
      <c r="FB31">
        <f t="shared" si="15"/>
        <v>0</v>
      </c>
      <c r="FC31">
        <f t="shared" si="15"/>
        <v>0</v>
      </c>
      <c r="FD31">
        <f t="shared" si="15"/>
        <v>0</v>
      </c>
      <c r="FE31">
        <f t="shared" si="15"/>
        <v>0</v>
      </c>
      <c r="FF31">
        <f t="shared" si="15"/>
        <v>0</v>
      </c>
      <c r="FG31">
        <f t="shared" si="15"/>
        <v>0</v>
      </c>
      <c r="FH31">
        <f t="shared" si="15"/>
        <v>0</v>
      </c>
      <c r="FI31">
        <f t="shared" si="15"/>
        <v>0</v>
      </c>
      <c r="FJ31">
        <f t="shared" si="15"/>
        <v>0</v>
      </c>
      <c r="FK31">
        <f t="shared" si="15"/>
        <v>0</v>
      </c>
      <c r="FL31">
        <f t="shared" si="15"/>
        <v>0</v>
      </c>
      <c r="FM31">
        <f t="shared" si="15"/>
        <v>0</v>
      </c>
      <c r="FN31">
        <f t="shared" si="15"/>
        <v>0</v>
      </c>
      <c r="FO31">
        <f t="shared" si="15"/>
        <v>0</v>
      </c>
      <c r="FP31">
        <f t="shared" si="15"/>
        <v>0</v>
      </c>
      <c r="FQ31">
        <f t="shared" si="15"/>
        <v>0</v>
      </c>
      <c r="FR31">
        <f t="shared" si="15"/>
        <v>0</v>
      </c>
      <c r="FS31">
        <f t="shared" si="15"/>
        <v>0</v>
      </c>
      <c r="FT31">
        <f t="shared" si="15"/>
        <v>0</v>
      </c>
      <c r="FU31">
        <f t="shared" si="15"/>
        <v>0</v>
      </c>
    </row>
    <row r="32" spans="1:177" x14ac:dyDescent="0.25">
      <c r="A32" t="str">
        <f t="shared" ref="A32:D32" si="20">A10</f>
        <v>MAC-10</v>
      </c>
      <c r="B32" t="str">
        <f t="shared" si="20"/>
        <v>StatTrak Neon Rider MW</v>
      </c>
      <c r="C32" t="str">
        <f t="shared" si="20"/>
        <v>SMG</v>
      </c>
      <c r="D32" t="str">
        <f t="shared" si="20"/>
        <v>Chroma 2</v>
      </c>
      <c r="E32">
        <f t="shared" si="11"/>
        <v>15.73</v>
      </c>
      <c r="F32">
        <f t="shared" ref="F32:BQ35" si="21">F10-ROUNDUP(F10*0.3,2)</f>
        <v>16.419999999999998</v>
      </c>
      <c r="G32">
        <f t="shared" si="21"/>
        <v>14.490000000000002</v>
      </c>
      <c r="H32">
        <f t="shared" si="21"/>
        <v>13.86</v>
      </c>
      <c r="I32">
        <f t="shared" si="21"/>
        <v>15.38</v>
      </c>
      <c r="J32">
        <f t="shared" si="21"/>
        <v>16.419999999999998</v>
      </c>
      <c r="K32">
        <f t="shared" si="21"/>
        <v>16.490000000000002</v>
      </c>
      <c r="L32">
        <f t="shared" si="21"/>
        <v>15.849999999999998</v>
      </c>
      <c r="M32">
        <f t="shared" si="21"/>
        <v>16.12</v>
      </c>
      <c r="N32">
        <f t="shared" si="21"/>
        <v>16.14</v>
      </c>
      <c r="O32">
        <f t="shared" si="21"/>
        <v>15.860000000000003</v>
      </c>
      <c r="P32">
        <f t="shared" si="21"/>
        <v>15.89</v>
      </c>
      <c r="Q32">
        <f t="shared" si="21"/>
        <v>15.370000000000001</v>
      </c>
      <c r="R32">
        <f t="shared" si="21"/>
        <v>14.899999999999999</v>
      </c>
      <c r="S32">
        <f t="shared" si="21"/>
        <v>15.96</v>
      </c>
      <c r="T32">
        <f t="shared" si="21"/>
        <v>15.89</v>
      </c>
      <c r="U32">
        <f t="shared" si="21"/>
        <v>15.959999999999999</v>
      </c>
      <c r="V32">
        <f t="shared" si="21"/>
        <v>16.009999999999998</v>
      </c>
      <c r="W32">
        <f t="shared" si="21"/>
        <v>15.160000000000002</v>
      </c>
      <c r="X32">
        <f t="shared" si="21"/>
        <v>15.990000000000002</v>
      </c>
      <c r="Y32">
        <f t="shared" si="21"/>
        <v>15.38</v>
      </c>
      <c r="Z32">
        <f t="shared" si="21"/>
        <v>0</v>
      </c>
      <c r="AA32">
        <f t="shared" si="21"/>
        <v>0</v>
      </c>
      <c r="AB32">
        <f t="shared" si="21"/>
        <v>0</v>
      </c>
      <c r="AC32">
        <f t="shared" si="21"/>
        <v>0</v>
      </c>
      <c r="AD32">
        <f t="shared" si="21"/>
        <v>0</v>
      </c>
      <c r="AE32">
        <f t="shared" si="21"/>
        <v>0</v>
      </c>
      <c r="AF32">
        <f t="shared" si="21"/>
        <v>0</v>
      </c>
      <c r="AG32">
        <f t="shared" si="21"/>
        <v>0</v>
      </c>
      <c r="AH32">
        <f t="shared" si="21"/>
        <v>0</v>
      </c>
      <c r="AI32">
        <f t="shared" si="21"/>
        <v>0</v>
      </c>
      <c r="AJ32">
        <f t="shared" si="21"/>
        <v>0</v>
      </c>
      <c r="AK32">
        <f t="shared" si="21"/>
        <v>0</v>
      </c>
      <c r="AL32">
        <f t="shared" si="21"/>
        <v>0</v>
      </c>
      <c r="AM32">
        <f t="shared" si="21"/>
        <v>0</v>
      </c>
      <c r="AN32">
        <f t="shared" si="21"/>
        <v>0</v>
      </c>
      <c r="AO32">
        <f t="shared" si="21"/>
        <v>0</v>
      </c>
      <c r="AP32">
        <f t="shared" si="21"/>
        <v>0</v>
      </c>
      <c r="AQ32">
        <f t="shared" si="21"/>
        <v>0</v>
      </c>
      <c r="AR32">
        <f t="shared" si="21"/>
        <v>0</v>
      </c>
      <c r="AS32">
        <f t="shared" si="21"/>
        <v>0</v>
      </c>
      <c r="AT32">
        <f t="shared" si="21"/>
        <v>0</v>
      </c>
      <c r="AU32">
        <f t="shared" si="21"/>
        <v>0</v>
      </c>
      <c r="AV32">
        <f t="shared" si="21"/>
        <v>0</v>
      </c>
      <c r="AW32">
        <f t="shared" si="21"/>
        <v>0</v>
      </c>
      <c r="AX32">
        <f t="shared" si="21"/>
        <v>0</v>
      </c>
      <c r="AY32">
        <f t="shared" si="21"/>
        <v>0</v>
      </c>
      <c r="AZ32">
        <f t="shared" si="21"/>
        <v>0</v>
      </c>
      <c r="BA32">
        <f t="shared" si="21"/>
        <v>0</v>
      </c>
      <c r="BB32">
        <f t="shared" si="21"/>
        <v>0</v>
      </c>
      <c r="BC32">
        <f t="shared" si="21"/>
        <v>0</v>
      </c>
      <c r="BD32">
        <f t="shared" si="21"/>
        <v>0</v>
      </c>
      <c r="BE32">
        <f t="shared" si="21"/>
        <v>0</v>
      </c>
      <c r="BF32">
        <f t="shared" si="21"/>
        <v>0</v>
      </c>
      <c r="BG32">
        <f t="shared" si="21"/>
        <v>0</v>
      </c>
      <c r="BH32">
        <f t="shared" si="21"/>
        <v>0</v>
      </c>
      <c r="BI32">
        <f t="shared" si="21"/>
        <v>0</v>
      </c>
      <c r="BJ32">
        <f t="shared" si="21"/>
        <v>0</v>
      </c>
      <c r="BK32">
        <f t="shared" si="21"/>
        <v>0</v>
      </c>
      <c r="BL32">
        <f t="shared" si="21"/>
        <v>0</v>
      </c>
      <c r="BM32">
        <f t="shared" si="21"/>
        <v>0</v>
      </c>
      <c r="BN32">
        <f t="shared" si="21"/>
        <v>0</v>
      </c>
      <c r="BO32">
        <f t="shared" si="21"/>
        <v>0</v>
      </c>
      <c r="BP32">
        <f t="shared" si="21"/>
        <v>0</v>
      </c>
      <c r="BQ32">
        <f t="shared" si="21"/>
        <v>0</v>
      </c>
      <c r="BR32">
        <f t="shared" si="19"/>
        <v>0</v>
      </c>
      <c r="BS32">
        <f t="shared" si="19"/>
        <v>0</v>
      </c>
      <c r="BT32">
        <f t="shared" si="19"/>
        <v>0</v>
      </c>
      <c r="BU32">
        <f t="shared" si="19"/>
        <v>0</v>
      </c>
      <c r="BV32">
        <f t="shared" si="19"/>
        <v>0</v>
      </c>
      <c r="BW32">
        <f t="shared" si="19"/>
        <v>0</v>
      </c>
      <c r="BX32">
        <f t="shared" si="19"/>
        <v>0</v>
      </c>
      <c r="BY32">
        <f t="shared" si="19"/>
        <v>0</v>
      </c>
      <c r="BZ32">
        <f t="shared" si="19"/>
        <v>0</v>
      </c>
      <c r="CA32">
        <f t="shared" si="19"/>
        <v>0</v>
      </c>
      <c r="CB32">
        <f t="shared" si="19"/>
        <v>0</v>
      </c>
      <c r="CC32">
        <f t="shared" si="19"/>
        <v>0</v>
      </c>
      <c r="CD32">
        <f t="shared" si="19"/>
        <v>0</v>
      </c>
      <c r="CE32">
        <f t="shared" si="19"/>
        <v>0</v>
      </c>
      <c r="CF32">
        <f t="shared" si="19"/>
        <v>0</v>
      </c>
      <c r="CG32">
        <f t="shared" si="19"/>
        <v>0</v>
      </c>
      <c r="CH32">
        <f t="shared" si="19"/>
        <v>0</v>
      </c>
      <c r="CI32">
        <f t="shared" si="19"/>
        <v>0</v>
      </c>
      <c r="CJ32">
        <f t="shared" si="19"/>
        <v>0</v>
      </c>
      <c r="CK32">
        <f t="shared" si="19"/>
        <v>0</v>
      </c>
      <c r="CL32">
        <f t="shared" si="19"/>
        <v>0</v>
      </c>
      <c r="CM32">
        <f t="shared" si="19"/>
        <v>0</v>
      </c>
      <c r="CN32">
        <f t="shared" si="19"/>
        <v>0</v>
      </c>
      <c r="CO32">
        <f t="shared" si="19"/>
        <v>0</v>
      </c>
      <c r="CP32">
        <f t="shared" si="19"/>
        <v>0</v>
      </c>
      <c r="CQ32">
        <f t="shared" si="19"/>
        <v>0</v>
      </c>
      <c r="CR32">
        <f t="shared" si="19"/>
        <v>0</v>
      </c>
      <c r="CS32">
        <f t="shared" si="19"/>
        <v>0</v>
      </c>
      <c r="CT32">
        <f t="shared" si="19"/>
        <v>0</v>
      </c>
      <c r="CU32">
        <f t="shared" si="19"/>
        <v>0</v>
      </c>
      <c r="CV32">
        <f t="shared" si="19"/>
        <v>0</v>
      </c>
      <c r="CW32">
        <f t="shared" si="19"/>
        <v>0</v>
      </c>
      <c r="CX32">
        <f t="shared" si="19"/>
        <v>0</v>
      </c>
      <c r="CY32">
        <f t="shared" si="19"/>
        <v>0</v>
      </c>
      <c r="CZ32">
        <f t="shared" si="19"/>
        <v>0</v>
      </c>
      <c r="DA32">
        <f t="shared" si="19"/>
        <v>0</v>
      </c>
      <c r="DB32">
        <f t="shared" si="19"/>
        <v>0</v>
      </c>
      <c r="DC32">
        <f t="shared" si="19"/>
        <v>0</v>
      </c>
      <c r="DD32">
        <f t="shared" si="19"/>
        <v>0</v>
      </c>
      <c r="DE32">
        <f t="shared" si="19"/>
        <v>0</v>
      </c>
      <c r="DF32">
        <f t="shared" si="19"/>
        <v>0</v>
      </c>
      <c r="DG32">
        <f t="shared" si="19"/>
        <v>0</v>
      </c>
      <c r="DH32">
        <f t="shared" si="19"/>
        <v>0</v>
      </c>
      <c r="DI32">
        <f t="shared" si="19"/>
        <v>0</v>
      </c>
      <c r="DJ32">
        <f t="shared" si="19"/>
        <v>0</v>
      </c>
      <c r="DK32">
        <f t="shared" si="19"/>
        <v>0</v>
      </c>
      <c r="DL32">
        <f t="shared" si="19"/>
        <v>0</v>
      </c>
      <c r="DM32">
        <f t="shared" si="19"/>
        <v>0</v>
      </c>
      <c r="DN32">
        <f t="shared" si="19"/>
        <v>0</v>
      </c>
      <c r="DO32">
        <f t="shared" si="19"/>
        <v>0</v>
      </c>
      <c r="DP32">
        <f t="shared" si="19"/>
        <v>0</v>
      </c>
      <c r="DQ32">
        <f t="shared" si="19"/>
        <v>0</v>
      </c>
      <c r="DR32">
        <f t="shared" si="19"/>
        <v>0</v>
      </c>
      <c r="DS32">
        <f t="shared" si="19"/>
        <v>0</v>
      </c>
      <c r="DT32">
        <f t="shared" si="19"/>
        <v>0</v>
      </c>
      <c r="DU32">
        <f t="shared" si="19"/>
        <v>0</v>
      </c>
      <c r="DV32">
        <f t="shared" si="19"/>
        <v>0</v>
      </c>
      <c r="DW32">
        <f t="shared" si="19"/>
        <v>0</v>
      </c>
      <c r="DX32">
        <f t="shared" si="19"/>
        <v>0</v>
      </c>
      <c r="DY32">
        <f t="shared" si="19"/>
        <v>0</v>
      </c>
      <c r="DZ32">
        <f t="shared" si="19"/>
        <v>0</v>
      </c>
      <c r="EA32">
        <f t="shared" si="19"/>
        <v>0</v>
      </c>
      <c r="EB32">
        <f t="shared" si="19"/>
        <v>0</v>
      </c>
      <c r="EC32">
        <f t="shared" si="17"/>
        <v>0</v>
      </c>
      <c r="ED32">
        <f t="shared" si="15"/>
        <v>0</v>
      </c>
      <c r="EE32">
        <f t="shared" si="15"/>
        <v>0</v>
      </c>
      <c r="EF32">
        <f t="shared" si="15"/>
        <v>0</v>
      </c>
      <c r="EG32">
        <f t="shared" si="15"/>
        <v>0</v>
      </c>
      <c r="EH32">
        <f t="shared" si="15"/>
        <v>0</v>
      </c>
      <c r="EI32">
        <f t="shared" si="15"/>
        <v>0</v>
      </c>
      <c r="EJ32">
        <f t="shared" si="15"/>
        <v>0</v>
      </c>
      <c r="EK32">
        <f t="shared" si="15"/>
        <v>0</v>
      </c>
      <c r="EL32">
        <f t="shared" si="15"/>
        <v>0</v>
      </c>
      <c r="EM32">
        <f t="shared" si="15"/>
        <v>0</v>
      </c>
      <c r="EN32">
        <f t="shared" si="15"/>
        <v>0</v>
      </c>
      <c r="EO32">
        <f t="shared" si="15"/>
        <v>0</v>
      </c>
      <c r="EP32">
        <f t="shared" si="15"/>
        <v>0</v>
      </c>
      <c r="EQ32">
        <f t="shared" si="15"/>
        <v>0</v>
      </c>
      <c r="ER32">
        <f t="shared" si="15"/>
        <v>0</v>
      </c>
      <c r="ES32">
        <f t="shared" si="15"/>
        <v>0</v>
      </c>
      <c r="ET32">
        <f t="shared" si="15"/>
        <v>0</v>
      </c>
      <c r="EU32">
        <f t="shared" si="15"/>
        <v>0</v>
      </c>
      <c r="EV32">
        <f t="shared" si="15"/>
        <v>0</v>
      </c>
      <c r="EW32">
        <f t="shared" si="15"/>
        <v>0</v>
      </c>
      <c r="EX32">
        <f t="shared" si="15"/>
        <v>0</v>
      </c>
      <c r="EY32">
        <f t="shared" si="15"/>
        <v>0</v>
      </c>
      <c r="EZ32">
        <f t="shared" si="15"/>
        <v>0</v>
      </c>
      <c r="FA32">
        <f t="shared" si="15"/>
        <v>0</v>
      </c>
      <c r="FB32">
        <f t="shared" si="15"/>
        <v>0</v>
      </c>
      <c r="FC32">
        <f t="shared" si="15"/>
        <v>0</v>
      </c>
      <c r="FD32">
        <f t="shared" si="15"/>
        <v>0</v>
      </c>
      <c r="FE32">
        <f t="shared" si="15"/>
        <v>0</v>
      </c>
      <c r="FF32">
        <f t="shared" si="15"/>
        <v>0</v>
      </c>
      <c r="FG32">
        <f t="shared" si="15"/>
        <v>0</v>
      </c>
      <c r="FH32">
        <f t="shared" si="15"/>
        <v>0</v>
      </c>
      <c r="FI32">
        <f t="shared" si="15"/>
        <v>0</v>
      </c>
      <c r="FJ32">
        <f t="shared" si="15"/>
        <v>0</v>
      </c>
      <c r="FK32">
        <f t="shared" si="15"/>
        <v>0</v>
      </c>
      <c r="FL32">
        <f t="shared" si="15"/>
        <v>0</v>
      </c>
      <c r="FM32">
        <f t="shared" si="15"/>
        <v>0</v>
      </c>
      <c r="FN32">
        <f t="shared" si="15"/>
        <v>0</v>
      </c>
      <c r="FO32">
        <f t="shared" si="15"/>
        <v>0</v>
      </c>
      <c r="FP32">
        <f t="shared" si="15"/>
        <v>0</v>
      </c>
      <c r="FQ32">
        <f t="shared" si="15"/>
        <v>0</v>
      </c>
      <c r="FR32">
        <f t="shared" si="15"/>
        <v>0</v>
      </c>
      <c r="FS32">
        <f t="shared" si="15"/>
        <v>0</v>
      </c>
      <c r="FT32">
        <f t="shared" si="15"/>
        <v>0</v>
      </c>
      <c r="FU32">
        <f t="shared" si="15"/>
        <v>0</v>
      </c>
    </row>
    <row r="33" spans="1:177" x14ac:dyDescent="0.25">
      <c r="A33" t="str">
        <f t="shared" ref="A33:D33" si="22">A11</f>
        <v>UMP-45</v>
      </c>
      <c r="B33" t="str">
        <f t="shared" si="22"/>
        <v>Momentum FN</v>
      </c>
      <c r="C33" t="str">
        <f t="shared" si="22"/>
        <v>SMG</v>
      </c>
      <c r="D33" t="str">
        <f t="shared" si="22"/>
        <v>Danger Zone</v>
      </c>
      <c r="E33">
        <f t="shared" si="11"/>
        <v>5.45</v>
      </c>
      <c r="F33">
        <f t="shared" si="21"/>
        <v>5.7299999999999995</v>
      </c>
      <c r="G33">
        <f t="shared" si="21"/>
        <v>5.22</v>
      </c>
      <c r="H33">
        <f t="shared" si="21"/>
        <v>5.3100000000000005</v>
      </c>
      <c r="I33">
        <f t="shared" si="21"/>
        <v>5.49</v>
      </c>
      <c r="J33">
        <f t="shared" si="21"/>
        <v>5.37</v>
      </c>
      <c r="K33">
        <f t="shared" si="21"/>
        <v>5.1099999999999994</v>
      </c>
      <c r="L33">
        <f t="shared" si="21"/>
        <v>5.2700000000000005</v>
      </c>
      <c r="M33">
        <f t="shared" si="21"/>
        <v>5.1999999999999993</v>
      </c>
      <c r="N33">
        <f t="shared" si="21"/>
        <v>5.18</v>
      </c>
      <c r="O33">
        <f t="shared" si="21"/>
        <v>5.58</v>
      </c>
      <c r="P33">
        <f t="shared" si="21"/>
        <v>4.97</v>
      </c>
      <c r="Q33">
        <f t="shared" si="21"/>
        <v>5.1099999999999994</v>
      </c>
      <c r="R33">
        <f t="shared" si="21"/>
        <v>5.34</v>
      </c>
      <c r="S33">
        <f t="shared" si="21"/>
        <v>5.22</v>
      </c>
      <c r="T33">
        <f t="shared" si="21"/>
        <v>5.1899999999999995</v>
      </c>
      <c r="U33">
        <f t="shared" si="21"/>
        <v>5.22</v>
      </c>
      <c r="V33">
        <f t="shared" si="21"/>
        <v>5.33</v>
      </c>
      <c r="W33">
        <f t="shared" si="21"/>
        <v>5.53</v>
      </c>
      <c r="X33">
        <f t="shared" si="21"/>
        <v>5.5600000000000005</v>
      </c>
      <c r="Y33">
        <f t="shared" si="21"/>
        <v>5.36</v>
      </c>
      <c r="Z33">
        <f t="shared" si="21"/>
        <v>0</v>
      </c>
      <c r="AA33">
        <f t="shared" si="21"/>
        <v>0</v>
      </c>
      <c r="AB33">
        <f t="shared" si="21"/>
        <v>0</v>
      </c>
      <c r="AC33">
        <f t="shared" si="21"/>
        <v>0</v>
      </c>
      <c r="AD33">
        <f t="shared" si="21"/>
        <v>0</v>
      </c>
      <c r="AE33">
        <f t="shared" si="21"/>
        <v>0</v>
      </c>
      <c r="AF33">
        <f t="shared" si="21"/>
        <v>0</v>
      </c>
      <c r="AG33">
        <f t="shared" si="21"/>
        <v>0</v>
      </c>
      <c r="AH33">
        <f t="shared" si="21"/>
        <v>0</v>
      </c>
      <c r="AI33">
        <f t="shared" si="21"/>
        <v>0</v>
      </c>
      <c r="AJ33">
        <f t="shared" si="21"/>
        <v>0</v>
      </c>
      <c r="AK33">
        <f t="shared" si="21"/>
        <v>0</v>
      </c>
      <c r="AL33">
        <f t="shared" si="21"/>
        <v>0</v>
      </c>
      <c r="AM33">
        <f t="shared" si="21"/>
        <v>0</v>
      </c>
      <c r="AN33">
        <f t="shared" si="21"/>
        <v>0</v>
      </c>
      <c r="AO33">
        <f t="shared" si="21"/>
        <v>0</v>
      </c>
      <c r="AP33">
        <f t="shared" si="21"/>
        <v>0</v>
      </c>
      <c r="AQ33">
        <f t="shared" si="21"/>
        <v>0</v>
      </c>
      <c r="AR33">
        <f t="shared" si="21"/>
        <v>0</v>
      </c>
      <c r="AS33">
        <f t="shared" si="21"/>
        <v>0</v>
      </c>
      <c r="AT33">
        <f t="shared" si="21"/>
        <v>0</v>
      </c>
      <c r="AU33">
        <f t="shared" si="21"/>
        <v>0</v>
      </c>
      <c r="AV33">
        <f t="shared" si="21"/>
        <v>0</v>
      </c>
      <c r="AW33">
        <f t="shared" si="21"/>
        <v>0</v>
      </c>
      <c r="AX33">
        <f t="shared" si="21"/>
        <v>0</v>
      </c>
      <c r="AY33">
        <f t="shared" si="21"/>
        <v>0</v>
      </c>
      <c r="AZ33">
        <f t="shared" si="21"/>
        <v>0</v>
      </c>
      <c r="BA33">
        <f t="shared" si="21"/>
        <v>0</v>
      </c>
      <c r="BB33">
        <f t="shared" si="21"/>
        <v>0</v>
      </c>
      <c r="BC33">
        <f t="shared" si="21"/>
        <v>0</v>
      </c>
      <c r="BD33">
        <f t="shared" si="21"/>
        <v>0</v>
      </c>
      <c r="BE33">
        <f t="shared" si="21"/>
        <v>0</v>
      </c>
      <c r="BF33">
        <f t="shared" si="21"/>
        <v>0</v>
      </c>
      <c r="BG33">
        <f t="shared" si="21"/>
        <v>0</v>
      </c>
      <c r="BH33">
        <f t="shared" si="21"/>
        <v>0</v>
      </c>
      <c r="BI33">
        <f t="shared" si="21"/>
        <v>0</v>
      </c>
      <c r="BJ33">
        <f t="shared" si="21"/>
        <v>0</v>
      </c>
      <c r="BK33">
        <f t="shared" si="21"/>
        <v>0</v>
      </c>
      <c r="BL33">
        <f t="shared" si="21"/>
        <v>0</v>
      </c>
      <c r="BM33">
        <f t="shared" si="21"/>
        <v>0</v>
      </c>
      <c r="BN33">
        <f t="shared" si="21"/>
        <v>0</v>
      </c>
      <c r="BO33">
        <f t="shared" si="21"/>
        <v>0</v>
      </c>
      <c r="BP33">
        <f t="shared" si="21"/>
        <v>0</v>
      </c>
      <c r="BQ33">
        <f t="shared" si="21"/>
        <v>0</v>
      </c>
      <c r="BR33">
        <f t="shared" si="19"/>
        <v>0</v>
      </c>
      <c r="BS33">
        <f t="shared" si="19"/>
        <v>0</v>
      </c>
      <c r="BT33">
        <f t="shared" si="19"/>
        <v>0</v>
      </c>
      <c r="BU33">
        <f t="shared" si="19"/>
        <v>0</v>
      </c>
      <c r="BV33">
        <f t="shared" si="19"/>
        <v>0</v>
      </c>
      <c r="BW33">
        <f t="shared" si="19"/>
        <v>0</v>
      </c>
      <c r="BX33">
        <f t="shared" si="19"/>
        <v>0</v>
      </c>
      <c r="BY33">
        <f t="shared" si="19"/>
        <v>0</v>
      </c>
      <c r="BZ33">
        <f t="shared" si="19"/>
        <v>0</v>
      </c>
      <c r="CA33">
        <f t="shared" si="19"/>
        <v>0</v>
      </c>
      <c r="CB33">
        <f t="shared" si="19"/>
        <v>0</v>
      </c>
      <c r="CC33">
        <f t="shared" si="19"/>
        <v>0</v>
      </c>
      <c r="CD33">
        <f t="shared" si="19"/>
        <v>0</v>
      </c>
      <c r="CE33">
        <f t="shared" si="19"/>
        <v>0</v>
      </c>
      <c r="CF33">
        <f t="shared" si="19"/>
        <v>0</v>
      </c>
      <c r="CG33">
        <f t="shared" si="19"/>
        <v>0</v>
      </c>
      <c r="CH33">
        <f t="shared" si="19"/>
        <v>0</v>
      </c>
      <c r="CI33">
        <f t="shared" si="19"/>
        <v>0</v>
      </c>
      <c r="CJ33">
        <f t="shared" si="19"/>
        <v>0</v>
      </c>
      <c r="CK33">
        <f t="shared" si="19"/>
        <v>0</v>
      </c>
      <c r="CL33">
        <f t="shared" si="19"/>
        <v>0</v>
      </c>
      <c r="CM33">
        <f t="shared" si="19"/>
        <v>0</v>
      </c>
      <c r="CN33">
        <f t="shared" si="19"/>
        <v>0</v>
      </c>
      <c r="CO33">
        <f t="shared" si="19"/>
        <v>0</v>
      </c>
      <c r="CP33">
        <f t="shared" si="19"/>
        <v>0</v>
      </c>
      <c r="CQ33">
        <f t="shared" si="19"/>
        <v>0</v>
      </c>
      <c r="CR33">
        <f t="shared" si="19"/>
        <v>0</v>
      </c>
      <c r="CS33">
        <f t="shared" si="19"/>
        <v>0</v>
      </c>
      <c r="CT33">
        <f t="shared" si="19"/>
        <v>0</v>
      </c>
      <c r="CU33">
        <f t="shared" si="19"/>
        <v>0</v>
      </c>
      <c r="CV33">
        <f t="shared" si="19"/>
        <v>0</v>
      </c>
      <c r="CW33">
        <f t="shared" si="19"/>
        <v>0</v>
      </c>
      <c r="CX33">
        <f t="shared" si="19"/>
        <v>0</v>
      </c>
      <c r="CY33">
        <f t="shared" si="19"/>
        <v>0</v>
      </c>
      <c r="CZ33">
        <f t="shared" si="19"/>
        <v>0</v>
      </c>
      <c r="DA33">
        <f t="shared" si="19"/>
        <v>0</v>
      </c>
      <c r="DB33">
        <f t="shared" si="19"/>
        <v>0</v>
      </c>
      <c r="DC33">
        <f t="shared" si="19"/>
        <v>0</v>
      </c>
      <c r="DD33">
        <f t="shared" si="19"/>
        <v>0</v>
      </c>
      <c r="DE33">
        <f t="shared" si="19"/>
        <v>0</v>
      </c>
      <c r="DF33">
        <f t="shared" si="19"/>
        <v>0</v>
      </c>
      <c r="DG33">
        <f t="shared" si="19"/>
        <v>0</v>
      </c>
      <c r="DH33">
        <f t="shared" si="19"/>
        <v>0</v>
      </c>
      <c r="DI33">
        <f t="shared" si="19"/>
        <v>0</v>
      </c>
      <c r="DJ33">
        <f t="shared" si="19"/>
        <v>0</v>
      </c>
      <c r="DK33">
        <f t="shared" si="19"/>
        <v>0</v>
      </c>
      <c r="DL33">
        <f t="shared" si="19"/>
        <v>0</v>
      </c>
      <c r="DM33">
        <f t="shared" si="19"/>
        <v>0</v>
      </c>
      <c r="DN33">
        <f t="shared" si="19"/>
        <v>0</v>
      </c>
      <c r="DO33">
        <f t="shared" si="19"/>
        <v>0</v>
      </c>
      <c r="DP33">
        <f t="shared" si="19"/>
        <v>0</v>
      </c>
      <c r="DQ33">
        <f t="shared" si="19"/>
        <v>0</v>
      </c>
      <c r="DR33">
        <f t="shared" si="19"/>
        <v>0</v>
      </c>
      <c r="DS33">
        <f t="shared" si="19"/>
        <v>0</v>
      </c>
      <c r="DT33">
        <f t="shared" si="19"/>
        <v>0</v>
      </c>
      <c r="DU33">
        <f t="shared" si="19"/>
        <v>0</v>
      </c>
      <c r="DV33">
        <f t="shared" si="19"/>
        <v>0</v>
      </c>
      <c r="DW33">
        <f t="shared" si="19"/>
        <v>0</v>
      </c>
      <c r="DX33">
        <f t="shared" si="19"/>
        <v>0</v>
      </c>
      <c r="DY33">
        <f t="shared" si="19"/>
        <v>0</v>
      </c>
      <c r="DZ33">
        <f t="shared" si="19"/>
        <v>0</v>
      </c>
      <c r="EA33">
        <f t="shared" si="19"/>
        <v>0</v>
      </c>
      <c r="EB33">
        <f t="shared" si="19"/>
        <v>0</v>
      </c>
      <c r="EC33">
        <f t="shared" si="17"/>
        <v>0</v>
      </c>
      <c r="ED33">
        <f t="shared" si="15"/>
        <v>0</v>
      </c>
      <c r="EE33">
        <f t="shared" si="15"/>
        <v>0</v>
      </c>
      <c r="EF33">
        <f t="shared" si="15"/>
        <v>0</v>
      </c>
      <c r="EG33">
        <f t="shared" si="15"/>
        <v>0</v>
      </c>
      <c r="EH33">
        <f t="shared" si="15"/>
        <v>0</v>
      </c>
      <c r="EI33">
        <f t="shared" si="15"/>
        <v>0</v>
      </c>
      <c r="EJ33">
        <f t="shared" si="15"/>
        <v>0</v>
      </c>
      <c r="EK33">
        <f t="shared" si="15"/>
        <v>0</v>
      </c>
      <c r="EL33">
        <f t="shared" si="15"/>
        <v>0</v>
      </c>
      <c r="EM33">
        <f t="shared" si="15"/>
        <v>0</v>
      </c>
      <c r="EN33">
        <f t="shared" si="15"/>
        <v>0</v>
      </c>
      <c r="EO33">
        <f t="shared" si="15"/>
        <v>0</v>
      </c>
      <c r="EP33">
        <f t="shared" si="15"/>
        <v>0</v>
      </c>
      <c r="EQ33">
        <f t="shared" si="15"/>
        <v>0</v>
      </c>
      <c r="ER33">
        <f t="shared" si="15"/>
        <v>0</v>
      </c>
      <c r="ES33">
        <f t="shared" si="15"/>
        <v>0</v>
      </c>
      <c r="ET33">
        <f t="shared" si="15"/>
        <v>0</v>
      </c>
      <c r="EU33">
        <f t="shared" si="15"/>
        <v>0</v>
      </c>
      <c r="EV33">
        <f t="shared" si="15"/>
        <v>0</v>
      </c>
      <c r="EW33">
        <f t="shared" si="15"/>
        <v>0</v>
      </c>
      <c r="EX33">
        <f t="shared" si="15"/>
        <v>0</v>
      </c>
      <c r="EY33">
        <f t="shared" si="15"/>
        <v>0</v>
      </c>
      <c r="EZ33">
        <f t="shared" si="15"/>
        <v>0</v>
      </c>
      <c r="FA33">
        <f t="shared" si="15"/>
        <v>0</v>
      </c>
      <c r="FB33">
        <f t="shared" si="15"/>
        <v>0</v>
      </c>
      <c r="FC33">
        <f t="shared" si="15"/>
        <v>0</v>
      </c>
      <c r="FD33">
        <f t="shared" si="15"/>
        <v>0</v>
      </c>
      <c r="FE33">
        <f t="shared" si="15"/>
        <v>0</v>
      </c>
      <c r="FF33">
        <f t="shared" si="15"/>
        <v>0</v>
      </c>
      <c r="FG33">
        <f t="shared" si="15"/>
        <v>0</v>
      </c>
      <c r="FH33">
        <f t="shared" si="15"/>
        <v>0</v>
      </c>
      <c r="FI33">
        <f t="shared" si="15"/>
        <v>0</v>
      </c>
      <c r="FJ33">
        <f t="shared" si="15"/>
        <v>0</v>
      </c>
      <c r="FK33">
        <f t="shared" si="15"/>
        <v>0</v>
      </c>
      <c r="FL33">
        <f t="shared" si="15"/>
        <v>0</v>
      </c>
      <c r="FM33">
        <f t="shared" si="15"/>
        <v>0</v>
      </c>
      <c r="FN33">
        <f t="shared" si="15"/>
        <v>0</v>
      </c>
      <c r="FO33">
        <f t="shared" si="15"/>
        <v>0</v>
      </c>
      <c r="FP33">
        <f t="shared" si="15"/>
        <v>0</v>
      </c>
      <c r="FQ33">
        <f t="shared" si="15"/>
        <v>0</v>
      </c>
      <c r="FR33">
        <f t="shared" si="15"/>
        <v>0</v>
      </c>
      <c r="FS33">
        <f t="shared" si="15"/>
        <v>0</v>
      </c>
      <c r="FT33">
        <f t="shared" si="15"/>
        <v>0</v>
      </c>
      <c r="FU33">
        <f t="shared" si="15"/>
        <v>0</v>
      </c>
    </row>
    <row r="34" spans="1:177" x14ac:dyDescent="0.25">
      <c r="A34" t="str">
        <f t="shared" ref="A34:D34" si="23">A12</f>
        <v>MP7</v>
      </c>
      <c r="B34" t="str">
        <f t="shared" si="23"/>
        <v>Bloodsport MW</v>
      </c>
      <c r="C34" t="str">
        <f t="shared" si="23"/>
        <v>SMG</v>
      </c>
      <c r="D34" t="str">
        <f t="shared" si="23"/>
        <v>Clutch</v>
      </c>
      <c r="E34">
        <f t="shared" si="11"/>
        <v>2.54</v>
      </c>
      <c r="F34">
        <f t="shared" si="21"/>
        <v>2.5199999999999996</v>
      </c>
      <c r="G34">
        <f t="shared" si="21"/>
        <v>2.54</v>
      </c>
      <c r="H34">
        <f t="shared" si="21"/>
        <v>2.4400000000000004</v>
      </c>
      <c r="I34">
        <f t="shared" si="21"/>
        <v>2.6799999999999997</v>
      </c>
      <c r="J34">
        <f t="shared" si="21"/>
        <v>2.4699999999999998</v>
      </c>
      <c r="K34">
        <f t="shared" si="21"/>
        <v>2.4899999999999998</v>
      </c>
      <c r="L34">
        <f t="shared" si="21"/>
        <v>2.4699999999999998</v>
      </c>
      <c r="M34">
        <f t="shared" si="21"/>
        <v>2.62</v>
      </c>
      <c r="N34">
        <f t="shared" si="21"/>
        <v>2.6500000000000004</v>
      </c>
      <c r="O34">
        <f t="shared" si="21"/>
        <v>2.4400000000000004</v>
      </c>
      <c r="P34">
        <f t="shared" si="21"/>
        <v>2.5199999999999996</v>
      </c>
      <c r="Q34">
        <f t="shared" si="21"/>
        <v>2.37</v>
      </c>
      <c r="R34">
        <f t="shared" si="21"/>
        <v>2.4699999999999998</v>
      </c>
      <c r="S34">
        <f t="shared" si="21"/>
        <v>2.38</v>
      </c>
      <c r="T34">
        <f t="shared" si="21"/>
        <v>2.4400000000000004</v>
      </c>
      <c r="U34">
        <f t="shared" si="21"/>
        <v>2.38</v>
      </c>
      <c r="V34">
        <f t="shared" si="21"/>
        <v>2.54</v>
      </c>
      <c r="W34">
        <f t="shared" si="21"/>
        <v>2.54</v>
      </c>
      <c r="X34">
        <f t="shared" si="21"/>
        <v>2.2599999999999998</v>
      </c>
      <c r="Y34">
        <f t="shared" si="21"/>
        <v>2.29</v>
      </c>
      <c r="Z34">
        <f t="shared" si="21"/>
        <v>0</v>
      </c>
      <c r="AA34">
        <f t="shared" si="21"/>
        <v>0</v>
      </c>
      <c r="AB34">
        <f t="shared" si="21"/>
        <v>0</v>
      </c>
      <c r="AC34">
        <f t="shared" si="21"/>
        <v>0</v>
      </c>
      <c r="AD34">
        <f t="shared" si="21"/>
        <v>0</v>
      </c>
      <c r="AE34">
        <f t="shared" si="21"/>
        <v>0</v>
      </c>
      <c r="AF34">
        <f t="shared" si="21"/>
        <v>0</v>
      </c>
      <c r="AG34">
        <f t="shared" si="21"/>
        <v>0</v>
      </c>
      <c r="AH34">
        <f t="shared" si="21"/>
        <v>0</v>
      </c>
      <c r="AI34">
        <f t="shared" si="21"/>
        <v>0</v>
      </c>
      <c r="AJ34">
        <f t="shared" si="21"/>
        <v>0</v>
      </c>
      <c r="AK34">
        <f t="shared" si="21"/>
        <v>0</v>
      </c>
      <c r="AL34">
        <f t="shared" si="21"/>
        <v>0</v>
      </c>
      <c r="AM34">
        <f t="shared" si="21"/>
        <v>0</v>
      </c>
      <c r="AN34">
        <f t="shared" si="21"/>
        <v>0</v>
      </c>
      <c r="AO34">
        <f t="shared" si="21"/>
        <v>0</v>
      </c>
      <c r="AP34">
        <f t="shared" si="21"/>
        <v>0</v>
      </c>
      <c r="AQ34">
        <f t="shared" si="21"/>
        <v>0</v>
      </c>
      <c r="AR34">
        <f t="shared" si="21"/>
        <v>0</v>
      </c>
      <c r="AS34">
        <f t="shared" si="21"/>
        <v>0</v>
      </c>
      <c r="AT34">
        <f t="shared" si="21"/>
        <v>0</v>
      </c>
      <c r="AU34">
        <f t="shared" si="21"/>
        <v>0</v>
      </c>
      <c r="AV34">
        <f t="shared" si="21"/>
        <v>0</v>
      </c>
      <c r="AW34">
        <f t="shared" si="21"/>
        <v>0</v>
      </c>
      <c r="AX34">
        <f t="shared" si="21"/>
        <v>0</v>
      </c>
      <c r="AY34">
        <f t="shared" si="21"/>
        <v>0</v>
      </c>
      <c r="AZ34">
        <f t="shared" si="21"/>
        <v>0</v>
      </c>
      <c r="BA34">
        <f t="shared" si="21"/>
        <v>0</v>
      </c>
      <c r="BB34">
        <f t="shared" si="21"/>
        <v>0</v>
      </c>
      <c r="BC34">
        <f t="shared" si="21"/>
        <v>0</v>
      </c>
      <c r="BD34">
        <f t="shared" si="21"/>
        <v>0</v>
      </c>
      <c r="BE34">
        <f t="shared" si="21"/>
        <v>0</v>
      </c>
      <c r="BF34">
        <f t="shared" si="21"/>
        <v>0</v>
      </c>
      <c r="BG34">
        <f t="shared" si="21"/>
        <v>0</v>
      </c>
      <c r="BH34">
        <f t="shared" si="21"/>
        <v>0</v>
      </c>
      <c r="BI34">
        <f t="shared" si="21"/>
        <v>0</v>
      </c>
      <c r="BJ34">
        <f t="shared" si="21"/>
        <v>0</v>
      </c>
      <c r="BK34">
        <f t="shared" si="21"/>
        <v>0</v>
      </c>
      <c r="BL34">
        <f t="shared" si="21"/>
        <v>0</v>
      </c>
      <c r="BM34">
        <f t="shared" si="21"/>
        <v>0</v>
      </c>
      <c r="BN34">
        <f t="shared" si="21"/>
        <v>0</v>
      </c>
      <c r="BO34">
        <f t="shared" si="21"/>
        <v>0</v>
      </c>
      <c r="BP34">
        <f t="shared" si="21"/>
        <v>0</v>
      </c>
      <c r="BQ34">
        <f t="shared" si="21"/>
        <v>0</v>
      </c>
      <c r="BR34">
        <f t="shared" si="19"/>
        <v>0</v>
      </c>
      <c r="BS34">
        <f t="shared" si="19"/>
        <v>0</v>
      </c>
      <c r="BT34">
        <f t="shared" si="19"/>
        <v>0</v>
      </c>
      <c r="BU34">
        <f t="shared" si="19"/>
        <v>0</v>
      </c>
      <c r="BV34">
        <f t="shared" si="19"/>
        <v>0</v>
      </c>
      <c r="BW34">
        <f t="shared" si="19"/>
        <v>0</v>
      </c>
      <c r="BX34">
        <f t="shared" si="19"/>
        <v>0</v>
      </c>
      <c r="BY34">
        <f t="shared" si="19"/>
        <v>0</v>
      </c>
      <c r="BZ34">
        <f t="shared" si="19"/>
        <v>0</v>
      </c>
      <c r="CA34">
        <f t="shared" si="19"/>
        <v>0</v>
      </c>
      <c r="CB34">
        <f t="shared" si="19"/>
        <v>0</v>
      </c>
      <c r="CC34">
        <f t="shared" si="19"/>
        <v>0</v>
      </c>
      <c r="CD34">
        <f t="shared" si="19"/>
        <v>0</v>
      </c>
      <c r="CE34">
        <f t="shared" si="19"/>
        <v>0</v>
      </c>
      <c r="CF34">
        <f t="shared" si="19"/>
        <v>0</v>
      </c>
      <c r="CG34">
        <f t="shared" si="19"/>
        <v>0</v>
      </c>
      <c r="CH34">
        <f t="shared" si="19"/>
        <v>0</v>
      </c>
      <c r="CI34">
        <f t="shared" si="19"/>
        <v>0</v>
      </c>
      <c r="CJ34">
        <f t="shared" si="19"/>
        <v>0</v>
      </c>
      <c r="CK34">
        <f t="shared" si="19"/>
        <v>0</v>
      </c>
      <c r="CL34">
        <f t="shared" si="19"/>
        <v>0</v>
      </c>
      <c r="CM34">
        <f t="shared" si="19"/>
        <v>0</v>
      </c>
      <c r="CN34">
        <f t="shared" si="19"/>
        <v>0</v>
      </c>
      <c r="CO34">
        <f t="shared" si="19"/>
        <v>0</v>
      </c>
      <c r="CP34">
        <f t="shared" si="19"/>
        <v>0</v>
      </c>
      <c r="CQ34">
        <f t="shared" si="19"/>
        <v>0</v>
      </c>
      <c r="CR34">
        <f t="shared" si="19"/>
        <v>0</v>
      </c>
      <c r="CS34">
        <f t="shared" si="19"/>
        <v>0</v>
      </c>
      <c r="CT34">
        <f t="shared" si="19"/>
        <v>0</v>
      </c>
      <c r="CU34">
        <f t="shared" si="19"/>
        <v>0</v>
      </c>
      <c r="CV34">
        <f t="shared" si="19"/>
        <v>0</v>
      </c>
      <c r="CW34">
        <f t="shared" si="19"/>
        <v>0</v>
      </c>
      <c r="CX34">
        <f t="shared" si="19"/>
        <v>0</v>
      </c>
      <c r="CY34">
        <f t="shared" si="19"/>
        <v>0</v>
      </c>
      <c r="CZ34">
        <f t="shared" si="19"/>
        <v>0</v>
      </c>
      <c r="DA34">
        <f t="shared" si="19"/>
        <v>0</v>
      </c>
      <c r="DB34">
        <f t="shared" si="19"/>
        <v>0</v>
      </c>
      <c r="DC34">
        <f t="shared" si="19"/>
        <v>0</v>
      </c>
      <c r="DD34">
        <f t="shared" si="19"/>
        <v>0</v>
      </c>
      <c r="DE34">
        <f t="shared" si="19"/>
        <v>0</v>
      </c>
      <c r="DF34">
        <f t="shared" si="19"/>
        <v>0</v>
      </c>
      <c r="DG34">
        <f t="shared" si="19"/>
        <v>0</v>
      </c>
      <c r="DH34">
        <f t="shared" si="19"/>
        <v>0</v>
      </c>
      <c r="DI34">
        <f t="shared" si="19"/>
        <v>0</v>
      </c>
      <c r="DJ34">
        <f t="shared" si="19"/>
        <v>0</v>
      </c>
      <c r="DK34">
        <f t="shared" si="19"/>
        <v>0</v>
      </c>
      <c r="DL34">
        <f t="shared" si="19"/>
        <v>0</v>
      </c>
      <c r="DM34">
        <f t="shared" si="19"/>
        <v>0</v>
      </c>
      <c r="DN34">
        <f t="shared" si="19"/>
        <v>0</v>
      </c>
      <c r="DO34">
        <f t="shared" si="19"/>
        <v>0</v>
      </c>
      <c r="DP34">
        <f t="shared" si="19"/>
        <v>0</v>
      </c>
      <c r="DQ34">
        <f t="shared" si="19"/>
        <v>0</v>
      </c>
      <c r="DR34">
        <f t="shared" si="19"/>
        <v>0</v>
      </c>
      <c r="DS34">
        <f t="shared" si="19"/>
        <v>0</v>
      </c>
      <c r="DT34">
        <f t="shared" si="19"/>
        <v>0</v>
      </c>
      <c r="DU34">
        <f t="shared" si="19"/>
        <v>0</v>
      </c>
      <c r="DV34">
        <f t="shared" si="19"/>
        <v>0</v>
      </c>
      <c r="DW34">
        <f t="shared" si="19"/>
        <v>0</v>
      </c>
      <c r="DX34">
        <f t="shared" si="19"/>
        <v>0</v>
      </c>
      <c r="DY34">
        <f t="shared" si="19"/>
        <v>0</v>
      </c>
      <c r="DZ34">
        <f t="shared" si="19"/>
        <v>0</v>
      </c>
      <c r="EA34">
        <f t="shared" si="19"/>
        <v>0</v>
      </c>
      <c r="EB34">
        <f t="shared" si="19"/>
        <v>0</v>
      </c>
      <c r="EC34">
        <f t="shared" si="17"/>
        <v>0</v>
      </c>
      <c r="ED34">
        <f t="shared" si="15"/>
        <v>0</v>
      </c>
      <c r="EE34">
        <f t="shared" si="15"/>
        <v>0</v>
      </c>
      <c r="EF34">
        <f t="shared" si="15"/>
        <v>0</v>
      </c>
      <c r="EG34">
        <f t="shared" si="15"/>
        <v>0</v>
      </c>
      <c r="EH34">
        <f t="shared" si="15"/>
        <v>0</v>
      </c>
      <c r="EI34">
        <f t="shared" si="15"/>
        <v>0</v>
      </c>
      <c r="EJ34">
        <f t="shared" si="15"/>
        <v>0</v>
      </c>
      <c r="EK34">
        <f t="shared" si="15"/>
        <v>0</v>
      </c>
      <c r="EL34">
        <f t="shared" si="15"/>
        <v>0</v>
      </c>
      <c r="EM34">
        <f t="shared" si="15"/>
        <v>0</v>
      </c>
      <c r="EN34">
        <f t="shared" si="15"/>
        <v>0</v>
      </c>
      <c r="EO34">
        <f t="shared" si="15"/>
        <v>0</v>
      </c>
      <c r="EP34">
        <f t="shared" si="15"/>
        <v>0</v>
      </c>
      <c r="EQ34">
        <f t="shared" si="15"/>
        <v>0</v>
      </c>
      <c r="ER34">
        <f t="shared" si="15"/>
        <v>0</v>
      </c>
      <c r="ES34">
        <f t="shared" si="15"/>
        <v>0</v>
      </c>
      <c r="ET34">
        <f t="shared" si="15"/>
        <v>0</v>
      </c>
      <c r="EU34">
        <f t="shared" si="15"/>
        <v>0</v>
      </c>
      <c r="EV34">
        <f t="shared" si="15"/>
        <v>0</v>
      </c>
      <c r="EW34">
        <f t="shared" si="15"/>
        <v>0</v>
      </c>
      <c r="EX34">
        <f t="shared" si="15"/>
        <v>0</v>
      </c>
      <c r="EY34">
        <f t="shared" si="15"/>
        <v>0</v>
      </c>
      <c r="EZ34">
        <f t="shared" si="15"/>
        <v>0</v>
      </c>
      <c r="FA34">
        <f t="shared" si="15"/>
        <v>0</v>
      </c>
      <c r="FB34">
        <f t="shared" si="15"/>
        <v>0</v>
      </c>
      <c r="FC34">
        <f t="shared" si="15"/>
        <v>0</v>
      </c>
      <c r="FD34">
        <f t="shared" si="15"/>
        <v>0</v>
      </c>
      <c r="FE34">
        <f t="shared" si="15"/>
        <v>0</v>
      </c>
      <c r="FF34">
        <f t="shared" si="15"/>
        <v>0</v>
      </c>
      <c r="FG34">
        <f t="shared" si="15"/>
        <v>0</v>
      </c>
      <c r="FH34">
        <f t="shared" si="15"/>
        <v>0</v>
      </c>
      <c r="FI34">
        <f t="shared" si="15"/>
        <v>0</v>
      </c>
      <c r="FJ34">
        <f t="shared" si="15"/>
        <v>0</v>
      </c>
      <c r="FK34">
        <f t="shared" si="15"/>
        <v>0</v>
      </c>
      <c r="FL34">
        <f t="shared" ref="FL34:FU34" si="24">FL12-ROUNDUP(FL12*0.3,2)</f>
        <v>0</v>
      </c>
      <c r="FM34">
        <f t="shared" si="24"/>
        <v>0</v>
      </c>
      <c r="FN34">
        <f t="shared" si="24"/>
        <v>0</v>
      </c>
      <c r="FO34">
        <f t="shared" si="24"/>
        <v>0</v>
      </c>
      <c r="FP34">
        <f t="shared" si="24"/>
        <v>0</v>
      </c>
      <c r="FQ34">
        <f t="shared" si="24"/>
        <v>0</v>
      </c>
      <c r="FR34">
        <f t="shared" si="24"/>
        <v>0</v>
      </c>
      <c r="FS34">
        <f t="shared" si="24"/>
        <v>0</v>
      </c>
      <c r="FT34">
        <f t="shared" si="24"/>
        <v>0</v>
      </c>
      <c r="FU34">
        <f t="shared" si="24"/>
        <v>0</v>
      </c>
    </row>
    <row r="35" spans="1:177" x14ac:dyDescent="0.25">
      <c r="A35" t="str">
        <f t="shared" ref="A35:D35" si="25">A13</f>
        <v>MP7</v>
      </c>
      <c r="B35" t="str">
        <f t="shared" si="25"/>
        <v>Nemesis MW</v>
      </c>
      <c r="C35" t="str">
        <f t="shared" si="25"/>
        <v>SMG</v>
      </c>
      <c r="D35" t="str">
        <f t="shared" si="25"/>
        <v>Falchion</v>
      </c>
      <c r="E35">
        <f t="shared" si="11"/>
        <v>3.73</v>
      </c>
      <c r="F35">
        <f t="shared" si="21"/>
        <v>3.96</v>
      </c>
      <c r="G35">
        <f t="shared" si="21"/>
        <v>4.1000000000000005</v>
      </c>
      <c r="H35">
        <f t="shared" si="21"/>
        <v>3.94</v>
      </c>
      <c r="I35">
        <f t="shared" si="21"/>
        <v>4.05</v>
      </c>
      <c r="J35">
        <f t="shared" si="21"/>
        <v>3.6499999999999995</v>
      </c>
      <c r="K35">
        <f t="shared" si="21"/>
        <v>3.7800000000000002</v>
      </c>
      <c r="L35">
        <f t="shared" si="21"/>
        <v>3.91</v>
      </c>
      <c r="M35">
        <f t="shared" si="21"/>
        <v>3.6799999999999997</v>
      </c>
      <c r="N35">
        <f t="shared" si="21"/>
        <v>4.59</v>
      </c>
      <c r="O35">
        <f t="shared" si="21"/>
        <v>4.1199999999999992</v>
      </c>
      <c r="P35">
        <f t="shared" si="21"/>
        <v>3.67</v>
      </c>
      <c r="Q35">
        <f t="shared" si="21"/>
        <v>3.8300000000000005</v>
      </c>
      <c r="R35">
        <f t="shared" si="21"/>
        <v>3.9000000000000004</v>
      </c>
      <c r="S35">
        <f t="shared" si="21"/>
        <v>4.1099999999999994</v>
      </c>
      <c r="T35">
        <f t="shared" si="21"/>
        <v>3.87</v>
      </c>
      <c r="U35">
        <f t="shared" si="21"/>
        <v>3.96</v>
      </c>
      <c r="V35">
        <f t="shared" si="21"/>
        <v>3.5200000000000005</v>
      </c>
      <c r="W35">
        <f t="shared" si="21"/>
        <v>4.13</v>
      </c>
      <c r="X35">
        <f t="shared" si="21"/>
        <v>3.79</v>
      </c>
      <c r="Y35">
        <f t="shared" si="21"/>
        <v>3.94</v>
      </c>
      <c r="Z35">
        <f t="shared" si="21"/>
        <v>0</v>
      </c>
      <c r="AA35">
        <f t="shared" si="21"/>
        <v>0</v>
      </c>
      <c r="AB35">
        <f t="shared" si="21"/>
        <v>0</v>
      </c>
      <c r="AC35">
        <f t="shared" si="21"/>
        <v>0</v>
      </c>
      <c r="AD35">
        <f t="shared" si="21"/>
        <v>0</v>
      </c>
      <c r="AE35">
        <f t="shared" si="21"/>
        <v>0</v>
      </c>
      <c r="AF35">
        <f t="shared" si="21"/>
        <v>0</v>
      </c>
      <c r="AG35">
        <f t="shared" si="21"/>
        <v>0</v>
      </c>
      <c r="AH35">
        <f t="shared" si="21"/>
        <v>0</v>
      </c>
      <c r="AI35">
        <f t="shared" si="21"/>
        <v>0</v>
      </c>
      <c r="AJ35">
        <f t="shared" si="21"/>
        <v>0</v>
      </c>
      <c r="AK35">
        <f t="shared" si="21"/>
        <v>0</v>
      </c>
      <c r="AL35">
        <f t="shared" si="21"/>
        <v>0</v>
      </c>
      <c r="AM35">
        <f t="shared" si="21"/>
        <v>0</v>
      </c>
      <c r="AN35">
        <f t="shared" si="21"/>
        <v>0</v>
      </c>
      <c r="AO35">
        <f t="shared" si="21"/>
        <v>0</v>
      </c>
      <c r="AP35">
        <f t="shared" si="21"/>
        <v>0</v>
      </c>
      <c r="AQ35">
        <f t="shared" si="21"/>
        <v>0</v>
      </c>
      <c r="AR35">
        <f t="shared" si="21"/>
        <v>0</v>
      </c>
      <c r="AS35">
        <f t="shared" si="21"/>
        <v>0</v>
      </c>
      <c r="AT35">
        <f t="shared" si="21"/>
        <v>0</v>
      </c>
      <c r="AU35">
        <f t="shared" si="21"/>
        <v>0</v>
      </c>
      <c r="AV35">
        <f t="shared" si="21"/>
        <v>0</v>
      </c>
      <c r="AW35">
        <f t="shared" si="21"/>
        <v>0</v>
      </c>
      <c r="AX35">
        <f t="shared" si="21"/>
        <v>0</v>
      </c>
      <c r="AY35">
        <f t="shared" si="21"/>
        <v>0</v>
      </c>
      <c r="AZ35">
        <f t="shared" si="21"/>
        <v>0</v>
      </c>
      <c r="BA35">
        <f t="shared" si="21"/>
        <v>0</v>
      </c>
      <c r="BB35">
        <f t="shared" si="21"/>
        <v>0</v>
      </c>
      <c r="BC35">
        <f t="shared" si="21"/>
        <v>0</v>
      </c>
      <c r="BD35">
        <f t="shared" si="21"/>
        <v>0</v>
      </c>
      <c r="BE35">
        <f t="shared" si="21"/>
        <v>0</v>
      </c>
      <c r="BF35">
        <f t="shared" si="21"/>
        <v>0</v>
      </c>
      <c r="BG35">
        <f t="shared" si="21"/>
        <v>0</v>
      </c>
      <c r="BH35">
        <f t="shared" si="21"/>
        <v>0</v>
      </c>
      <c r="BI35">
        <f t="shared" si="21"/>
        <v>0</v>
      </c>
      <c r="BJ35">
        <f t="shared" si="21"/>
        <v>0</v>
      </c>
      <c r="BK35">
        <f t="shared" si="21"/>
        <v>0</v>
      </c>
      <c r="BL35">
        <f t="shared" si="21"/>
        <v>0</v>
      </c>
      <c r="BM35">
        <f t="shared" si="21"/>
        <v>0</v>
      </c>
      <c r="BN35">
        <f t="shared" si="21"/>
        <v>0</v>
      </c>
      <c r="BO35">
        <f t="shared" si="21"/>
        <v>0</v>
      </c>
      <c r="BP35">
        <f t="shared" si="21"/>
        <v>0</v>
      </c>
      <c r="BQ35">
        <f t="shared" ref="BQ35:EB38" si="26">BQ13-ROUNDUP(BQ13*0.3,2)</f>
        <v>0</v>
      </c>
      <c r="BR35">
        <f t="shared" si="26"/>
        <v>0</v>
      </c>
      <c r="BS35">
        <f t="shared" si="26"/>
        <v>0</v>
      </c>
      <c r="BT35">
        <f t="shared" si="26"/>
        <v>0</v>
      </c>
      <c r="BU35">
        <f t="shared" si="26"/>
        <v>0</v>
      </c>
      <c r="BV35">
        <f t="shared" si="26"/>
        <v>0</v>
      </c>
      <c r="BW35">
        <f t="shared" si="26"/>
        <v>0</v>
      </c>
      <c r="BX35">
        <f t="shared" si="26"/>
        <v>0</v>
      </c>
      <c r="BY35">
        <f t="shared" si="26"/>
        <v>0</v>
      </c>
      <c r="BZ35">
        <f t="shared" si="26"/>
        <v>0</v>
      </c>
      <c r="CA35">
        <f t="shared" si="26"/>
        <v>0</v>
      </c>
      <c r="CB35">
        <f t="shared" si="26"/>
        <v>0</v>
      </c>
      <c r="CC35">
        <f t="shared" si="26"/>
        <v>0</v>
      </c>
      <c r="CD35">
        <f t="shared" si="26"/>
        <v>0</v>
      </c>
      <c r="CE35">
        <f t="shared" si="26"/>
        <v>0</v>
      </c>
      <c r="CF35">
        <f t="shared" si="26"/>
        <v>0</v>
      </c>
      <c r="CG35">
        <f t="shared" si="26"/>
        <v>0</v>
      </c>
      <c r="CH35">
        <f t="shared" si="26"/>
        <v>0</v>
      </c>
      <c r="CI35">
        <f t="shared" si="26"/>
        <v>0</v>
      </c>
      <c r="CJ35">
        <f t="shared" si="26"/>
        <v>0</v>
      </c>
      <c r="CK35">
        <f t="shared" si="26"/>
        <v>0</v>
      </c>
      <c r="CL35">
        <f t="shared" si="26"/>
        <v>0</v>
      </c>
      <c r="CM35">
        <f t="shared" si="26"/>
        <v>0</v>
      </c>
      <c r="CN35">
        <f t="shared" si="26"/>
        <v>0</v>
      </c>
      <c r="CO35">
        <f t="shared" si="26"/>
        <v>0</v>
      </c>
      <c r="CP35">
        <f t="shared" si="26"/>
        <v>0</v>
      </c>
      <c r="CQ35">
        <f t="shared" si="26"/>
        <v>0</v>
      </c>
      <c r="CR35">
        <f t="shared" si="26"/>
        <v>0</v>
      </c>
      <c r="CS35">
        <f t="shared" si="26"/>
        <v>0</v>
      </c>
      <c r="CT35">
        <f t="shared" si="26"/>
        <v>0</v>
      </c>
      <c r="CU35">
        <f t="shared" si="26"/>
        <v>0</v>
      </c>
      <c r="CV35">
        <f t="shared" si="26"/>
        <v>0</v>
      </c>
      <c r="CW35">
        <f t="shared" si="26"/>
        <v>0</v>
      </c>
      <c r="CX35">
        <f t="shared" si="26"/>
        <v>0</v>
      </c>
      <c r="CY35">
        <f t="shared" si="26"/>
        <v>0</v>
      </c>
      <c r="CZ35">
        <f t="shared" si="26"/>
        <v>0</v>
      </c>
      <c r="DA35">
        <f t="shared" si="26"/>
        <v>0</v>
      </c>
      <c r="DB35">
        <f t="shared" si="26"/>
        <v>0</v>
      </c>
      <c r="DC35">
        <f t="shared" si="26"/>
        <v>0</v>
      </c>
      <c r="DD35">
        <f t="shared" si="26"/>
        <v>0</v>
      </c>
      <c r="DE35">
        <f t="shared" si="26"/>
        <v>0</v>
      </c>
      <c r="DF35">
        <f t="shared" si="26"/>
        <v>0</v>
      </c>
      <c r="DG35">
        <f t="shared" si="26"/>
        <v>0</v>
      </c>
      <c r="DH35">
        <f t="shared" si="26"/>
        <v>0</v>
      </c>
      <c r="DI35">
        <f t="shared" si="26"/>
        <v>0</v>
      </c>
      <c r="DJ35">
        <f t="shared" si="26"/>
        <v>0</v>
      </c>
      <c r="DK35">
        <f t="shared" si="26"/>
        <v>0</v>
      </c>
      <c r="DL35">
        <f t="shared" si="26"/>
        <v>0</v>
      </c>
      <c r="DM35">
        <f t="shared" si="26"/>
        <v>0</v>
      </c>
      <c r="DN35">
        <f t="shared" si="26"/>
        <v>0</v>
      </c>
      <c r="DO35">
        <f t="shared" si="26"/>
        <v>0</v>
      </c>
      <c r="DP35">
        <f t="shared" si="26"/>
        <v>0</v>
      </c>
      <c r="DQ35">
        <f t="shared" si="26"/>
        <v>0</v>
      </c>
      <c r="DR35">
        <f t="shared" si="26"/>
        <v>0</v>
      </c>
      <c r="DS35">
        <f t="shared" si="26"/>
        <v>0</v>
      </c>
      <c r="DT35">
        <f t="shared" si="26"/>
        <v>0</v>
      </c>
      <c r="DU35">
        <f t="shared" si="26"/>
        <v>0</v>
      </c>
      <c r="DV35">
        <f t="shared" si="26"/>
        <v>0</v>
      </c>
      <c r="DW35">
        <f t="shared" si="26"/>
        <v>0</v>
      </c>
      <c r="DX35">
        <f t="shared" si="26"/>
        <v>0</v>
      </c>
      <c r="DY35">
        <f t="shared" si="26"/>
        <v>0</v>
      </c>
      <c r="DZ35">
        <f t="shared" si="26"/>
        <v>0</v>
      </c>
      <c r="EA35">
        <f t="shared" si="26"/>
        <v>0</v>
      </c>
      <c r="EB35">
        <f t="shared" si="26"/>
        <v>0</v>
      </c>
      <c r="EC35">
        <f t="shared" si="17"/>
        <v>0</v>
      </c>
      <c r="ED35">
        <f t="shared" ref="ED35:FU39" si="27">ED13-ROUNDUP(ED13*0.3,2)</f>
        <v>0</v>
      </c>
      <c r="EE35">
        <f t="shared" si="27"/>
        <v>0</v>
      </c>
      <c r="EF35">
        <f t="shared" si="27"/>
        <v>0</v>
      </c>
      <c r="EG35">
        <f t="shared" si="27"/>
        <v>0</v>
      </c>
      <c r="EH35">
        <f t="shared" si="27"/>
        <v>0</v>
      </c>
      <c r="EI35">
        <f t="shared" si="27"/>
        <v>0</v>
      </c>
      <c r="EJ35">
        <f t="shared" si="27"/>
        <v>0</v>
      </c>
      <c r="EK35">
        <f t="shared" si="27"/>
        <v>0</v>
      </c>
      <c r="EL35">
        <f t="shared" si="27"/>
        <v>0</v>
      </c>
      <c r="EM35">
        <f t="shared" si="27"/>
        <v>0</v>
      </c>
      <c r="EN35">
        <f t="shared" si="27"/>
        <v>0</v>
      </c>
      <c r="EO35">
        <f t="shared" si="27"/>
        <v>0</v>
      </c>
      <c r="EP35">
        <f t="shared" si="27"/>
        <v>0</v>
      </c>
      <c r="EQ35">
        <f t="shared" si="27"/>
        <v>0</v>
      </c>
      <c r="ER35">
        <f t="shared" si="27"/>
        <v>0</v>
      </c>
      <c r="ES35">
        <f t="shared" si="27"/>
        <v>0</v>
      </c>
      <c r="ET35">
        <f t="shared" si="27"/>
        <v>0</v>
      </c>
      <c r="EU35">
        <f t="shared" si="27"/>
        <v>0</v>
      </c>
      <c r="EV35">
        <f t="shared" si="27"/>
        <v>0</v>
      </c>
      <c r="EW35">
        <f t="shared" si="27"/>
        <v>0</v>
      </c>
      <c r="EX35">
        <f t="shared" si="27"/>
        <v>0</v>
      </c>
      <c r="EY35">
        <f t="shared" si="27"/>
        <v>0</v>
      </c>
      <c r="EZ35">
        <f t="shared" si="27"/>
        <v>0</v>
      </c>
      <c r="FA35">
        <f t="shared" si="27"/>
        <v>0</v>
      </c>
      <c r="FB35">
        <f t="shared" si="27"/>
        <v>0</v>
      </c>
      <c r="FC35">
        <f t="shared" si="27"/>
        <v>0</v>
      </c>
      <c r="FD35">
        <f t="shared" si="27"/>
        <v>0</v>
      </c>
      <c r="FE35">
        <f t="shared" si="27"/>
        <v>0</v>
      </c>
      <c r="FF35">
        <f t="shared" si="27"/>
        <v>0</v>
      </c>
      <c r="FG35">
        <f t="shared" si="27"/>
        <v>0</v>
      </c>
      <c r="FH35">
        <f t="shared" si="27"/>
        <v>0</v>
      </c>
      <c r="FI35">
        <f t="shared" si="27"/>
        <v>0</v>
      </c>
      <c r="FJ35">
        <f t="shared" si="27"/>
        <v>0</v>
      </c>
      <c r="FK35">
        <f t="shared" si="27"/>
        <v>0</v>
      </c>
      <c r="FL35">
        <f t="shared" si="27"/>
        <v>0</v>
      </c>
      <c r="FM35">
        <f t="shared" si="27"/>
        <v>0</v>
      </c>
      <c r="FN35">
        <f t="shared" si="27"/>
        <v>0</v>
      </c>
      <c r="FO35">
        <f t="shared" si="27"/>
        <v>0</v>
      </c>
      <c r="FP35">
        <f t="shared" si="27"/>
        <v>0</v>
      </c>
      <c r="FQ35">
        <f t="shared" si="27"/>
        <v>0</v>
      </c>
      <c r="FR35">
        <f t="shared" si="27"/>
        <v>0</v>
      </c>
      <c r="FS35">
        <f t="shared" si="27"/>
        <v>0</v>
      </c>
      <c r="FT35">
        <f t="shared" si="27"/>
        <v>0</v>
      </c>
      <c r="FU35">
        <f t="shared" si="27"/>
        <v>0</v>
      </c>
    </row>
    <row r="36" spans="1:177" x14ac:dyDescent="0.25">
      <c r="A36" t="str">
        <f t="shared" ref="A36:D36" si="28">A14</f>
        <v>UMP-45</v>
      </c>
      <c r="B36" t="str">
        <f t="shared" si="28"/>
        <v>StatTrak Primal Saber FT</v>
      </c>
      <c r="C36" t="str">
        <f t="shared" si="28"/>
        <v>SMG</v>
      </c>
      <c r="D36" t="str">
        <f t="shared" si="28"/>
        <v>Chroma 3</v>
      </c>
      <c r="E36">
        <f t="shared" si="11"/>
        <v>3.08</v>
      </c>
      <c r="F36">
        <f t="shared" ref="F36:BQ39" si="29">F14-ROUNDUP(F14*0.3,2)</f>
        <v>2.91</v>
      </c>
      <c r="G36">
        <f t="shared" si="29"/>
        <v>3.05</v>
      </c>
      <c r="H36">
        <f t="shared" si="29"/>
        <v>3.03</v>
      </c>
      <c r="I36">
        <f t="shared" si="29"/>
        <v>2.63</v>
      </c>
      <c r="J36">
        <f t="shared" si="29"/>
        <v>3.03</v>
      </c>
      <c r="K36">
        <f t="shared" si="29"/>
        <v>2.77</v>
      </c>
      <c r="L36">
        <f t="shared" si="29"/>
        <v>2.9799999999999995</v>
      </c>
      <c r="M36">
        <f t="shared" si="29"/>
        <v>2.83</v>
      </c>
      <c r="N36">
        <f t="shared" si="29"/>
        <v>2.6500000000000004</v>
      </c>
      <c r="O36">
        <f t="shared" si="29"/>
        <v>2.75</v>
      </c>
      <c r="P36">
        <f t="shared" si="29"/>
        <v>2.71</v>
      </c>
      <c r="Q36">
        <f t="shared" si="29"/>
        <v>2.9600000000000004</v>
      </c>
      <c r="R36">
        <f t="shared" si="29"/>
        <v>2.7300000000000004</v>
      </c>
      <c r="S36">
        <f t="shared" si="29"/>
        <v>3.0300000000000002</v>
      </c>
      <c r="T36">
        <f t="shared" si="29"/>
        <v>2.75</v>
      </c>
      <c r="U36">
        <f t="shared" si="29"/>
        <v>2.85</v>
      </c>
      <c r="V36">
        <f t="shared" si="29"/>
        <v>2.62</v>
      </c>
      <c r="W36">
        <f t="shared" si="29"/>
        <v>2.9300000000000006</v>
      </c>
      <c r="X36">
        <f t="shared" si="29"/>
        <v>2.6100000000000003</v>
      </c>
      <c r="Y36">
        <f t="shared" si="29"/>
        <v>2.5300000000000002</v>
      </c>
      <c r="Z36">
        <f t="shared" si="29"/>
        <v>0</v>
      </c>
      <c r="AA36">
        <f t="shared" si="29"/>
        <v>0</v>
      </c>
      <c r="AB36">
        <f t="shared" si="29"/>
        <v>0</v>
      </c>
      <c r="AC36">
        <f t="shared" si="29"/>
        <v>0</v>
      </c>
      <c r="AD36">
        <f t="shared" si="29"/>
        <v>0</v>
      </c>
      <c r="AE36">
        <f t="shared" si="29"/>
        <v>0</v>
      </c>
      <c r="AF36">
        <f t="shared" si="29"/>
        <v>0</v>
      </c>
      <c r="AG36">
        <f t="shared" si="29"/>
        <v>0</v>
      </c>
      <c r="AH36">
        <f t="shared" si="29"/>
        <v>0</v>
      </c>
      <c r="AI36">
        <f t="shared" si="29"/>
        <v>0</v>
      </c>
      <c r="AJ36">
        <f t="shared" si="29"/>
        <v>0</v>
      </c>
      <c r="AK36">
        <f t="shared" si="29"/>
        <v>0</v>
      </c>
      <c r="AL36">
        <f t="shared" si="29"/>
        <v>0</v>
      </c>
      <c r="AM36">
        <f t="shared" si="29"/>
        <v>0</v>
      </c>
      <c r="AN36">
        <f t="shared" si="29"/>
        <v>0</v>
      </c>
      <c r="AO36">
        <f t="shared" si="29"/>
        <v>0</v>
      </c>
      <c r="AP36">
        <f t="shared" si="29"/>
        <v>0</v>
      </c>
      <c r="AQ36">
        <f t="shared" si="29"/>
        <v>0</v>
      </c>
      <c r="AR36">
        <f t="shared" si="29"/>
        <v>0</v>
      </c>
      <c r="AS36">
        <f t="shared" si="29"/>
        <v>0</v>
      </c>
      <c r="AT36">
        <f t="shared" si="29"/>
        <v>0</v>
      </c>
      <c r="AU36">
        <f t="shared" si="29"/>
        <v>0</v>
      </c>
      <c r="AV36">
        <f t="shared" si="29"/>
        <v>0</v>
      </c>
      <c r="AW36">
        <f t="shared" si="29"/>
        <v>0</v>
      </c>
      <c r="AX36">
        <f t="shared" si="29"/>
        <v>0</v>
      </c>
      <c r="AY36">
        <f t="shared" si="29"/>
        <v>0</v>
      </c>
      <c r="AZ36">
        <f t="shared" si="29"/>
        <v>0</v>
      </c>
      <c r="BA36">
        <f t="shared" si="29"/>
        <v>0</v>
      </c>
      <c r="BB36">
        <f t="shared" si="29"/>
        <v>0</v>
      </c>
      <c r="BC36">
        <f t="shared" si="29"/>
        <v>0</v>
      </c>
      <c r="BD36">
        <f t="shared" si="29"/>
        <v>0</v>
      </c>
      <c r="BE36">
        <f t="shared" si="29"/>
        <v>0</v>
      </c>
      <c r="BF36">
        <f t="shared" si="29"/>
        <v>0</v>
      </c>
      <c r="BG36">
        <f t="shared" si="29"/>
        <v>0</v>
      </c>
      <c r="BH36">
        <f t="shared" si="29"/>
        <v>0</v>
      </c>
      <c r="BI36">
        <f t="shared" si="29"/>
        <v>0</v>
      </c>
      <c r="BJ36">
        <f t="shared" si="29"/>
        <v>0</v>
      </c>
      <c r="BK36">
        <f t="shared" si="29"/>
        <v>0</v>
      </c>
      <c r="BL36">
        <f t="shared" si="29"/>
        <v>0</v>
      </c>
      <c r="BM36">
        <f t="shared" si="29"/>
        <v>0</v>
      </c>
      <c r="BN36">
        <f t="shared" si="29"/>
        <v>0</v>
      </c>
      <c r="BO36">
        <f t="shared" si="29"/>
        <v>0</v>
      </c>
      <c r="BP36">
        <f t="shared" si="29"/>
        <v>0</v>
      </c>
      <c r="BQ36">
        <f t="shared" si="29"/>
        <v>0</v>
      </c>
      <c r="BR36">
        <f t="shared" si="26"/>
        <v>0</v>
      </c>
      <c r="BS36">
        <f t="shared" si="26"/>
        <v>0</v>
      </c>
      <c r="BT36">
        <f t="shared" si="26"/>
        <v>0</v>
      </c>
      <c r="BU36">
        <f t="shared" si="26"/>
        <v>0</v>
      </c>
      <c r="BV36">
        <f t="shared" si="26"/>
        <v>0</v>
      </c>
      <c r="BW36">
        <f t="shared" si="26"/>
        <v>0</v>
      </c>
      <c r="BX36">
        <f t="shared" si="26"/>
        <v>0</v>
      </c>
      <c r="BY36">
        <f t="shared" si="26"/>
        <v>0</v>
      </c>
      <c r="BZ36">
        <f t="shared" si="26"/>
        <v>0</v>
      </c>
      <c r="CA36">
        <f t="shared" si="26"/>
        <v>0</v>
      </c>
      <c r="CB36">
        <f t="shared" si="26"/>
        <v>0</v>
      </c>
      <c r="CC36">
        <f t="shared" si="26"/>
        <v>0</v>
      </c>
      <c r="CD36">
        <f t="shared" si="26"/>
        <v>0</v>
      </c>
      <c r="CE36">
        <f t="shared" si="26"/>
        <v>0</v>
      </c>
      <c r="CF36">
        <f t="shared" si="26"/>
        <v>0</v>
      </c>
      <c r="CG36">
        <f t="shared" si="26"/>
        <v>0</v>
      </c>
      <c r="CH36">
        <f t="shared" si="26"/>
        <v>0</v>
      </c>
      <c r="CI36">
        <f t="shared" si="26"/>
        <v>0</v>
      </c>
      <c r="CJ36">
        <f t="shared" si="26"/>
        <v>0</v>
      </c>
      <c r="CK36">
        <f t="shared" si="26"/>
        <v>0</v>
      </c>
      <c r="CL36">
        <f t="shared" si="26"/>
        <v>0</v>
      </c>
      <c r="CM36">
        <f t="shared" si="26"/>
        <v>0</v>
      </c>
      <c r="CN36">
        <f t="shared" si="26"/>
        <v>0</v>
      </c>
      <c r="CO36">
        <f t="shared" si="26"/>
        <v>0</v>
      </c>
      <c r="CP36">
        <f t="shared" si="26"/>
        <v>0</v>
      </c>
      <c r="CQ36">
        <f t="shared" si="26"/>
        <v>0</v>
      </c>
      <c r="CR36">
        <f t="shared" si="26"/>
        <v>0</v>
      </c>
      <c r="CS36">
        <f t="shared" si="26"/>
        <v>0</v>
      </c>
      <c r="CT36">
        <f t="shared" si="26"/>
        <v>0</v>
      </c>
      <c r="CU36">
        <f t="shared" si="26"/>
        <v>0</v>
      </c>
      <c r="CV36">
        <f t="shared" si="26"/>
        <v>0</v>
      </c>
      <c r="CW36">
        <f t="shared" si="26"/>
        <v>0</v>
      </c>
      <c r="CX36">
        <f t="shared" si="26"/>
        <v>0</v>
      </c>
      <c r="CY36">
        <f t="shared" si="26"/>
        <v>0</v>
      </c>
      <c r="CZ36">
        <f t="shared" si="26"/>
        <v>0</v>
      </c>
      <c r="DA36">
        <f t="shared" si="26"/>
        <v>0</v>
      </c>
      <c r="DB36">
        <f t="shared" si="26"/>
        <v>0</v>
      </c>
      <c r="DC36">
        <f t="shared" si="26"/>
        <v>0</v>
      </c>
      <c r="DD36">
        <f t="shared" si="26"/>
        <v>0</v>
      </c>
      <c r="DE36">
        <f t="shared" si="26"/>
        <v>0</v>
      </c>
      <c r="DF36">
        <f t="shared" si="26"/>
        <v>0</v>
      </c>
      <c r="DG36">
        <f t="shared" si="26"/>
        <v>0</v>
      </c>
      <c r="DH36">
        <f t="shared" si="26"/>
        <v>0</v>
      </c>
      <c r="DI36">
        <f t="shared" si="26"/>
        <v>0</v>
      </c>
      <c r="DJ36">
        <f t="shared" si="26"/>
        <v>0</v>
      </c>
      <c r="DK36">
        <f t="shared" si="26"/>
        <v>0</v>
      </c>
      <c r="DL36">
        <f t="shared" si="26"/>
        <v>0</v>
      </c>
      <c r="DM36">
        <f t="shared" si="26"/>
        <v>0</v>
      </c>
      <c r="DN36">
        <f t="shared" si="26"/>
        <v>0</v>
      </c>
      <c r="DO36">
        <f t="shared" si="26"/>
        <v>0</v>
      </c>
      <c r="DP36">
        <f t="shared" si="26"/>
        <v>0</v>
      </c>
      <c r="DQ36">
        <f t="shared" si="26"/>
        <v>0</v>
      </c>
      <c r="DR36">
        <f t="shared" si="26"/>
        <v>0</v>
      </c>
      <c r="DS36">
        <f t="shared" si="26"/>
        <v>0</v>
      </c>
      <c r="DT36">
        <f t="shared" si="26"/>
        <v>0</v>
      </c>
      <c r="DU36">
        <f t="shared" si="26"/>
        <v>0</v>
      </c>
      <c r="DV36">
        <f t="shared" si="26"/>
        <v>0</v>
      </c>
      <c r="DW36">
        <f t="shared" si="26"/>
        <v>0</v>
      </c>
      <c r="DX36">
        <f t="shared" si="26"/>
        <v>0</v>
      </c>
      <c r="DY36">
        <f t="shared" si="26"/>
        <v>0</v>
      </c>
      <c r="DZ36">
        <f t="shared" si="26"/>
        <v>0</v>
      </c>
      <c r="EA36">
        <f t="shared" si="26"/>
        <v>0</v>
      </c>
      <c r="EB36">
        <f t="shared" si="26"/>
        <v>0</v>
      </c>
      <c r="EC36">
        <f t="shared" si="17"/>
        <v>0</v>
      </c>
      <c r="ED36">
        <f t="shared" si="27"/>
        <v>0</v>
      </c>
      <c r="EE36">
        <f t="shared" si="27"/>
        <v>0</v>
      </c>
      <c r="EF36">
        <f t="shared" si="27"/>
        <v>0</v>
      </c>
      <c r="EG36">
        <f t="shared" si="27"/>
        <v>0</v>
      </c>
      <c r="EH36">
        <f t="shared" si="27"/>
        <v>0</v>
      </c>
      <c r="EI36">
        <f t="shared" si="27"/>
        <v>0</v>
      </c>
      <c r="EJ36">
        <f t="shared" si="27"/>
        <v>0</v>
      </c>
      <c r="EK36">
        <f t="shared" si="27"/>
        <v>0</v>
      </c>
      <c r="EL36">
        <f t="shared" si="27"/>
        <v>0</v>
      </c>
      <c r="EM36">
        <f t="shared" si="27"/>
        <v>0</v>
      </c>
      <c r="EN36">
        <f t="shared" si="27"/>
        <v>0</v>
      </c>
      <c r="EO36">
        <f t="shared" si="27"/>
        <v>0</v>
      </c>
      <c r="EP36">
        <f t="shared" si="27"/>
        <v>0</v>
      </c>
      <c r="EQ36">
        <f t="shared" si="27"/>
        <v>0</v>
      </c>
      <c r="ER36">
        <f t="shared" si="27"/>
        <v>0</v>
      </c>
      <c r="ES36">
        <f t="shared" si="27"/>
        <v>0</v>
      </c>
      <c r="ET36">
        <f t="shared" si="27"/>
        <v>0</v>
      </c>
      <c r="EU36">
        <f t="shared" si="27"/>
        <v>0</v>
      </c>
      <c r="EV36">
        <f t="shared" si="27"/>
        <v>0</v>
      </c>
      <c r="EW36">
        <f t="shared" si="27"/>
        <v>0</v>
      </c>
      <c r="EX36">
        <f t="shared" si="27"/>
        <v>0</v>
      </c>
      <c r="EY36">
        <f t="shared" si="27"/>
        <v>0</v>
      </c>
      <c r="EZ36">
        <f t="shared" si="27"/>
        <v>0</v>
      </c>
      <c r="FA36">
        <f t="shared" si="27"/>
        <v>0</v>
      </c>
      <c r="FB36">
        <f t="shared" si="27"/>
        <v>0</v>
      </c>
      <c r="FC36">
        <f t="shared" si="27"/>
        <v>0</v>
      </c>
      <c r="FD36">
        <f t="shared" si="27"/>
        <v>0</v>
      </c>
      <c r="FE36">
        <f t="shared" si="27"/>
        <v>0</v>
      </c>
      <c r="FF36">
        <f t="shared" si="27"/>
        <v>0</v>
      </c>
      <c r="FG36">
        <f t="shared" si="27"/>
        <v>0</v>
      </c>
      <c r="FH36">
        <f t="shared" si="27"/>
        <v>0</v>
      </c>
      <c r="FI36">
        <f t="shared" si="27"/>
        <v>0</v>
      </c>
      <c r="FJ36">
        <f t="shared" si="27"/>
        <v>0</v>
      </c>
      <c r="FK36">
        <f t="shared" si="27"/>
        <v>0</v>
      </c>
      <c r="FL36">
        <f t="shared" si="27"/>
        <v>0</v>
      </c>
      <c r="FM36">
        <f t="shared" si="27"/>
        <v>0</v>
      </c>
      <c r="FN36">
        <f t="shared" si="27"/>
        <v>0</v>
      </c>
      <c r="FO36">
        <f t="shared" si="27"/>
        <v>0</v>
      </c>
      <c r="FP36">
        <f t="shared" si="27"/>
        <v>0</v>
      </c>
      <c r="FQ36">
        <f t="shared" si="27"/>
        <v>0</v>
      </c>
      <c r="FR36">
        <f t="shared" si="27"/>
        <v>0</v>
      </c>
      <c r="FS36">
        <f t="shared" si="27"/>
        <v>0</v>
      </c>
      <c r="FT36">
        <f t="shared" si="27"/>
        <v>0</v>
      </c>
      <c r="FU36">
        <f t="shared" si="27"/>
        <v>0</v>
      </c>
    </row>
    <row r="37" spans="1:177" x14ac:dyDescent="0.25">
      <c r="A37" t="str">
        <f t="shared" ref="A37:D37" si="30">A15</f>
        <v>MP9</v>
      </c>
      <c r="B37" t="str">
        <f t="shared" si="30"/>
        <v>StatTrak Dart MW</v>
      </c>
      <c r="C37" t="str">
        <f t="shared" si="30"/>
        <v>SMG</v>
      </c>
      <c r="D37" t="str">
        <f t="shared" si="30"/>
        <v>Vanguard</v>
      </c>
      <c r="E37">
        <f t="shared" si="11"/>
        <v>1.21</v>
      </c>
      <c r="F37">
        <f t="shared" si="29"/>
        <v>1.21</v>
      </c>
      <c r="G37">
        <f t="shared" si="29"/>
        <v>1.1200000000000001</v>
      </c>
      <c r="H37">
        <f t="shared" si="29"/>
        <v>1.2</v>
      </c>
      <c r="I37">
        <f t="shared" si="29"/>
        <v>1.21</v>
      </c>
      <c r="J37">
        <f t="shared" si="29"/>
        <v>1.1499999999999999</v>
      </c>
      <c r="K37">
        <f t="shared" si="29"/>
        <v>1.18</v>
      </c>
      <c r="L37">
        <f t="shared" si="29"/>
        <v>1.22</v>
      </c>
      <c r="M37">
        <f t="shared" si="29"/>
        <v>1.46</v>
      </c>
      <c r="N37">
        <f t="shared" si="29"/>
        <v>1.23</v>
      </c>
      <c r="O37">
        <f t="shared" si="29"/>
        <v>1.2</v>
      </c>
      <c r="P37">
        <f t="shared" si="29"/>
        <v>1.18</v>
      </c>
      <c r="Q37">
        <f t="shared" si="29"/>
        <v>1.1399999999999999</v>
      </c>
      <c r="R37">
        <f t="shared" si="29"/>
        <v>1.04</v>
      </c>
      <c r="S37">
        <f t="shared" si="29"/>
        <v>1.22</v>
      </c>
      <c r="T37">
        <f t="shared" si="29"/>
        <v>1.19</v>
      </c>
      <c r="U37">
        <f t="shared" si="29"/>
        <v>1.18</v>
      </c>
      <c r="V37">
        <f t="shared" si="29"/>
        <v>1.18</v>
      </c>
      <c r="W37">
        <f t="shared" si="29"/>
        <v>1.2</v>
      </c>
      <c r="X37">
        <f t="shared" si="29"/>
        <v>1.05</v>
      </c>
      <c r="Y37">
        <f t="shared" si="29"/>
        <v>1.23</v>
      </c>
      <c r="Z37">
        <f t="shared" si="29"/>
        <v>0</v>
      </c>
      <c r="AA37">
        <f t="shared" si="29"/>
        <v>0</v>
      </c>
      <c r="AB37">
        <f t="shared" si="29"/>
        <v>0</v>
      </c>
      <c r="AC37">
        <f t="shared" si="29"/>
        <v>0</v>
      </c>
      <c r="AD37">
        <f t="shared" si="29"/>
        <v>0</v>
      </c>
      <c r="AE37">
        <f t="shared" si="29"/>
        <v>0</v>
      </c>
      <c r="AF37">
        <f t="shared" si="29"/>
        <v>0</v>
      </c>
      <c r="AG37">
        <f t="shared" si="29"/>
        <v>0</v>
      </c>
      <c r="AH37">
        <f t="shared" si="29"/>
        <v>0</v>
      </c>
      <c r="AI37">
        <f t="shared" si="29"/>
        <v>0</v>
      </c>
      <c r="AJ37">
        <f t="shared" si="29"/>
        <v>0</v>
      </c>
      <c r="AK37">
        <f t="shared" si="29"/>
        <v>0</v>
      </c>
      <c r="AL37">
        <f t="shared" si="29"/>
        <v>0</v>
      </c>
      <c r="AM37">
        <f t="shared" si="29"/>
        <v>0</v>
      </c>
      <c r="AN37">
        <f t="shared" si="29"/>
        <v>0</v>
      </c>
      <c r="AO37">
        <f t="shared" si="29"/>
        <v>0</v>
      </c>
      <c r="AP37">
        <f t="shared" si="29"/>
        <v>0</v>
      </c>
      <c r="AQ37">
        <f t="shared" si="29"/>
        <v>0</v>
      </c>
      <c r="AR37">
        <f t="shared" si="29"/>
        <v>0</v>
      </c>
      <c r="AS37">
        <f t="shared" si="29"/>
        <v>0</v>
      </c>
      <c r="AT37">
        <f t="shared" si="29"/>
        <v>0</v>
      </c>
      <c r="AU37">
        <f t="shared" si="29"/>
        <v>0</v>
      </c>
      <c r="AV37">
        <f t="shared" si="29"/>
        <v>0</v>
      </c>
      <c r="AW37">
        <f t="shared" si="29"/>
        <v>0</v>
      </c>
      <c r="AX37">
        <f t="shared" si="29"/>
        <v>0</v>
      </c>
      <c r="AY37">
        <f t="shared" si="29"/>
        <v>0</v>
      </c>
      <c r="AZ37">
        <f t="shared" si="29"/>
        <v>0</v>
      </c>
      <c r="BA37">
        <f t="shared" si="29"/>
        <v>0</v>
      </c>
      <c r="BB37">
        <f t="shared" si="29"/>
        <v>0</v>
      </c>
      <c r="BC37">
        <f t="shared" si="29"/>
        <v>0</v>
      </c>
      <c r="BD37">
        <f t="shared" si="29"/>
        <v>0</v>
      </c>
      <c r="BE37">
        <f t="shared" si="29"/>
        <v>0</v>
      </c>
      <c r="BF37">
        <f t="shared" si="29"/>
        <v>0</v>
      </c>
      <c r="BG37">
        <f t="shared" si="29"/>
        <v>0</v>
      </c>
      <c r="BH37">
        <f t="shared" si="29"/>
        <v>0</v>
      </c>
      <c r="BI37">
        <f t="shared" si="29"/>
        <v>0</v>
      </c>
      <c r="BJ37">
        <f t="shared" si="29"/>
        <v>0</v>
      </c>
      <c r="BK37">
        <f t="shared" si="29"/>
        <v>0</v>
      </c>
      <c r="BL37">
        <f t="shared" si="29"/>
        <v>0</v>
      </c>
      <c r="BM37">
        <f t="shared" si="29"/>
        <v>0</v>
      </c>
      <c r="BN37">
        <f t="shared" si="29"/>
        <v>0</v>
      </c>
      <c r="BO37">
        <f t="shared" si="29"/>
        <v>0</v>
      </c>
      <c r="BP37">
        <f t="shared" si="29"/>
        <v>0</v>
      </c>
      <c r="BQ37">
        <f t="shared" si="29"/>
        <v>0</v>
      </c>
      <c r="BR37">
        <f t="shared" si="26"/>
        <v>0</v>
      </c>
      <c r="BS37">
        <f t="shared" si="26"/>
        <v>0</v>
      </c>
      <c r="BT37">
        <f t="shared" si="26"/>
        <v>0</v>
      </c>
      <c r="BU37">
        <f t="shared" si="26"/>
        <v>0</v>
      </c>
      <c r="BV37">
        <f t="shared" si="26"/>
        <v>0</v>
      </c>
      <c r="BW37">
        <f t="shared" si="26"/>
        <v>0</v>
      </c>
      <c r="BX37">
        <f t="shared" si="26"/>
        <v>0</v>
      </c>
      <c r="BY37">
        <f t="shared" si="26"/>
        <v>0</v>
      </c>
      <c r="BZ37">
        <f t="shared" si="26"/>
        <v>0</v>
      </c>
      <c r="CA37">
        <f t="shared" si="26"/>
        <v>0</v>
      </c>
      <c r="CB37">
        <f t="shared" si="26"/>
        <v>0</v>
      </c>
      <c r="CC37">
        <f t="shared" si="26"/>
        <v>0</v>
      </c>
      <c r="CD37">
        <f t="shared" si="26"/>
        <v>0</v>
      </c>
      <c r="CE37">
        <f t="shared" si="26"/>
        <v>0</v>
      </c>
      <c r="CF37">
        <f t="shared" si="26"/>
        <v>0</v>
      </c>
      <c r="CG37">
        <f t="shared" si="26"/>
        <v>0</v>
      </c>
      <c r="CH37">
        <f t="shared" si="26"/>
        <v>0</v>
      </c>
      <c r="CI37">
        <f t="shared" si="26"/>
        <v>0</v>
      </c>
      <c r="CJ37">
        <f t="shared" si="26"/>
        <v>0</v>
      </c>
      <c r="CK37">
        <f t="shared" si="26"/>
        <v>0</v>
      </c>
      <c r="CL37">
        <f t="shared" si="26"/>
        <v>0</v>
      </c>
      <c r="CM37">
        <f t="shared" si="26"/>
        <v>0</v>
      </c>
      <c r="CN37">
        <f t="shared" si="26"/>
        <v>0</v>
      </c>
      <c r="CO37">
        <f t="shared" si="26"/>
        <v>0</v>
      </c>
      <c r="CP37">
        <f t="shared" si="26"/>
        <v>0</v>
      </c>
      <c r="CQ37">
        <f t="shared" si="26"/>
        <v>0</v>
      </c>
      <c r="CR37">
        <f t="shared" si="26"/>
        <v>0</v>
      </c>
      <c r="CS37">
        <f t="shared" si="26"/>
        <v>0</v>
      </c>
      <c r="CT37">
        <f t="shared" si="26"/>
        <v>0</v>
      </c>
      <c r="CU37">
        <f t="shared" si="26"/>
        <v>0</v>
      </c>
      <c r="CV37">
        <f t="shared" si="26"/>
        <v>0</v>
      </c>
      <c r="CW37">
        <f t="shared" si="26"/>
        <v>0</v>
      </c>
      <c r="CX37">
        <f t="shared" si="26"/>
        <v>0</v>
      </c>
      <c r="CY37">
        <f t="shared" si="26"/>
        <v>0</v>
      </c>
      <c r="CZ37">
        <f t="shared" si="26"/>
        <v>0</v>
      </c>
      <c r="DA37">
        <f t="shared" si="26"/>
        <v>0</v>
      </c>
      <c r="DB37">
        <f t="shared" si="26"/>
        <v>0</v>
      </c>
      <c r="DC37">
        <f t="shared" si="26"/>
        <v>0</v>
      </c>
      <c r="DD37">
        <f t="shared" si="26"/>
        <v>0</v>
      </c>
      <c r="DE37">
        <f t="shared" si="26"/>
        <v>0</v>
      </c>
      <c r="DF37">
        <f t="shared" si="26"/>
        <v>0</v>
      </c>
      <c r="DG37">
        <f t="shared" si="26"/>
        <v>0</v>
      </c>
      <c r="DH37">
        <f t="shared" si="26"/>
        <v>0</v>
      </c>
      <c r="DI37">
        <f t="shared" si="26"/>
        <v>0</v>
      </c>
      <c r="DJ37">
        <f t="shared" si="26"/>
        <v>0</v>
      </c>
      <c r="DK37">
        <f t="shared" si="26"/>
        <v>0</v>
      </c>
      <c r="DL37">
        <f t="shared" si="26"/>
        <v>0</v>
      </c>
      <c r="DM37">
        <f t="shared" si="26"/>
        <v>0</v>
      </c>
      <c r="DN37">
        <f t="shared" si="26"/>
        <v>0</v>
      </c>
      <c r="DO37">
        <f t="shared" si="26"/>
        <v>0</v>
      </c>
      <c r="DP37">
        <f t="shared" si="26"/>
        <v>0</v>
      </c>
      <c r="DQ37">
        <f t="shared" si="26"/>
        <v>0</v>
      </c>
      <c r="DR37">
        <f t="shared" si="26"/>
        <v>0</v>
      </c>
      <c r="DS37">
        <f t="shared" si="26"/>
        <v>0</v>
      </c>
      <c r="DT37">
        <f t="shared" si="26"/>
        <v>0</v>
      </c>
      <c r="DU37">
        <f t="shared" si="26"/>
        <v>0</v>
      </c>
      <c r="DV37">
        <f t="shared" si="26"/>
        <v>0</v>
      </c>
      <c r="DW37">
        <f t="shared" si="26"/>
        <v>0</v>
      </c>
      <c r="DX37">
        <f t="shared" si="26"/>
        <v>0</v>
      </c>
      <c r="DY37">
        <f t="shared" si="26"/>
        <v>0</v>
      </c>
      <c r="DZ37">
        <f t="shared" si="26"/>
        <v>0</v>
      </c>
      <c r="EA37">
        <f t="shared" si="26"/>
        <v>0</v>
      </c>
      <c r="EB37">
        <f t="shared" si="26"/>
        <v>0</v>
      </c>
      <c r="EC37">
        <f t="shared" si="17"/>
        <v>0</v>
      </c>
      <c r="ED37">
        <f t="shared" si="27"/>
        <v>0</v>
      </c>
      <c r="EE37">
        <f t="shared" si="27"/>
        <v>0</v>
      </c>
      <c r="EF37">
        <f t="shared" si="27"/>
        <v>0</v>
      </c>
      <c r="EG37">
        <f t="shared" si="27"/>
        <v>0</v>
      </c>
      <c r="EH37">
        <f t="shared" si="27"/>
        <v>0</v>
      </c>
      <c r="EI37">
        <f t="shared" si="27"/>
        <v>0</v>
      </c>
      <c r="EJ37">
        <f t="shared" si="27"/>
        <v>0</v>
      </c>
      <c r="EK37">
        <f t="shared" si="27"/>
        <v>0</v>
      </c>
      <c r="EL37">
        <f t="shared" si="27"/>
        <v>0</v>
      </c>
      <c r="EM37">
        <f t="shared" si="27"/>
        <v>0</v>
      </c>
      <c r="EN37">
        <f t="shared" si="27"/>
        <v>0</v>
      </c>
      <c r="EO37">
        <f t="shared" si="27"/>
        <v>0</v>
      </c>
      <c r="EP37">
        <f t="shared" si="27"/>
        <v>0</v>
      </c>
      <c r="EQ37">
        <f t="shared" si="27"/>
        <v>0</v>
      </c>
      <c r="ER37">
        <f t="shared" si="27"/>
        <v>0</v>
      </c>
      <c r="ES37">
        <f t="shared" si="27"/>
        <v>0</v>
      </c>
      <c r="ET37">
        <f t="shared" si="27"/>
        <v>0</v>
      </c>
      <c r="EU37">
        <f t="shared" si="27"/>
        <v>0</v>
      </c>
      <c r="EV37">
        <f t="shared" si="27"/>
        <v>0</v>
      </c>
      <c r="EW37">
        <f t="shared" si="27"/>
        <v>0</v>
      </c>
      <c r="EX37">
        <f t="shared" si="27"/>
        <v>0</v>
      </c>
      <c r="EY37">
        <f t="shared" si="27"/>
        <v>0</v>
      </c>
      <c r="EZ37">
        <f t="shared" si="27"/>
        <v>0</v>
      </c>
      <c r="FA37">
        <f t="shared" si="27"/>
        <v>0</v>
      </c>
      <c r="FB37">
        <f t="shared" si="27"/>
        <v>0</v>
      </c>
      <c r="FC37">
        <f t="shared" si="27"/>
        <v>0</v>
      </c>
      <c r="FD37">
        <f t="shared" si="27"/>
        <v>0</v>
      </c>
      <c r="FE37">
        <f t="shared" si="27"/>
        <v>0</v>
      </c>
      <c r="FF37">
        <f t="shared" si="27"/>
        <v>0</v>
      </c>
      <c r="FG37">
        <f t="shared" si="27"/>
        <v>0</v>
      </c>
      <c r="FH37">
        <f t="shared" si="27"/>
        <v>0</v>
      </c>
      <c r="FI37">
        <f t="shared" si="27"/>
        <v>0</v>
      </c>
      <c r="FJ37">
        <f t="shared" si="27"/>
        <v>0</v>
      </c>
      <c r="FK37">
        <f t="shared" si="27"/>
        <v>0</v>
      </c>
      <c r="FL37">
        <f t="shared" si="27"/>
        <v>0</v>
      </c>
      <c r="FM37">
        <f t="shared" si="27"/>
        <v>0</v>
      </c>
      <c r="FN37">
        <f t="shared" si="27"/>
        <v>0</v>
      </c>
      <c r="FO37">
        <f t="shared" si="27"/>
        <v>0</v>
      </c>
      <c r="FP37">
        <f t="shared" si="27"/>
        <v>0</v>
      </c>
      <c r="FQ37">
        <f t="shared" si="27"/>
        <v>0</v>
      </c>
      <c r="FR37">
        <f t="shared" si="27"/>
        <v>0</v>
      </c>
      <c r="FS37">
        <f t="shared" si="27"/>
        <v>0</v>
      </c>
      <c r="FT37">
        <f t="shared" si="27"/>
        <v>0</v>
      </c>
      <c r="FU37">
        <f t="shared" si="27"/>
        <v>0</v>
      </c>
    </row>
    <row r="38" spans="1:177" x14ac:dyDescent="0.25">
      <c r="A38" t="str">
        <f t="shared" ref="A38:D38" si="31">A16</f>
        <v>P90</v>
      </c>
      <c r="B38" t="str">
        <f t="shared" si="31"/>
        <v>Asiimov FT</v>
      </c>
      <c r="C38" t="str">
        <f t="shared" si="31"/>
        <v>SMG</v>
      </c>
      <c r="D38" t="str">
        <f t="shared" si="31"/>
        <v>Breakout</v>
      </c>
      <c r="E38">
        <f t="shared" si="11"/>
        <v>5.85</v>
      </c>
      <c r="F38">
        <f t="shared" si="29"/>
        <v>5.6300000000000008</v>
      </c>
      <c r="G38">
        <f t="shared" si="29"/>
        <v>5.48</v>
      </c>
      <c r="H38">
        <f t="shared" si="29"/>
        <v>5.6400000000000006</v>
      </c>
      <c r="I38">
        <f t="shared" si="29"/>
        <v>6.09</v>
      </c>
      <c r="J38">
        <f t="shared" si="29"/>
        <v>6</v>
      </c>
      <c r="K38">
        <f t="shared" si="29"/>
        <v>5.8900000000000006</v>
      </c>
      <c r="L38">
        <f t="shared" si="29"/>
        <v>5.48</v>
      </c>
      <c r="M38">
        <f t="shared" si="29"/>
        <v>5.67</v>
      </c>
      <c r="N38">
        <f t="shared" si="29"/>
        <v>5.37</v>
      </c>
      <c r="O38">
        <f t="shared" si="29"/>
        <v>5.6400000000000006</v>
      </c>
      <c r="P38">
        <f t="shared" si="29"/>
        <v>5.7600000000000007</v>
      </c>
      <c r="Q38">
        <f t="shared" si="29"/>
        <v>6.14</v>
      </c>
      <c r="R38">
        <f t="shared" si="29"/>
        <v>5.5500000000000007</v>
      </c>
      <c r="S38">
        <f t="shared" si="29"/>
        <v>5.9200000000000017</v>
      </c>
      <c r="T38">
        <f t="shared" si="29"/>
        <v>6</v>
      </c>
      <c r="U38">
        <f t="shared" si="29"/>
        <v>5.58</v>
      </c>
      <c r="V38">
        <f t="shared" si="29"/>
        <v>5.84</v>
      </c>
      <c r="W38">
        <f t="shared" si="29"/>
        <v>6.0400000000000009</v>
      </c>
      <c r="X38">
        <f t="shared" si="29"/>
        <v>5.29</v>
      </c>
      <c r="Y38">
        <f t="shared" si="29"/>
        <v>5.3900000000000006</v>
      </c>
      <c r="Z38">
        <f t="shared" si="29"/>
        <v>0</v>
      </c>
      <c r="AA38">
        <f t="shared" si="29"/>
        <v>0</v>
      </c>
      <c r="AB38">
        <f t="shared" si="29"/>
        <v>0</v>
      </c>
      <c r="AC38">
        <f t="shared" si="29"/>
        <v>0</v>
      </c>
      <c r="AD38">
        <f t="shared" si="29"/>
        <v>0</v>
      </c>
      <c r="AE38">
        <f t="shared" si="29"/>
        <v>0</v>
      </c>
      <c r="AF38">
        <f t="shared" si="29"/>
        <v>0</v>
      </c>
      <c r="AG38">
        <f t="shared" si="29"/>
        <v>0</v>
      </c>
      <c r="AH38">
        <f t="shared" si="29"/>
        <v>0</v>
      </c>
      <c r="AI38">
        <f t="shared" si="29"/>
        <v>0</v>
      </c>
      <c r="AJ38">
        <f t="shared" si="29"/>
        <v>0</v>
      </c>
      <c r="AK38">
        <f t="shared" si="29"/>
        <v>0</v>
      </c>
      <c r="AL38">
        <f t="shared" si="29"/>
        <v>0</v>
      </c>
      <c r="AM38">
        <f t="shared" si="29"/>
        <v>0</v>
      </c>
      <c r="AN38">
        <f t="shared" si="29"/>
        <v>0</v>
      </c>
      <c r="AO38">
        <f t="shared" si="29"/>
        <v>0</v>
      </c>
      <c r="AP38">
        <f t="shared" si="29"/>
        <v>0</v>
      </c>
      <c r="AQ38">
        <f t="shared" si="29"/>
        <v>0</v>
      </c>
      <c r="AR38">
        <f t="shared" si="29"/>
        <v>0</v>
      </c>
      <c r="AS38">
        <f t="shared" si="29"/>
        <v>0</v>
      </c>
      <c r="AT38">
        <f t="shared" si="29"/>
        <v>0</v>
      </c>
      <c r="AU38">
        <f t="shared" si="29"/>
        <v>0</v>
      </c>
      <c r="AV38">
        <f t="shared" si="29"/>
        <v>0</v>
      </c>
      <c r="AW38">
        <f t="shared" si="29"/>
        <v>0</v>
      </c>
      <c r="AX38">
        <f t="shared" si="29"/>
        <v>0</v>
      </c>
      <c r="AY38">
        <f t="shared" si="29"/>
        <v>0</v>
      </c>
      <c r="AZ38">
        <f t="shared" si="29"/>
        <v>0</v>
      </c>
      <c r="BA38">
        <f t="shared" si="29"/>
        <v>0</v>
      </c>
      <c r="BB38">
        <f t="shared" si="29"/>
        <v>0</v>
      </c>
      <c r="BC38">
        <f t="shared" si="29"/>
        <v>0</v>
      </c>
      <c r="BD38">
        <f t="shared" si="29"/>
        <v>0</v>
      </c>
      <c r="BE38">
        <f t="shared" si="29"/>
        <v>0</v>
      </c>
      <c r="BF38">
        <f t="shared" si="29"/>
        <v>0</v>
      </c>
      <c r="BG38">
        <f t="shared" si="29"/>
        <v>0</v>
      </c>
      <c r="BH38">
        <f t="shared" si="29"/>
        <v>0</v>
      </c>
      <c r="BI38">
        <f t="shared" si="29"/>
        <v>0</v>
      </c>
      <c r="BJ38">
        <f t="shared" si="29"/>
        <v>0</v>
      </c>
      <c r="BK38">
        <f t="shared" si="29"/>
        <v>0</v>
      </c>
      <c r="BL38">
        <f t="shared" si="29"/>
        <v>0</v>
      </c>
      <c r="BM38">
        <f t="shared" si="29"/>
        <v>0</v>
      </c>
      <c r="BN38">
        <f t="shared" si="29"/>
        <v>0</v>
      </c>
      <c r="BO38">
        <f t="shared" si="29"/>
        <v>0</v>
      </c>
      <c r="BP38">
        <f t="shared" si="29"/>
        <v>0</v>
      </c>
      <c r="BQ38">
        <f t="shared" si="29"/>
        <v>0</v>
      </c>
      <c r="BR38">
        <f t="shared" si="26"/>
        <v>0</v>
      </c>
      <c r="BS38">
        <f t="shared" si="26"/>
        <v>0</v>
      </c>
      <c r="BT38">
        <f t="shared" si="26"/>
        <v>0</v>
      </c>
      <c r="BU38">
        <f t="shared" si="26"/>
        <v>0</v>
      </c>
      <c r="BV38">
        <f t="shared" si="26"/>
        <v>0</v>
      </c>
      <c r="BW38">
        <f t="shared" si="26"/>
        <v>0</v>
      </c>
      <c r="BX38">
        <f t="shared" si="26"/>
        <v>0</v>
      </c>
      <c r="BY38">
        <f t="shared" si="26"/>
        <v>0</v>
      </c>
      <c r="BZ38">
        <f t="shared" si="26"/>
        <v>0</v>
      </c>
      <c r="CA38">
        <f t="shared" si="26"/>
        <v>0</v>
      </c>
      <c r="CB38">
        <f t="shared" si="26"/>
        <v>0</v>
      </c>
      <c r="CC38">
        <f t="shared" si="26"/>
        <v>0</v>
      </c>
      <c r="CD38">
        <f t="shared" si="26"/>
        <v>0</v>
      </c>
      <c r="CE38">
        <f t="shared" si="26"/>
        <v>0</v>
      </c>
      <c r="CF38">
        <f t="shared" si="26"/>
        <v>0</v>
      </c>
      <c r="CG38">
        <f t="shared" si="26"/>
        <v>0</v>
      </c>
      <c r="CH38">
        <f t="shared" si="26"/>
        <v>0</v>
      </c>
      <c r="CI38">
        <f t="shared" si="26"/>
        <v>0</v>
      </c>
      <c r="CJ38">
        <f t="shared" si="26"/>
        <v>0</v>
      </c>
      <c r="CK38">
        <f t="shared" si="26"/>
        <v>0</v>
      </c>
      <c r="CL38">
        <f t="shared" si="26"/>
        <v>0</v>
      </c>
      <c r="CM38">
        <f t="shared" si="26"/>
        <v>0</v>
      </c>
      <c r="CN38">
        <f t="shared" si="26"/>
        <v>0</v>
      </c>
      <c r="CO38">
        <f t="shared" si="26"/>
        <v>0</v>
      </c>
      <c r="CP38">
        <f t="shared" si="26"/>
        <v>0</v>
      </c>
      <c r="CQ38">
        <f t="shared" si="26"/>
        <v>0</v>
      </c>
      <c r="CR38">
        <f t="shared" si="26"/>
        <v>0</v>
      </c>
      <c r="CS38">
        <f t="shared" si="26"/>
        <v>0</v>
      </c>
      <c r="CT38">
        <f t="shared" si="26"/>
        <v>0</v>
      </c>
      <c r="CU38">
        <f t="shared" si="26"/>
        <v>0</v>
      </c>
      <c r="CV38">
        <f t="shared" si="26"/>
        <v>0</v>
      </c>
      <c r="CW38">
        <f t="shared" si="26"/>
        <v>0</v>
      </c>
      <c r="CX38">
        <f t="shared" si="26"/>
        <v>0</v>
      </c>
      <c r="CY38">
        <f t="shared" si="26"/>
        <v>0</v>
      </c>
      <c r="CZ38">
        <f t="shared" si="26"/>
        <v>0</v>
      </c>
      <c r="DA38">
        <f t="shared" si="26"/>
        <v>0</v>
      </c>
      <c r="DB38">
        <f t="shared" si="26"/>
        <v>0</v>
      </c>
      <c r="DC38">
        <f t="shared" si="26"/>
        <v>0</v>
      </c>
      <c r="DD38">
        <f t="shared" si="26"/>
        <v>0</v>
      </c>
      <c r="DE38">
        <f t="shared" si="26"/>
        <v>0</v>
      </c>
      <c r="DF38">
        <f t="shared" si="26"/>
        <v>0</v>
      </c>
      <c r="DG38">
        <f t="shared" si="26"/>
        <v>0</v>
      </c>
      <c r="DH38">
        <f t="shared" si="26"/>
        <v>0</v>
      </c>
      <c r="DI38">
        <f t="shared" si="26"/>
        <v>0</v>
      </c>
      <c r="DJ38">
        <f t="shared" si="26"/>
        <v>0</v>
      </c>
      <c r="DK38">
        <f t="shared" si="26"/>
        <v>0</v>
      </c>
      <c r="DL38">
        <f t="shared" si="26"/>
        <v>0</v>
      </c>
      <c r="DM38">
        <f t="shared" si="26"/>
        <v>0</v>
      </c>
      <c r="DN38">
        <f t="shared" si="26"/>
        <v>0</v>
      </c>
      <c r="DO38">
        <f t="shared" si="26"/>
        <v>0</v>
      </c>
      <c r="DP38">
        <f t="shared" si="26"/>
        <v>0</v>
      </c>
      <c r="DQ38">
        <f t="shared" si="26"/>
        <v>0</v>
      </c>
      <c r="DR38">
        <f t="shared" si="26"/>
        <v>0</v>
      </c>
      <c r="DS38">
        <f t="shared" si="26"/>
        <v>0</v>
      </c>
      <c r="DT38">
        <f t="shared" si="26"/>
        <v>0</v>
      </c>
      <c r="DU38">
        <f t="shared" si="26"/>
        <v>0</v>
      </c>
      <c r="DV38">
        <f t="shared" si="26"/>
        <v>0</v>
      </c>
      <c r="DW38">
        <f t="shared" si="26"/>
        <v>0</v>
      </c>
      <c r="DX38">
        <f t="shared" si="26"/>
        <v>0</v>
      </c>
      <c r="DY38">
        <f t="shared" si="26"/>
        <v>0</v>
      </c>
      <c r="DZ38">
        <f t="shared" si="26"/>
        <v>0</v>
      </c>
      <c r="EA38">
        <f t="shared" si="26"/>
        <v>0</v>
      </c>
      <c r="EB38">
        <f t="shared" si="26"/>
        <v>0</v>
      </c>
      <c r="EC38">
        <f t="shared" si="17"/>
        <v>0</v>
      </c>
      <c r="ED38">
        <f t="shared" si="27"/>
        <v>0</v>
      </c>
      <c r="EE38">
        <f t="shared" si="27"/>
        <v>0</v>
      </c>
      <c r="EF38">
        <f t="shared" si="27"/>
        <v>0</v>
      </c>
      <c r="EG38">
        <f t="shared" si="27"/>
        <v>0</v>
      </c>
      <c r="EH38">
        <f t="shared" si="27"/>
        <v>0</v>
      </c>
      <c r="EI38">
        <f t="shared" si="27"/>
        <v>0</v>
      </c>
      <c r="EJ38">
        <f t="shared" si="27"/>
        <v>0</v>
      </c>
      <c r="EK38">
        <f t="shared" si="27"/>
        <v>0</v>
      </c>
      <c r="EL38">
        <f t="shared" si="27"/>
        <v>0</v>
      </c>
      <c r="EM38">
        <f t="shared" si="27"/>
        <v>0</v>
      </c>
      <c r="EN38">
        <f t="shared" si="27"/>
        <v>0</v>
      </c>
      <c r="EO38">
        <f t="shared" si="27"/>
        <v>0</v>
      </c>
      <c r="EP38">
        <f t="shared" si="27"/>
        <v>0</v>
      </c>
      <c r="EQ38">
        <f t="shared" si="27"/>
        <v>0</v>
      </c>
      <c r="ER38">
        <f t="shared" si="27"/>
        <v>0</v>
      </c>
      <c r="ES38">
        <f t="shared" si="27"/>
        <v>0</v>
      </c>
      <c r="ET38">
        <f t="shared" si="27"/>
        <v>0</v>
      </c>
      <c r="EU38">
        <f t="shared" si="27"/>
        <v>0</v>
      </c>
      <c r="EV38">
        <f t="shared" si="27"/>
        <v>0</v>
      </c>
      <c r="EW38">
        <f t="shared" si="27"/>
        <v>0</v>
      </c>
      <c r="EX38">
        <f t="shared" si="27"/>
        <v>0</v>
      </c>
      <c r="EY38">
        <f t="shared" si="27"/>
        <v>0</v>
      </c>
      <c r="EZ38">
        <f t="shared" si="27"/>
        <v>0</v>
      </c>
      <c r="FA38">
        <f t="shared" si="27"/>
        <v>0</v>
      </c>
      <c r="FB38">
        <f t="shared" si="27"/>
        <v>0</v>
      </c>
      <c r="FC38">
        <f t="shared" si="27"/>
        <v>0</v>
      </c>
      <c r="FD38">
        <f t="shared" si="27"/>
        <v>0</v>
      </c>
      <c r="FE38">
        <f t="shared" si="27"/>
        <v>0</v>
      </c>
      <c r="FF38">
        <f t="shared" si="27"/>
        <v>0</v>
      </c>
      <c r="FG38">
        <f t="shared" si="27"/>
        <v>0</v>
      </c>
      <c r="FH38">
        <f t="shared" si="27"/>
        <v>0</v>
      </c>
      <c r="FI38">
        <f t="shared" si="27"/>
        <v>0</v>
      </c>
      <c r="FJ38">
        <f t="shared" si="27"/>
        <v>0</v>
      </c>
      <c r="FK38">
        <f t="shared" si="27"/>
        <v>0</v>
      </c>
      <c r="FL38">
        <f t="shared" si="27"/>
        <v>0</v>
      </c>
      <c r="FM38">
        <f t="shared" si="27"/>
        <v>0</v>
      </c>
      <c r="FN38">
        <f t="shared" si="27"/>
        <v>0</v>
      </c>
      <c r="FO38">
        <f t="shared" si="27"/>
        <v>0</v>
      </c>
      <c r="FP38">
        <f t="shared" si="27"/>
        <v>0</v>
      </c>
      <c r="FQ38">
        <f t="shared" si="27"/>
        <v>0</v>
      </c>
      <c r="FR38">
        <f t="shared" si="27"/>
        <v>0</v>
      </c>
      <c r="FS38">
        <f t="shared" si="27"/>
        <v>0</v>
      </c>
      <c r="FT38">
        <f t="shared" si="27"/>
        <v>0</v>
      </c>
      <c r="FU38">
        <f t="shared" si="27"/>
        <v>0</v>
      </c>
    </row>
    <row r="39" spans="1:177" x14ac:dyDescent="0.25">
      <c r="A39" t="str">
        <f t="shared" ref="A39:D39" si="32">A17</f>
        <v>PP-Bizon</v>
      </c>
      <c r="B39" t="str">
        <f t="shared" si="32"/>
        <v>StatTrak Osiris FT</v>
      </c>
      <c r="C39" t="str">
        <f t="shared" si="32"/>
        <v>SMG</v>
      </c>
      <c r="D39" t="str">
        <f t="shared" si="32"/>
        <v>Breakout</v>
      </c>
      <c r="E39">
        <f t="shared" si="11"/>
        <v>1.02</v>
      </c>
      <c r="F39">
        <f t="shared" si="29"/>
        <v>1</v>
      </c>
      <c r="G39">
        <f t="shared" si="29"/>
        <v>1</v>
      </c>
      <c r="H39">
        <f t="shared" si="29"/>
        <v>0.97</v>
      </c>
      <c r="I39">
        <f t="shared" si="29"/>
        <v>1.02</v>
      </c>
      <c r="J39">
        <f t="shared" si="29"/>
        <v>1</v>
      </c>
      <c r="K39">
        <f t="shared" si="29"/>
        <v>1</v>
      </c>
      <c r="L39">
        <f t="shared" si="29"/>
        <v>0.97</v>
      </c>
      <c r="M39">
        <f t="shared" si="29"/>
        <v>1</v>
      </c>
      <c r="N39">
        <f t="shared" si="29"/>
        <v>1.07</v>
      </c>
      <c r="O39">
        <f t="shared" si="29"/>
        <v>1.07</v>
      </c>
      <c r="P39">
        <f t="shared" si="29"/>
        <v>1.0900000000000001</v>
      </c>
      <c r="Q39">
        <f t="shared" si="29"/>
        <v>1.1499999999999999</v>
      </c>
      <c r="R39">
        <f t="shared" si="29"/>
        <v>1.1200000000000001</v>
      </c>
      <c r="S39">
        <f t="shared" si="29"/>
        <v>1.1200000000000001</v>
      </c>
      <c r="T39">
        <f t="shared" si="29"/>
        <v>1.1499999999999999</v>
      </c>
      <c r="U39">
        <f t="shared" si="29"/>
        <v>1.1000000000000001</v>
      </c>
      <c r="V39">
        <f t="shared" si="29"/>
        <v>1.04</v>
      </c>
      <c r="W39">
        <f t="shared" si="29"/>
        <v>1.02</v>
      </c>
      <c r="X39">
        <f t="shared" si="29"/>
        <v>1</v>
      </c>
      <c r="Y39">
        <f t="shared" si="29"/>
        <v>1.06</v>
      </c>
      <c r="Z39">
        <f t="shared" si="29"/>
        <v>0</v>
      </c>
      <c r="AA39">
        <f t="shared" si="29"/>
        <v>0</v>
      </c>
      <c r="AB39">
        <f t="shared" si="29"/>
        <v>0</v>
      </c>
      <c r="AC39">
        <f t="shared" si="29"/>
        <v>0</v>
      </c>
      <c r="AD39">
        <f t="shared" si="29"/>
        <v>0</v>
      </c>
      <c r="AE39">
        <f t="shared" si="29"/>
        <v>0</v>
      </c>
      <c r="AF39">
        <f t="shared" si="29"/>
        <v>0</v>
      </c>
      <c r="AG39">
        <f t="shared" si="29"/>
        <v>0</v>
      </c>
      <c r="AH39">
        <f t="shared" si="29"/>
        <v>0</v>
      </c>
      <c r="AI39">
        <f t="shared" si="29"/>
        <v>0</v>
      </c>
      <c r="AJ39">
        <f t="shared" si="29"/>
        <v>0</v>
      </c>
      <c r="AK39">
        <f t="shared" si="29"/>
        <v>0</v>
      </c>
      <c r="AL39">
        <f t="shared" si="29"/>
        <v>0</v>
      </c>
      <c r="AM39">
        <f t="shared" si="29"/>
        <v>0</v>
      </c>
      <c r="AN39">
        <f t="shared" si="29"/>
        <v>0</v>
      </c>
      <c r="AO39">
        <f t="shared" si="29"/>
        <v>0</v>
      </c>
      <c r="AP39">
        <f t="shared" si="29"/>
        <v>0</v>
      </c>
      <c r="AQ39">
        <f t="shared" si="29"/>
        <v>0</v>
      </c>
      <c r="AR39">
        <f t="shared" si="29"/>
        <v>0</v>
      </c>
      <c r="AS39">
        <f t="shared" si="29"/>
        <v>0</v>
      </c>
      <c r="AT39">
        <f t="shared" si="29"/>
        <v>0</v>
      </c>
      <c r="AU39">
        <f t="shared" si="29"/>
        <v>0</v>
      </c>
      <c r="AV39">
        <f t="shared" si="29"/>
        <v>0</v>
      </c>
      <c r="AW39">
        <f t="shared" si="29"/>
        <v>0</v>
      </c>
      <c r="AX39">
        <f t="shared" si="29"/>
        <v>0</v>
      </c>
      <c r="AY39">
        <f t="shared" si="29"/>
        <v>0</v>
      </c>
      <c r="AZ39">
        <f t="shared" si="29"/>
        <v>0</v>
      </c>
      <c r="BA39">
        <f t="shared" si="29"/>
        <v>0</v>
      </c>
      <c r="BB39">
        <f t="shared" si="29"/>
        <v>0</v>
      </c>
      <c r="BC39">
        <f t="shared" si="29"/>
        <v>0</v>
      </c>
      <c r="BD39">
        <f t="shared" si="29"/>
        <v>0</v>
      </c>
      <c r="BE39">
        <f t="shared" si="29"/>
        <v>0</v>
      </c>
      <c r="BF39">
        <f t="shared" si="29"/>
        <v>0</v>
      </c>
      <c r="BG39">
        <f t="shared" si="29"/>
        <v>0</v>
      </c>
      <c r="BH39">
        <f t="shared" si="29"/>
        <v>0</v>
      </c>
      <c r="BI39">
        <f t="shared" si="29"/>
        <v>0</v>
      </c>
      <c r="BJ39">
        <f t="shared" si="29"/>
        <v>0</v>
      </c>
      <c r="BK39">
        <f t="shared" si="29"/>
        <v>0</v>
      </c>
      <c r="BL39">
        <f t="shared" si="29"/>
        <v>0</v>
      </c>
      <c r="BM39">
        <f t="shared" si="29"/>
        <v>0</v>
      </c>
      <c r="BN39">
        <f t="shared" si="29"/>
        <v>0</v>
      </c>
      <c r="BO39">
        <f t="shared" si="29"/>
        <v>0</v>
      </c>
      <c r="BP39">
        <f t="shared" si="29"/>
        <v>0</v>
      </c>
      <c r="BQ39">
        <f t="shared" ref="BQ39:EB39" si="33">BQ17-ROUNDUP(BQ17*0.3,2)</f>
        <v>0</v>
      </c>
      <c r="BR39">
        <f t="shared" si="33"/>
        <v>0</v>
      </c>
      <c r="BS39">
        <f t="shared" si="33"/>
        <v>0</v>
      </c>
      <c r="BT39">
        <f t="shared" si="33"/>
        <v>0</v>
      </c>
      <c r="BU39">
        <f t="shared" si="33"/>
        <v>0</v>
      </c>
      <c r="BV39">
        <f t="shared" si="33"/>
        <v>0</v>
      </c>
      <c r="BW39">
        <f t="shared" si="33"/>
        <v>0</v>
      </c>
      <c r="BX39">
        <f t="shared" si="33"/>
        <v>0</v>
      </c>
      <c r="BY39">
        <f t="shared" si="33"/>
        <v>0</v>
      </c>
      <c r="BZ39">
        <f t="shared" si="33"/>
        <v>0</v>
      </c>
      <c r="CA39">
        <f t="shared" si="33"/>
        <v>0</v>
      </c>
      <c r="CB39">
        <f t="shared" si="33"/>
        <v>0</v>
      </c>
      <c r="CC39">
        <f t="shared" si="33"/>
        <v>0</v>
      </c>
      <c r="CD39">
        <f t="shared" si="33"/>
        <v>0</v>
      </c>
      <c r="CE39">
        <f t="shared" si="33"/>
        <v>0</v>
      </c>
      <c r="CF39">
        <f t="shared" si="33"/>
        <v>0</v>
      </c>
      <c r="CG39">
        <f t="shared" si="33"/>
        <v>0</v>
      </c>
      <c r="CH39">
        <f t="shared" si="33"/>
        <v>0</v>
      </c>
      <c r="CI39">
        <f t="shared" si="33"/>
        <v>0</v>
      </c>
      <c r="CJ39">
        <f t="shared" si="33"/>
        <v>0</v>
      </c>
      <c r="CK39">
        <f t="shared" si="33"/>
        <v>0</v>
      </c>
      <c r="CL39">
        <f t="shared" si="33"/>
        <v>0</v>
      </c>
      <c r="CM39">
        <f t="shared" si="33"/>
        <v>0</v>
      </c>
      <c r="CN39">
        <f t="shared" si="33"/>
        <v>0</v>
      </c>
      <c r="CO39">
        <f t="shared" si="33"/>
        <v>0</v>
      </c>
      <c r="CP39">
        <f t="shared" si="33"/>
        <v>0</v>
      </c>
      <c r="CQ39">
        <f t="shared" si="33"/>
        <v>0</v>
      </c>
      <c r="CR39">
        <f t="shared" si="33"/>
        <v>0</v>
      </c>
      <c r="CS39">
        <f t="shared" si="33"/>
        <v>0</v>
      </c>
      <c r="CT39">
        <f t="shared" si="33"/>
        <v>0</v>
      </c>
      <c r="CU39">
        <f t="shared" si="33"/>
        <v>0</v>
      </c>
      <c r="CV39">
        <f t="shared" si="33"/>
        <v>0</v>
      </c>
      <c r="CW39">
        <f t="shared" si="33"/>
        <v>0</v>
      </c>
      <c r="CX39">
        <f t="shared" si="33"/>
        <v>0</v>
      </c>
      <c r="CY39">
        <f t="shared" si="33"/>
        <v>0</v>
      </c>
      <c r="CZ39">
        <f t="shared" si="33"/>
        <v>0</v>
      </c>
      <c r="DA39">
        <f t="shared" si="33"/>
        <v>0</v>
      </c>
      <c r="DB39">
        <f t="shared" si="33"/>
        <v>0</v>
      </c>
      <c r="DC39">
        <f t="shared" si="33"/>
        <v>0</v>
      </c>
      <c r="DD39">
        <f t="shared" si="33"/>
        <v>0</v>
      </c>
      <c r="DE39">
        <f t="shared" si="33"/>
        <v>0</v>
      </c>
      <c r="DF39">
        <f t="shared" si="33"/>
        <v>0</v>
      </c>
      <c r="DG39">
        <f t="shared" si="33"/>
        <v>0</v>
      </c>
      <c r="DH39">
        <f t="shared" si="33"/>
        <v>0</v>
      </c>
      <c r="DI39">
        <f t="shared" si="33"/>
        <v>0</v>
      </c>
      <c r="DJ39">
        <f t="shared" si="33"/>
        <v>0</v>
      </c>
      <c r="DK39">
        <f t="shared" si="33"/>
        <v>0</v>
      </c>
      <c r="DL39">
        <f t="shared" si="33"/>
        <v>0</v>
      </c>
      <c r="DM39">
        <f t="shared" si="33"/>
        <v>0</v>
      </c>
      <c r="DN39">
        <f t="shared" si="33"/>
        <v>0</v>
      </c>
      <c r="DO39">
        <f t="shared" si="33"/>
        <v>0</v>
      </c>
      <c r="DP39">
        <f t="shared" si="33"/>
        <v>0</v>
      </c>
      <c r="DQ39">
        <f t="shared" si="33"/>
        <v>0</v>
      </c>
      <c r="DR39">
        <f t="shared" si="33"/>
        <v>0</v>
      </c>
      <c r="DS39">
        <f t="shared" si="33"/>
        <v>0</v>
      </c>
      <c r="DT39">
        <f t="shared" si="33"/>
        <v>0</v>
      </c>
      <c r="DU39">
        <f t="shared" si="33"/>
        <v>0</v>
      </c>
      <c r="DV39">
        <f t="shared" si="33"/>
        <v>0</v>
      </c>
      <c r="DW39">
        <f t="shared" si="33"/>
        <v>0</v>
      </c>
      <c r="DX39">
        <f t="shared" si="33"/>
        <v>0</v>
      </c>
      <c r="DY39">
        <f t="shared" si="33"/>
        <v>0</v>
      </c>
      <c r="DZ39">
        <f t="shared" si="33"/>
        <v>0</v>
      </c>
      <c r="EA39">
        <f t="shared" si="33"/>
        <v>0</v>
      </c>
      <c r="EB39">
        <f t="shared" si="33"/>
        <v>0</v>
      </c>
      <c r="EC39">
        <f t="shared" si="17"/>
        <v>0</v>
      </c>
      <c r="ED39">
        <f t="shared" si="27"/>
        <v>0</v>
      </c>
      <c r="EE39">
        <f t="shared" si="27"/>
        <v>0</v>
      </c>
      <c r="EF39">
        <f t="shared" si="27"/>
        <v>0</v>
      </c>
      <c r="EG39">
        <f t="shared" si="27"/>
        <v>0</v>
      </c>
      <c r="EH39">
        <f t="shared" si="27"/>
        <v>0</v>
      </c>
      <c r="EI39">
        <f t="shared" si="27"/>
        <v>0</v>
      </c>
      <c r="EJ39">
        <f t="shared" si="27"/>
        <v>0</v>
      </c>
      <c r="EK39">
        <f t="shared" si="27"/>
        <v>0</v>
      </c>
      <c r="EL39">
        <f t="shared" si="27"/>
        <v>0</v>
      </c>
      <c r="EM39">
        <f t="shared" si="27"/>
        <v>0</v>
      </c>
      <c r="EN39">
        <f t="shared" si="27"/>
        <v>0</v>
      </c>
      <c r="EO39">
        <f t="shared" si="27"/>
        <v>0</v>
      </c>
      <c r="EP39">
        <f t="shared" si="27"/>
        <v>0</v>
      </c>
      <c r="EQ39">
        <f t="shared" si="27"/>
        <v>0</v>
      </c>
      <c r="ER39">
        <f t="shared" si="27"/>
        <v>0</v>
      </c>
      <c r="ES39">
        <f t="shared" si="27"/>
        <v>0</v>
      </c>
      <c r="ET39">
        <f t="shared" si="27"/>
        <v>0</v>
      </c>
      <c r="EU39">
        <f t="shared" si="27"/>
        <v>0</v>
      </c>
      <c r="EV39">
        <f t="shared" si="27"/>
        <v>0</v>
      </c>
      <c r="EW39">
        <f t="shared" si="27"/>
        <v>0</v>
      </c>
      <c r="EX39">
        <f t="shared" si="27"/>
        <v>0</v>
      </c>
      <c r="EY39">
        <f t="shared" si="27"/>
        <v>0</v>
      </c>
      <c r="EZ39">
        <f t="shared" si="27"/>
        <v>0</v>
      </c>
      <c r="FA39">
        <f t="shared" si="27"/>
        <v>0</v>
      </c>
      <c r="FB39">
        <f t="shared" si="27"/>
        <v>0</v>
      </c>
      <c r="FC39">
        <f t="shared" si="27"/>
        <v>0</v>
      </c>
      <c r="FD39">
        <f t="shared" si="27"/>
        <v>0</v>
      </c>
      <c r="FE39">
        <f t="shared" si="27"/>
        <v>0</v>
      </c>
      <c r="FF39">
        <f t="shared" si="27"/>
        <v>0</v>
      </c>
      <c r="FG39">
        <f t="shared" si="27"/>
        <v>0</v>
      </c>
      <c r="FH39">
        <f t="shared" si="27"/>
        <v>0</v>
      </c>
      <c r="FI39">
        <f t="shared" si="27"/>
        <v>0</v>
      </c>
      <c r="FJ39">
        <f t="shared" si="27"/>
        <v>0</v>
      </c>
      <c r="FK39">
        <f t="shared" si="27"/>
        <v>0</v>
      </c>
      <c r="FL39">
        <f t="shared" si="27"/>
        <v>0</v>
      </c>
      <c r="FM39">
        <f t="shared" si="27"/>
        <v>0</v>
      </c>
      <c r="FN39">
        <f t="shared" si="27"/>
        <v>0</v>
      </c>
      <c r="FO39">
        <f t="shared" si="27"/>
        <v>0</v>
      </c>
      <c r="FP39">
        <f t="shared" si="27"/>
        <v>0</v>
      </c>
      <c r="FQ39">
        <f t="shared" si="27"/>
        <v>0</v>
      </c>
      <c r="FR39">
        <f t="shared" si="27"/>
        <v>0</v>
      </c>
      <c r="FS39">
        <f t="shared" si="27"/>
        <v>0</v>
      </c>
      <c r="FT39">
        <f t="shared" si="27"/>
        <v>0</v>
      </c>
      <c r="FU39">
        <f t="shared" si="27"/>
        <v>0</v>
      </c>
    </row>
    <row r="42" spans="1:177" x14ac:dyDescent="0.25">
      <c r="D42" s="1" t="s">
        <v>186</v>
      </c>
      <c r="E42">
        <f>SUM(E26:E39)</f>
        <v>46.830000000000005</v>
      </c>
      <c r="F42">
        <f t="shared" ref="F42:BQ42" si="34">SUM(F26:F39)</f>
        <v>46.960000000000008</v>
      </c>
      <c r="G42">
        <f t="shared" si="34"/>
        <v>44.629999999999995</v>
      </c>
      <c r="H42">
        <f t="shared" si="34"/>
        <v>44.09</v>
      </c>
      <c r="I42">
        <f t="shared" si="34"/>
        <v>46.32</v>
      </c>
      <c r="J42">
        <f t="shared" si="34"/>
        <v>47.25</v>
      </c>
      <c r="K42">
        <f t="shared" si="34"/>
        <v>46.640000000000008</v>
      </c>
      <c r="L42">
        <f t="shared" si="34"/>
        <v>46.389999999999986</v>
      </c>
      <c r="M42">
        <f t="shared" si="34"/>
        <v>46.59</v>
      </c>
      <c r="N42">
        <f t="shared" si="34"/>
        <v>47.039999999999992</v>
      </c>
      <c r="O42">
        <f t="shared" si="34"/>
        <v>47.17</v>
      </c>
      <c r="P42">
        <f t="shared" si="34"/>
        <v>46.03</v>
      </c>
      <c r="Q42">
        <f t="shared" si="34"/>
        <v>46.330000000000005</v>
      </c>
      <c r="R42">
        <f t="shared" si="34"/>
        <v>45.140000000000008</v>
      </c>
      <c r="S42">
        <f t="shared" si="34"/>
        <v>47.24</v>
      </c>
      <c r="T42">
        <f t="shared" si="34"/>
        <v>46.64</v>
      </c>
      <c r="U42">
        <f t="shared" si="34"/>
        <v>46.539999999999992</v>
      </c>
      <c r="V42">
        <f t="shared" si="34"/>
        <v>46.079999999999991</v>
      </c>
      <c r="W42">
        <f t="shared" si="34"/>
        <v>46.730000000000011</v>
      </c>
      <c r="X42">
        <f t="shared" si="34"/>
        <v>45.91</v>
      </c>
      <c r="Y42">
        <f t="shared" si="34"/>
        <v>45.43</v>
      </c>
      <c r="Z42">
        <f t="shared" si="34"/>
        <v>0</v>
      </c>
      <c r="AA42">
        <f t="shared" si="34"/>
        <v>0</v>
      </c>
      <c r="AB42">
        <f t="shared" si="34"/>
        <v>0</v>
      </c>
      <c r="AC42">
        <f t="shared" si="34"/>
        <v>0</v>
      </c>
      <c r="AD42">
        <f t="shared" si="34"/>
        <v>0</v>
      </c>
      <c r="AE42">
        <f t="shared" si="34"/>
        <v>0</v>
      </c>
      <c r="AF42">
        <f t="shared" si="34"/>
        <v>0</v>
      </c>
      <c r="AG42">
        <f t="shared" si="34"/>
        <v>0</v>
      </c>
      <c r="AH42">
        <f t="shared" si="34"/>
        <v>0</v>
      </c>
      <c r="AI42">
        <f t="shared" si="34"/>
        <v>0</v>
      </c>
      <c r="AJ42">
        <f t="shared" si="34"/>
        <v>0</v>
      </c>
      <c r="AK42">
        <f t="shared" si="34"/>
        <v>0</v>
      </c>
      <c r="AL42">
        <f t="shared" si="34"/>
        <v>0</v>
      </c>
      <c r="AM42">
        <f t="shared" si="34"/>
        <v>0</v>
      </c>
      <c r="AN42">
        <f t="shared" si="34"/>
        <v>0</v>
      </c>
      <c r="AO42">
        <f t="shared" si="34"/>
        <v>0</v>
      </c>
      <c r="AP42">
        <f t="shared" si="34"/>
        <v>0</v>
      </c>
      <c r="AQ42">
        <f t="shared" si="34"/>
        <v>0</v>
      </c>
      <c r="AR42">
        <f t="shared" si="34"/>
        <v>0</v>
      </c>
      <c r="AS42">
        <f t="shared" si="34"/>
        <v>0</v>
      </c>
      <c r="AT42">
        <f t="shared" si="34"/>
        <v>0</v>
      </c>
      <c r="AU42">
        <f t="shared" si="34"/>
        <v>0</v>
      </c>
      <c r="AV42">
        <f t="shared" si="34"/>
        <v>0</v>
      </c>
      <c r="AW42">
        <f t="shared" si="34"/>
        <v>0</v>
      </c>
      <c r="AX42">
        <f t="shared" si="34"/>
        <v>0</v>
      </c>
      <c r="AY42">
        <f t="shared" si="34"/>
        <v>0</v>
      </c>
      <c r="AZ42">
        <f t="shared" si="34"/>
        <v>0</v>
      </c>
      <c r="BA42">
        <f t="shared" si="34"/>
        <v>0</v>
      </c>
      <c r="BB42">
        <f t="shared" si="34"/>
        <v>0</v>
      </c>
      <c r="BC42">
        <f t="shared" si="34"/>
        <v>0</v>
      </c>
      <c r="BD42">
        <f t="shared" si="34"/>
        <v>0</v>
      </c>
      <c r="BE42">
        <f t="shared" si="34"/>
        <v>0</v>
      </c>
      <c r="BF42">
        <f t="shared" si="34"/>
        <v>0</v>
      </c>
      <c r="BG42">
        <f t="shared" si="34"/>
        <v>0</v>
      </c>
      <c r="BH42">
        <f t="shared" si="34"/>
        <v>0</v>
      </c>
      <c r="BI42">
        <f t="shared" si="34"/>
        <v>0</v>
      </c>
      <c r="BJ42">
        <f t="shared" si="34"/>
        <v>0</v>
      </c>
      <c r="BK42">
        <f t="shared" si="34"/>
        <v>0</v>
      </c>
      <c r="BL42">
        <f t="shared" si="34"/>
        <v>0</v>
      </c>
      <c r="BM42">
        <f t="shared" si="34"/>
        <v>0</v>
      </c>
      <c r="BN42">
        <f t="shared" si="34"/>
        <v>0</v>
      </c>
      <c r="BO42">
        <f t="shared" si="34"/>
        <v>0</v>
      </c>
      <c r="BP42">
        <f t="shared" si="34"/>
        <v>0</v>
      </c>
      <c r="BQ42">
        <f t="shared" si="34"/>
        <v>0</v>
      </c>
      <c r="BR42">
        <f t="shared" ref="BR42:EC42" si="35">SUM(BR26:BR39)</f>
        <v>0</v>
      </c>
      <c r="BS42">
        <f t="shared" si="35"/>
        <v>0</v>
      </c>
      <c r="BT42">
        <f t="shared" si="35"/>
        <v>0</v>
      </c>
      <c r="BU42">
        <f t="shared" si="35"/>
        <v>0</v>
      </c>
      <c r="BV42">
        <f t="shared" si="35"/>
        <v>0</v>
      </c>
      <c r="BW42">
        <f t="shared" si="35"/>
        <v>0</v>
      </c>
      <c r="BX42">
        <f t="shared" si="35"/>
        <v>0</v>
      </c>
      <c r="BY42">
        <f t="shared" si="35"/>
        <v>0</v>
      </c>
      <c r="BZ42">
        <f t="shared" si="35"/>
        <v>0</v>
      </c>
      <c r="CA42">
        <f t="shared" si="35"/>
        <v>0</v>
      </c>
      <c r="CB42">
        <f t="shared" si="35"/>
        <v>0</v>
      </c>
      <c r="CC42">
        <f t="shared" si="35"/>
        <v>0</v>
      </c>
      <c r="CD42">
        <f t="shared" si="35"/>
        <v>0</v>
      </c>
      <c r="CE42">
        <f t="shared" si="35"/>
        <v>0</v>
      </c>
      <c r="CF42">
        <f t="shared" si="35"/>
        <v>0</v>
      </c>
      <c r="CG42">
        <f t="shared" si="35"/>
        <v>0</v>
      </c>
      <c r="CH42">
        <f t="shared" si="35"/>
        <v>0</v>
      </c>
      <c r="CI42">
        <f t="shared" si="35"/>
        <v>0</v>
      </c>
      <c r="CJ42">
        <f t="shared" si="35"/>
        <v>0</v>
      </c>
      <c r="CK42">
        <f t="shared" si="35"/>
        <v>0</v>
      </c>
      <c r="CL42">
        <f t="shared" si="35"/>
        <v>0</v>
      </c>
      <c r="CM42">
        <f t="shared" si="35"/>
        <v>0</v>
      </c>
      <c r="CN42">
        <f t="shared" si="35"/>
        <v>0</v>
      </c>
      <c r="CO42">
        <f t="shared" si="35"/>
        <v>0</v>
      </c>
      <c r="CP42">
        <f t="shared" si="35"/>
        <v>0</v>
      </c>
      <c r="CQ42">
        <f t="shared" si="35"/>
        <v>0</v>
      </c>
      <c r="CR42">
        <f t="shared" si="35"/>
        <v>0</v>
      </c>
      <c r="CS42">
        <f t="shared" si="35"/>
        <v>0</v>
      </c>
      <c r="CT42">
        <f t="shared" si="35"/>
        <v>0</v>
      </c>
      <c r="CU42">
        <f t="shared" si="35"/>
        <v>0</v>
      </c>
      <c r="CV42">
        <f t="shared" si="35"/>
        <v>0</v>
      </c>
      <c r="CW42">
        <f t="shared" si="35"/>
        <v>0</v>
      </c>
      <c r="CX42">
        <f t="shared" si="35"/>
        <v>0</v>
      </c>
      <c r="CY42">
        <f t="shared" si="35"/>
        <v>0</v>
      </c>
      <c r="CZ42">
        <f t="shared" si="35"/>
        <v>0</v>
      </c>
      <c r="DA42">
        <f t="shared" si="35"/>
        <v>0</v>
      </c>
      <c r="DB42">
        <f t="shared" si="35"/>
        <v>0</v>
      </c>
      <c r="DC42">
        <f t="shared" si="35"/>
        <v>0</v>
      </c>
      <c r="DD42">
        <f t="shared" si="35"/>
        <v>0</v>
      </c>
      <c r="DE42">
        <f t="shared" si="35"/>
        <v>0</v>
      </c>
      <c r="DF42">
        <f t="shared" si="35"/>
        <v>0</v>
      </c>
      <c r="DG42">
        <f t="shared" si="35"/>
        <v>0</v>
      </c>
      <c r="DH42">
        <f t="shared" si="35"/>
        <v>0</v>
      </c>
      <c r="DI42">
        <f t="shared" si="35"/>
        <v>0</v>
      </c>
      <c r="DJ42">
        <f t="shared" si="35"/>
        <v>0</v>
      </c>
      <c r="DK42">
        <f t="shared" si="35"/>
        <v>0</v>
      </c>
      <c r="DL42">
        <f t="shared" si="35"/>
        <v>0</v>
      </c>
      <c r="DM42">
        <f t="shared" si="35"/>
        <v>0</v>
      </c>
      <c r="DN42">
        <f t="shared" si="35"/>
        <v>0</v>
      </c>
      <c r="DO42">
        <f t="shared" si="35"/>
        <v>0</v>
      </c>
      <c r="DP42">
        <f t="shared" si="35"/>
        <v>0</v>
      </c>
      <c r="DQ42">
        <f t="shared" si="35"/>
        <v>0</v>
      </c>
      <c r="DR42">
        <f t="shared" si="35"/>
        <v>0</v>
      </c>
      <c r="DS42">
        <f t="shared" si="35"/>
        <v>0</v>
      </c>
      <c r="DT42">
        <f t="shared" si="35"/>
        <v>0</v>
      </c>
      <c r="DU42">
        <f t="shared" si="35"/>
        <v>0</v>
      </c>
      <c r="DV42">
        <f t="shared" si="35"/>
        <v>0</v>
      </c>
      <c r="DW42">
        <f t="shared" si="35"/>
        <v>0</v>
      </c>
      <c r="DX42">
        <f t="shared" si="35"/>
        <v>0</v>
      </c>
      <c r="DY42">
        <f t="shared" si="35"/>
        <v>0</v>
      </c>
      <c r="DZ42">
        <f t="shared" si="35"/>
        <v>0</v>
      </c>
      <c r="EA42">
        <f t="shared" si="35"/>
        <v>0</v>
      </c>
      <c r="EB42">
        <f t="shared" si="35"/>
        <v>0</v>
      </c>
      <c r="EC42">
        <f t="shared" si="35"/>
        <v>0</v>
      </c>
      <c r="ED42">
        <f t="shared" ref="ED42:FU42" si="36">SUM(ED26:ED39)</f>
        <v>0</v>
      </c>
      <c r="EE42">
        <f t="shared" si="36"/>
        <v>0</v>
      </c>
      <c r="EF42">
        <f t="shared" si="36"/>
        <v>0</v>
      </c>
      <c r="EG42">
        <f t="shared" si="36"/>
        <v>0</v>
      </c>
      <c r="EH42">
        <f t="shared" si="36"/>
        <v>0</v>
      </c>
      <c r="EI42">
        <f t="shared" si="36"/>
        <v>0</v>
      </c>
      <c r="EJ42">
        <f t="shared" si="36"/>
        <v>0</v>
      </c>
      <c r="EK42">
        <f t="shared" si="36"/>
        <v>0</v>
      </c>
      <c r="EL42">
        <f t="shared" si="36"/>
        <v>0</v>
      </c>
      <c r="EM42">
        <f t="shared" si="36"/>
        <v>0</v>
      </c>
      <c r="EN42">
        <f t="shared" si="36"/>
        <v>0</v>
      </c>
      <c r="EO42">
        <f t="shared" si="36"/>
        <v>0</v>
      </c>
      <c r="EP42">
        <f t="shared" si="36"/>
        <v>0</v>
      </c>
      <c r="EQ42">
        <f t="shared" si="36"/>
        <v>0</v>
      </c>
      <c r="ER42">
        <f t="shared" si="36"/>
        <v>0</v>
      </c>
      <c r="ES42">
        <f t="shared" si="36"/>
        <v>0</v>
      </c>
      <c r="ET42">
        <f t="shared" si="36"/>
        <v>0</v>
      </c>
      <c r="EU42">
        <f t="shared" si="36"/>
        <v>0</v>
      </c>
      <c r="EV42">
        <f t="shared" si="36"/>
        <v>0</v>
      </c>
      <c r="EW42">
        <f t="shared" si="36"/>
        <v>0</v>
      </c>
      <c r="EX42">
        <f t="shared" si="36"/>
        <v>0</v>
      </c>
      <c r="EY42">
        <f t="shared" si="36"/>
        <v>0</v>
      </c>
      <c r="EZ42">
        <f t="shared" si="36"/>
        <v>0</v>
      </c>
      <c r="FA42">
        <f t="shared" si="36"/>
        <v>0</v>
      </c>
      <c r="FB42">
        <f t="shared" si="36"/>
        <v>0</v>
      </c>
      <c r="FC42">
        <f t="shared" si="36"/>
        <v>0</v>
      </c>
      <c r="FD42">
        <f t="shared" si="36"/>
        <v>0</v>
      </c>
      <c r="FE42">
        <f t="shared" si="36"/>
        <v>0</v>
      </c>
      <c r="FF42">
        <f t="shared" si="36"/>
        <v>0</v>
      </c>
      <c r="FG42">
        <f t="shared" si="36"/>
        <v>0</v>
      </c>
      <c r="FH42">
        <f t="shared" si="36"/>
        <v>0</v>
      </c>
      <c r="FI42">
        <f t="shared" si="36"/>
        <v>0</v>
      </c>
      <c r="FJ42">
        <f t="shared" si="36"/>
        <v>0</v>
      </c>
      <c r="FK42">
        <f t="shared" si="36"/>
        <v>0</v>
      </c>
      <c r="FL42">
        <f t="shared" si="36"/>
        <v>0</v>
      </c>
      <c r="FM42">
        <f t="shared" si="36"/>
        <v>0</v>
      </c>
      <c r="FN42">
        <f t="shared" si="36"/>
        <v>0</v>
      </c>
      <c r="FO42">
        <f t="shared" si="36"/>
        <v>0</v>
      </c>
      <c r="FP42">
        <f t="shared" si="36"/>
        <v>0</v>
      </c>
      <c r="FQ42">
        <f t="shared" si="36"/>
        <v>0</v>
      </c>
      <c r="FR42">
        <f t="shared" si="36"/>
        <v>0</v>
      </c>
      <c r="FS42">
        <f t="shared" si="36"/>
        <v>0</v>
      </c>
      <c r="FT42">
        <f t="shared" si="36"/>
        <v>0</v>
      </c>
      <c r="FU42">
        <f t="shared" si="36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7316-774F-4D60-91E3-2F8F83DBC827}">
  <dimension ref="A1:FU77"/>
  <sheetViews>
    <sheetView topLeftCell="A34" zoomScale="80" zoomScaleNormal="80" workbookViewId="0">
      <pane xSplit="4" topLeftCell="E1" activePane="topRight" state="frozen"/>
      <selection pane="topRight" activeCell="E38" sqref="E38"/>
    </sheetView>
  </sheetViews>
  <sheetFormatPr defaultRowHeight="15" x14ac:dyDescent="0.25"/>
  <cols>
    <col min="1" max="1" width="21.5703125" customWidth="1"/>
    <col min="2" max="2" width="30.28515625" customWidth="1"/>
    <col min="3" max="3" width="0" hidden="1" customWidth="1"/>
    <col min="5" max="177" width="11.42578125" customWidth="1"/>
  </cols>
  <sheetData>
    <row r="1" spans="1:177" x14ac:dyDescent="0.25">
      <c r="B1" t="s">
        <v>48</v>
      </c>
    </row>
    <row r="3" spans="1:177" x14ac:dyDescent="0.25">
      <c r="A3" s="1" t="s">
        <v>0</v>
      </c>
      <c r="B3" s="1" t="s">
        <v>1</v>
      </c>
      <c r="C3" s="1" t="s">
        <v>2</v>
      </c>
      <c r="D3" s="1" t="s">
        <v>8</v>
      </c>
      <c r="E3" s="2">
        <f>Inventory!E1</f>
        <v>44331</v>
      </c>
      <c r="F3" s="2">
        <f>Inventory!F1</f>
        <v>44332</v>
      </c>
      <c r="G3" s="2">
        <f>Inventory!G1</f>
        <v>44334</v>
      </c>
      <c r="H3" s="2">
        <f>Inventory!H1</f>
        <v>44336</v>
      </c>
      <c r="I3" s="2">
        <f>Inventory!I1</f>
        <v>44337</v>
      </c>
      <c r="J3" s="2">
        <f>Inventory!J1</f>
        <v>44338</v>
      </c>
      <c r="K3" s="2">
        <f>Inventory!K1</f>
        <v>44339</v>
      </c>
      <c r="L3" s="2">
        <f>Inventory!L1</f>
        <v>44340</v>
      </c>
      <c r="M3" s="2">
        <f>Inventory!M1</f>
        <v>44341</v>
      </c>
      <c r="N3" s="2">
        <f>Inventory!N1</f>
        <v>44342</v>
      </c>
      <c r="O3" s="2">
        <f>Inventory!O1</f>
        <v>44343</v>
      </c>
      <c r="P3" s="2">
        <f>Inventory!P1</f>
        <v>44344</v>
      </c>
      <c r="Q3" s="2">
        <f>Inventory!Q1</f>
        <v>44345</v>
      </c>
      <c r="R3" s="2">
        <f>Inventory!R1</f>
        <v>44346</v>
      </c>
      <c r="S3" s="2">
        <f>Inventory!S1</f>
        <v>44347</v>
      </c>
      <c r="T3" s="2">
        <f>Inventory!T1</f>
        <v>44348</v>
      </c>
      <c r="U3" s="2">
        <f>Inventory!U1</f>
        <v>44349</v>
      </c>
      <c r="V3" s="2">
        <f>Inventory!V1</f>
        <v>44350</v>
      </c>
      <c r="W3" s="2">
        <f>Inventory!W1</f>
        <v>44351</v>
      </c>
      <c r="X3" s="2">
        <f>Inventory!X1</f>
        <v>44352</v>
      </c>
      <c r="Y3" s="2">
        <f>Inventory!Y1</f>
        <v>44353</v>
      </c>
      <c r="Z3" s="2">
        <f>Inventory!Z1</f>
        <v>44354</v>
      </c>
      <c r="AA3" s="2">
        <f>Inventory!AA1</f>
        <v>44355</v>
      </c>
      <c r="AB3" s="2">
        <f>Inventory!AB1</f>
        <v>44356</v>
      </c>
      <c r="AC3" s="2">
        <f>Inventory!AC1</f>
        <v>44357</v>
      </c>
      <c r="AD3" s="2">
        <f>Inventory!AD1</f>
        <v>44358</v>
      </c>
      <c r="AE3" s="2">
        <f>Inventory!AE1</f>
        <v>44359</v>
      </c>
      <c r="AF3" s="2">
        <f>Inventory!AF1</f>
        <v>44360</v>
      </c>
      <c r="AG3" s="2">
        <f>Inventory!AG1</f>
        <v>44361</v>
      </c>
      <c r="AH3" s="2">
        <f>Inventory!AH1</f>
        <v>44362</v>
      </c>
      <c r="AI3" s="2">
        <f>Inventory!AI1</f>
        <v>44363</v>
      </c>
      <c r="AJ3" s="2">
        <f>Inventory!AJ1</f>
        <v>44364</v>
      </c>
      <c r="AK3" s="2">
        <f>Inventory!AK1</f>
        <v>44365</v>
      </c>
      <c r="AL3" s="2">
        <f>Inventory!AL1</f>
        <v>44366</v>
      </c>
      <c r="AM3" s="2">
        <f>Inventory!AM1</f>
        <v>44367</v>
      </c>
      <c r="AN3" s="2">
        <f>Inventory!AN1</f>
        <v>44368</v>
      </c>
      <c r="AO3" s="2">
        <f>Inventory!AO1</f>
        <v>44369</v>
      </c>
      <c r="AP3" s="2">
        <f>Inventory!AP1</f>
        <v>44370</v>
      </c>
      <c r="AQ3" s="2">
        <f>Inventory!AQ1</f>
        <v>44371</v>
      </c>
      <c r="AR3" s="2">
        <f>Inventory!AR1</f>
        <v>44372</v>
      </c>
      <c r="AS3" s="2">
        <f>Inventory!AS1</f>
        <v>44373</v>
      </c>
      <c r="AT3" s="2">
        <f>Inventory!AT1</f>
        <v>44374</v>
      </c>
      <c r="AU3" s="2">
        <f>Inventory!AU1</f>
        <v>44375</v>
      </c>
      <c r="AV3" s="2">
        <f>Inventory!AV1</f>
        <v>44376</v>
      </c>
      <c r="AW3" s="2">
        <f>Inventory!AW1</f>
        <v>44377</v>
      </c>
      <c r="AX3" s="2">
        <f>Inventory!AX1</f>
        <v>44378</v>
      </c>
      <c r="AY3" s="2">
        <f>Inventory!AY1</f>
        <v>44379</v>
      </c>
      <c r="AZ3" s="2">
        <f>Inventory!AZ1</f>
        <v>44380</v>
      </c>
      <c r="BA3" s="2">
        <f>Inventory!BA1</f>
        <v>44381</v>
      </c>
      <c r="BB3" s="2">
        <f>Inventory!BB1</f>
        <v>44382</v>
      </c>
      <c r="BC3" s="2">
        <f>Inventory!BC1</f>
        <v>44383</v>
      </c>
      <c r="BD3" s="2">
        <f>Inventory!BD1</f>
        <v>44384</v>
      </c>
      <c r="BE3" s="2">
        <f>Inventory!BE1</f>
        <v>44385</v>
      </c>
      <c r="BF3" s="2">
        <f>Inventory!BF1</f>
        <v>44386</v>
      </c>
      <c r="BG3" s="2">
        <f>Inventory!BG1</f>
        <v>44387</v>
      </c>
      <c r="BH3" s="2">
        <f>Inventory!BH1</f>
        <v>44388</v>
      </c>
      <c r="BI3" s="2">
        <f>Inventory!BI1</f>
        <v>44389</v>
      </c>
      <c r="BJ3" s="2">
        <f>Inventory!BJ1</f>
        <v>44390</v>
      </c>
      <c r="BK3" s="2">
        <f>Inventory!BK1</f>
        <v>44391</v>
      </c>
      <c r="BL3" s="2">
        <f>Inventory!BL1</f>
        <v>44392</v>
      </c>
      <c r="BM3" s="2">
        <f>Inventory!BM1</f>
        <v>44393</v>
      </c>
      <c r="BN3" s="2">
        <f>Inventory!BN1</f>
        <v>44394</v>
      </c>
      <c r="BO3" s="2">
        <f>Inventory!BO1</f>
        <v>44395</v>
      </c>
      <c r="BP3" s="2">
        <f>Inventory!BP1</f>
        <v>44396</v>
      </c>
      <c r="BQ3" s="2">
        <f>Inventory!BQ1</f>
        <v>44397</v>
      </c>
      <c r="BR3" s="2">
        <f>Inventory!BR1</f>
        <v>44398</v>
      </c>
      <c r="BS3" s="2">
        <f>Inventory!BS1</f>
        <v>44399</v>
      </c>
      <c r="BT3" s="2">
        <f>Inventory!BT1</f>
        <v>44400</v>
      </c>
      <c r="BU3" s="2">
        <f>Inventory!BU1</f>
        <v>44401</v>
      </c>
      <c r="BV3" s="2">
        <f>Inventory!BV1</f>
        <v>44402</v>
      </c>
      <c r="BW3" s="2">
        <f>Inventory!BW1</f>
        <v>44403</v>
      </c>
      <c r="BX3" s="2">
        <f>Inventory!BX1</f>
        <v>44404</v>
      </c>
      <c r="BY3" s="2">
        <f>Inventory!BY1</f>
        <v>44405</v>
      </c>
      <c r="BZ3" s="2">
        <f>Inventory!BZ1</f>
        <v>44406</v>
      </c>
      <c r="CA3" s="2">
        <f>Inventory!CA1</f>
        <v>44407</v>
      </c>
      <c r="CB3" s="2">
        <f>Inventory!CB1</f>
        <v>44408</v>
      </c>
      <c r="CC3" s="2">
        <f>Inventory!CC1</f>
        <v>44409</v>
      </c>
      <c r="CD3" s="2">
        <f>Inventory!CD1</f>
        <v>44410</v>
      </c>
      <c r="CE3" s="2">
        <f>Inventory!CE1</f>
        <v>44411</v>
      </c>
      <c r="CF3" s="2">
        <f>Inventory!CF1</f>
        <v>44412</v>
      </c>
      <c r="CG3" s="2">
        <f>Inventory!CG1</f>
        <v>44413</v>
      </c>
      <c r="CH3" s="2">
        <f>Inventory!CH1</f>
        <v>44414</v>
      </c>
      <c r="CI3" s="2">
        <f>Inventory!CI1</f>
        <v>44415</v>
      </c>
      <c r="CJ3" s="2">
        <f>Inventory!CJ1</f>
        <v>44416</v>
      </c>
      <c r="CK3" s="2">
        <f>Inventory!CK1</f>
        <v>44417</v>
      </c>
      <c r="CL3" s="2">
        <f>Inventory!CL1</f>
        <v>44418</v>
      </c>
      <c r="CM3" s="2">
        <f>Inventory!CM1</f>
        <v>44419</v>
      </c>
      <c r="CN3" s="2">
        <f>Inventory!CN1</f>
        <v>44420</v>
      </c>
      <c r="CO3" s="2">
        <f>Inventory!CO1</f>
        <v>44421</v>
      </c>
      <c r="CP3" s="2">
        <f>Inventory!CP1</f>
        <v>44422</v>
      </c>
      <c r="CQ3" s="2">
        <f>Inventory!CQ1</f>
        <v>44423</v>
      </c>
      <c r="CR3" s="2">
        <f>Inventory!CR1</f>
        <v>44424</v>
      </c>
      <c r="CS3" s="2">
        <f>Inventory!CS1</f>
        <v>44425</v>
      </c>
      <c r="CT3" s="2">
        <f>Inventory!CT1</f>
        <v>44426</v>
      </c>
      <c r="CU3" s="2">
        <f>Inventory!CU1</f>
        <v>44427</v>
      </c>
      <c r="CV3" s="2">
        <f>Inventory!CV1</f>
        <v>44428</v>
      </c>
      <c r="CW3" s="2">
        <f>Inventory!CW1</f>
        <v>44429</v>
      </c>
      <c r="CX3" s="2">
        <f>Inventory!CX1</f>
        <v>44430</v>
      </c>
      <c r="CY3" s="2">
        <f>Inventory!CY1</f>
        <v>44431</v>
      </c>
      <c r="CZ3" s="2">
        <f>Inventory!CZ1</f>
        <v>44432</v>
      </c>
      <c r="DA3" s="2">
        <f>Inventory!DA1</f>
        <v>44433</v>
      </c>
      <c r="DB3" s="2">
        <f>Inventory!DB1</f>
        <v>44434</v>
      </c>
      <c r="DC3" s="2">
        <f>Inventory!DC1</f>
        <v>44435</v>
      </c>
      <c r="DD3" s="2">
        <f>Inventory!DD1</f>
        <v>44436</v>
      </c>
      <c r="DE3" s="2">
        <f>Inventory!DE1</f>
        <v>44437</v>
      </c>
      <c r="DF3" s="2">
        <f>Inventory!DF1</f>
        <v>44438</v>
      </c>
      <c r="DG3" s="2">
        <f>Inventory!DG1</f>
        <v>44439</v>
      </c>
      <c r="DH3" s="2">
        <f>Inventory!DH1</f>
        <v>44440</v>
      </c>
      <c r="DI3" s="2">
        <f>Inventory!DI1</f>
        <v>44441</v>
      </c>
      <c r="DJ3" s="2">
        <f>Inventory!DJ1</f>
        <v>44442</v>
      </c>
      <c r="DK3" s="2">
        <f>Inventory!DK1</f>
        <v>44443</v>
      </c>
      <c r="DL3" s="2">
        <f>Inventory!DL1</f>
        <v>44444</v>
      </c>
      <c r="DM3" s="2">
        <f>Inventory!DM1</f>
        <v>44445</v>
      </c>
      <c r="DN3" s="2">
        <f>Inventory!DN1</f>
        <v>44446</v>
      </c>
      <c r="DO3" s="2">
        <f>Inventory!DO1</f>
        <v>44447</v>
      </c>
      <c r="DP3" s="2">
        <f>Inventory!DP1</f>
        <v>44448</v>
      </c>
      <c r="DQ3" s="2">
        <f>Inventory!DQ1</f>
        <v>44449</v>
      </c>
      <c r="DR3" s="2">
        <f>Inventory!DR1</f>
        <v>44450</v>
      </c>
      <c r="DS3" s="2">
        <f>Inventory!DS1</f>
        <v>44451</v>
      </c>
      <c r="DT3" s="2">
        <f>Inventory!DT1</f>
        <v>44452</v>
      </c>
      <c r="DU3" s="2">
        <f>Inventory!DU1</f>
        <v>44453</v>
      </c>
      <c r="DV3" s="2">
        <f>Inventory!DV1</f>
        <v>44454</v>
      </c>
      <c r="DW3" s="2">
        <f>Inventory!DW1</f>
        <v>44455</v>
      </c>
      <c r="DX3" s="2">
        <f>Inventory!DX1</f>
        <v>44456</v>
      </c>
      <c r="DY3" s="2">
        <f>Inventory!DY1</f>
        <v>44457</v>
      </c>
      <c r="DZ3" s="2">
        <f>Inventory!DZ1</f>
        <v>44458</v>
      </c>
      <c r="EA3" s="2">
        <f>Inventory!EA1</f>
        <v>44459</v>
      </c>
      <c r="EB3" s="2">
        <f>Inventory!EB1</f>
        <v>44460</v>
      </c>
      <c r="EC3" s="2">
        <f>Inventory!EC1</f>
        <v>44461</v>
      </c>
      <c r="ED3" s="2">
        <f>Inventory!ED1</f>
        <v>44462</v>
      </c>
      <c r="EE3" s="2">
        <f>Inventory!EE1</f>
        <v>44463</v>
      </c>
      <c r="EF3" s="2">
        <f>Inventory!EF1</f>
        <v>44464</v>
      </c>
      <c r="EG3" s="2">
        <f>Inventory!EG1</f>
        <v>44465</v>
      </c>
      <c r="EH3" s="2">
        <f>Inventory!EH1</f>
        <v>44466</v>
      </c>
      <c r="EI3" s="2">
        <f>Inventory!EI1</f>
        <v>44467</v>
      </c>
      <c r="EJ3" s="2">
        <f>Inventory!EJ1</f>
        <v>44468</v>
      </c>
      <c r="EK3" s="2">
        <f>Inventory!EK1</f>
        <v>44469</v>
      </c>
      <c r="EL3" s="2">
        <f>Inventory!EL1</f>
        <v>44470</v>
      </c>
      <c r="EM3" s="2">
        <f>Inventory!EM1</f>
        <v>44471</v>
      </c>
      <c r="EN3" s="2">
        <f>Inventory!EN1</f>
        <v>44472</v>
      </c>
      <c r="EO3" s="2">
        <f>Inventory!EO1</f>
        <v>44473</v>
      </c>
      <c r="EP3" s="2">
        <f>Inventory!EP1</f>
        <v>44474</v>
      </c>
      <c r="EQ3" s="2">
        <f>Inventory!EQ1</f>
        <v>44475</v>
      </c>
      <c r="ER3" s="2">
        <f>Inventory!ER1</f>
        <v>44476</v>
      </c>
      <c r="ES3" s="2">
        <f>Inventory!ES1</f>
        <v>44477</v>
      </c>
      <c r="ET3" s="2">
        <f>Inventory!ET1</f>
        <v>44478</v>
      </c>
      <c r="EU3" s="2">
        <f>Inventory!EU1</f>
        <v>44479</v>
      </c>
      <c r="EV3" s="2">
        <f>Inventory!EV1</f>
        <v>44480</v>
      </c>
      <c r="EW3" s="2">
        <f>Inventory!EW1</f>
        <v>44481</v>
      </c>
      <c r="EX3" s="2">
        <f>Inventory!EX1</f>
        <v>44482</v>
      </c>
      <c r="EY3" s="2">
        <f>Inventory!EY1</f>
        <v>44483</v>
      </c>
      <c r="EZ3" s="2">
        <f>Inventory!EZ1</f>
        <v>44484</v>
      </c>
      <c r="FA3" s="2">
        <f>Inventory!FA1</f>
        <v>44485</v>
      </c>
      <c r="FB3" s="2">
        <f>Inventory!FB1</f>
        <v>44486</v>
      </c>
      <c r="FC3" s="2">
        <f>Inventory!FC1</f>
        <v>44487</v>
      </c>
      <c r="FD3" s="2">
        <f>Inventory!FD1</f>
        <v>44488</v>
      </c>
      <c r="FE3" s="2">
        <f>Inventory!FE1</f>
        <v>44489</v>
      </c>
      <c r="FF3" s="2">
        <f>Inventory!FF1</f>
        <v>44490</v>
      </c>
      <c r="FG3" s="2">
        <f>Inventory!FG1</f>
        <v>44491</v>
      </c>
      <c r="FH3" s="2">
        <f>Inventory!FH1</f>
        <v>44492</v>
      </c>
      <c r="FI3" s="2">
        <f>Inventory!FI1</f>
        <v>44493</v>
      </c>
      <c r="FJ3" s="2">
        <f>Inventory!FJ1</f>
        <v>44494</v>
      </c>
      <c r="FK3" s="2">
        <f>Inventory!FK1</f>
        <v>44495</v>
      </c>
      <c r="FL3" s="2">
        <f>Inventory!FL1</f>
        <v>44496</v>
      </c>
      <c r="FM3" s="2">
        <f>Inventory!FM1</f>
        <v>44497</v>
      </c>
      <c r="FN3" s="2">
        <f>Inventory!FN1</f>
        <v>44498</v>
      </c>
      <c r="FO3" s="2">
        <f>Inventory!FO1</f>
        <v>44499</v>
      </c>
      <c r="FP3" s="2">
        <f>Inventory!FP1</f>
        <v>44500</v>
      </c>
      <c r="FQ3" s="2">
        <f>Inventory!FQ1</f>
        <v>44501</v>
      </c>
      <c r="FR3" s="2">
        <f>Inventory!FR1</f>
        <v>44502</v>
      </c>
      <c r="FS3" s="2">
        <f>Inventory!FS1</f>
        <v>44503</v>
      </c>
      <c r="FT3" s="2">
        <f>Inventory!FT1</f>
        <v>44504</v>
      </c>
      <c r="FU3" s="2">
        <f>Inventory!FU1</f>
        <v>44505</v>
      </c>
    </row>
    <row r="4" spans="1:177" x14ac:dyDescent="0.25">
      <c r="A4" t="str" cm="1">
        <f t="array" ref="A4:FU34">_xlfn._xlws.FILTER(Inventory!$A$2:$FU$103, (Inventory!C2:C103="Pistol"))</f>
        <v>USP-S</v>
      </c>
      <c r="B4" t="str">
        <v>Flashback MW</v>
      </c>
      <c r="C4" t="str">
        <v>Pistol</v>
      </c>
      <c r="D4" t="str">
        <v>Danger Zone</v>
      </c>
      <c r="E4">
        <v>0.92</v>
      </c>
      <c r="F4">
        <v>0.85</v>
      </c>
      <c r="G4">
        <v>0.87</v>
      </c>
      <c r="H4">
        <v>0.93</v>
      </c>
      <c r="I4">
        <v>0.92</v>
      </c>
      <c r="J4">
        <v>0.93</v>
      </c>
      <c r="K4">
        <v>0.86</v>
      </c>
      <c r="L4">
        <v>0.97</v>
      </c>
      <c r="M4">
        <v>0.85</v>
      </c>
      <c r="N4">
        <v>0.94</v>
      </c>
      <c r="O4">
        <v>0.93</v>
      </c>
      <c r="P4">
        <v>0.84</v>
      </c>
      <c r="Q4">
        <v>0.86</v>
      </c>
      <c r="R4">
        <v>0.86</v>
      </c>
      <c r="S4">
        <v>0.88</v>
      </c>
      <c r="T4">
        <v>0.88</v>
      </c>
      <c r="U4">
        <v>0.87</v>
      </c>
      <c r="V4">
        <v>0.88</v>
      </c>
      <c r="W4">
        <v>0.85</v>
      </c>
      <c r="X4">
        <v>0.86</v>
      </c>
      <c r="Y4">
        <v>0.86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</row>
    <row r="5" spans="1:177" x14ac:dyDescent="0.25">
      <c r="A5" t="str">
        <v>Glock-18</v>
      </c>
      <c r="B5" t="str">
        <v>Nuclear Garden FT</v>
      </c>
      <c r="C5" t="str">
        <v>Pistol</v>
      </c>
      <c r="D5" t="str">
        <v>2018 Nuke</v>
      </c>
      <c r="E5">
        <v>4.6399999999999997</v>
      </c>
      <c r="F5">
        <v>4.57</v>
      </c>
      <c r="G5">
        <v>4.4400000000000004</v>
      </c>
      <c r="H5">
        <v>4.05</v>
      </c>
      <c r="I5">
        <v>4.3</v>
      </c>
      <c r="J5">
        <v>4.1900000000000004</v>
      </c>
      <c r="K5">
        <v>4.6500000000000004</v>
      </c>
      <c r="L5">
        <v>4.22</v>
      </c>
      <c r="M5">
        <v>4.38</v>
      </c>
      <c r="N5">
        <v>4.42</v>
      </c>
      <c r="O5">
        <v>4.26</v>
      </c>
      <c r="P5">
        <v>4.3099999999999996</v>
      </c>
      <c r="Q5">
        <v>4.22</v>
      </c>
      <c r="R5">
        <v>4.29</v>
      </c>
      <c r="S5">
        <v>4.33</v>
      </c>
      <c r="T5">
        <v>4.34</v>
      </c>
      <c r="U5">
        <v>4.29</v>
      </c>
      <c r="V5">
        <v>4.34</v>
      </c>
      <c r="W5">
        <v>4.0999999999999996</v>
      </c>
      <c r="X5">
        <v>4.22</v>
      </c>
      <c r="Y5">
        <v>4.17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</row>
    <row r="6" spans="1:177" x14ac:dyDescent="0.25">
      <c r="A6" t="str">
        <v>Five-SeveN</v>
      </c>
      <c r="B6" t="str">
        <v>Hot Shot MW</v>
      </c>
      <c r="C6" t="str">
        <v>Pistol</v>
      </c>
      <c r="D6" t="str">
        <v>Cache</v>
      </c>
      <c r="E6">
        <v>0.73</v>
      </c>
      <c r="F6">
        <v>0.73</v>
      </c>
      <c r="G6">
        <v>0.74</v>
      </c>
      <c r="H6">
        <v>0.82</v>
      </c>
      <c r="I6">
        <v>0.82</v>
      </c>
      <c r="J6">
        <v>0.82</v>
      </c>
      <c r="K6">
        <v>0.81</v>
      </c>
      <c r="L6">
        <v>0.8</v>
      </c>
      <c r="M6">
        <v>0.82</v>
      </c>
      <c r="N6">
        <v>0.81</v>
      </c>
      <c r="O6">
        <v>0.82</v>
      </c>
      <c r="P6">
        <v>0.82</v>
      </c>
      <c r="Q6">
        <v>0.82</v>
      </c>
      <c r="R6">
        <v>0.81</v>
      </c>
      <c r="S6">
        <v>0.84</v>
      </c>
      <c r="T6">
        <v>0.78</v>
      </c>
      <c r="U6">
        <v>0.85</v>
      </c>
      <c r="V6">
        <v>0.81</v>
      </c>
      <c r="W6">
        <v>0.84</v>
      </c>
      <c r="X6">
        <v>0.84</v>
      </c>
      <c r="Y6">
        <v>0.86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</row>
    <row r="7" spans="1:177" x14ac:dyDescent="0.25">
      <c r="A7" t="str">
        <v>Dual Berettas</v>
      </c>
      <c r="B7" t="str">
        <v>Emerald FN</v>
      </c>
      <c r="C7" t="str">
        <v>Pistol</v>
      </c>
      <c r="D7" t="str">
        <v>Canals</v>
      </c>
      <c r="E7">
        <v>11.4</v>
      </c>
      <c r="F7">
        <v>11.35</v>
      </c>
      <c r="G7">
        <v>11.04</v>
      </c>
      <c r="H7">
        <v>12.32</v>
      </c>
      <c r="I7">
        <v>12.32</v>
      </c>
      <c r="J7">
        <v>12.34</v>
      </c>
      <c r="K7">
        <v>14.23</v>
      </c>
      <c r="L7">
        <v>18.350000000000001</v>
      </c>
      <c r="M7">
        <v>19.45</v>
      </c>
      <c r="N7">
        <v>25.73</v>
      </c>
      <c r="O7">
        <v>30.27</v>
      </c>
      <c r="P7">
        <v>24.72</v>
      </c>
      <c r="Q7">
        <v>29.14</v>
      </c>
      <c r="R7">
        <v>26.94</v>
      </c>
      <c r="S7">
        <v>26.19</v>
      </c>
      <c r="T7">
        <v>26.24</v>
      </c>
      <c r="U7">
        <v>26.29</v>
      </c>
      <c r="V7">
        <v>36.42</v>
      </c>
      <c r="W7">
        <v>38.909999999999997</v>
      </c>
      <c r="X7">
        <v>42.79</v>
      </c>
      <c r="Y7">
        <v>40.04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</row>
    <row r="8" spans="1:177" x14ac:dyDescent="0.25">
      <c r="A8" t="str">
        <v>Desert Eagle</v>
      </c>
      <c r="B8" t="str">
        <v>Midnight Storm MW</v>
      </c>
      <c r="C8" t="str">
        <v>Pistol</v>
      </c>
      <c r="D8" t="str">
        <v>Rising Sun</v>
      </c>
      <c r="E8">
        <v>9.14</v>
      </c>
      <c r="F8">
        <v>9.0399999999999991</v>
      </c>
      <c r="G8">
        <v>8.65</v>
      </c>
      <c r="H8">
        <v>9.56</v>
      </c>
      <c r="I8">
        <v>9.01</v>
      </c>
      <c r="J8">
        <v>10.08</v>
      </c>
      <c r="K8">
        <v>9.1</v>
      </c>
      <c r="L8">
        <v>9.6</v>
      </c>
      <c r="M8">
        <v>9.58</v>
      </c>
      <c r="N8">
        <v>9.48</v>
      </c>
      <c r="O8">
        <v>11.35</v>
      </c>
      <c r="P8">
        <v>12.34</v>
      </c>
      <c r="Q8">
        <v>12.21</v>
      </c>
      <c r="R8">
        <v>11.98</v>
      </c>
      <c r="S8">
        <v>12.07</v>
      </c>
      <c r="T8">
        <v>11.78</v>
      </c>
      <c r="U8">
        <v>12.2</v>
      </c>
      <c r="V8">
        <v>12.1</v>
      </c>
      <c r="W8">
        <v>13.7</v>
      </c>
      <c r="X8">
        <v>13.34</v>
      </c>
      <c r="Y8">
        <v>13.35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</row>
    <row r="9" spans="1:177" x14ac:dyDescent="0.25">
      <c r="A9" t="str">
        <v>R8 Revolver</v>
      </c>
      <c r="B9" t="str">
        <v>Canal Spray FT</v>
      </c>
      <c r="C9" t="str">
        <v>Pistol</v>
      </c>
      <c r="D9" t="str">
        <v>Canals</v>
      </c>
      <c r="E9">
        <v>0.41</v>
      </c>
      <c r="F9">
        <v>0.43</v>
      </c>
      <c r="G9">
        <v>0.41</v>
      </c>
      <c r="H9">
        <v>0.41</v>
      </c>
      <c r="I9">
        <v>0.46</v>
      </c>
      <c r="J9">
        <v>0.49</v>
      </c>
      <c r="K9">
        <v>0.53</v>
      </c>
      <c r="L9">
        <v>0.54</v>
      </c>
      <c r="M9">
        <v>0.6</v>
      </c>
      <c r="N9">
        <v>0.6</v>
      </c>
      <c r="O9">
        <v>0.81</v>
      </c>
      <c r="P9">
        <v>0.78</v>
      </c>
      <c r="Q9">
        <v>0.71</v>
      </c>
      <c r="R9">
        <v>0.65</v>
      </c>
      <c r="S9">
        <v>0.61</v>
      </c>
      <c r="T9">
        <v>0.56999999999999995</v>
      </c>
      <c r="U9">
        <v>0.55000000000000004</v>
      </c>
      <c r="V9">
        <v>0.62</v>
      </c>
      <c r="W9">
        <v>0.64</v>
      </c>
      <c r="X9">
        <v>0.73</v>
      </c>
      <c r="Y9">
        <v>0.87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</row>
    <row r="10" spans="1:177" x14ac:dyDescent="0.25">
      <c r="A10" t="str">
        <v>Five-SeveN</v>
      </c>
      <c r="B10" t="str">
        <v>StatTrak Buddy MW</v>
      </c>
      <c r="C10" t="str">
        <v>Pistol</v>
      </c>
      <c r="D10" t="str">
        <v>CS20</v>
      </c>
      <c r="E10">
        <v>2.2599999999999998</v>
      </c>
      <c r="F10">
        <v>2.1</v>
      </c>
      <c r="G10">
        <v>2.2000000000000002</v>
      </c>
      <c r="H10">
        <v>2.25</v>
      </c>
      <c r="I10">
        <v>2.11</v>
      </c>
      <c r="J10">
        <v>2.21</v>
      </c>
      <c r="K10">
        <v>2.16</v>
      </c>
      <c r="L10">
        <v>2.2200000000000002</v>
      </c>
      <c r="M10">
        <v>2.27</v>
      </c>
      <c r="N10">
        <v>2.31</v>
      </c>
      <c r="O10">
        <v>2.2200000000000002</v>
      </c>
      <c r="P10">
        <v>2.2400000000000002</v>
      </c>
      <c r="Q10">
        <v>2.14</v>
      </c>
      <c r="R10">
        <v>2.1</v>
      </c>
      <c r="S10">
        <v>1.97</v>
      </c>
      <c r="T10">
        <v>2.09</v>
      </c>
      <c r="U10">
        <v>2.09</v>
      </c>
      <c r="V10">
        <v>2.23</v>
      </c>
      <c r="W10">
        <v>2.19</v>
      </c>
      <c r="X10">
        <v>2.14</v>
      </c>
      <c r="Y10">
        <v>2.2200000000000002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</row>
    <row r="11" spans="1:177" x14ac:dyDescent="0.25">
      <c r="A11" t="str">
        <v>Glock-18</v>
      </c>
      <c r="B11" t="str">
        <v>StatTrak Weasel FT</v>
      </c>
      <c r="C11" t="str">
        <v>Pistol</v>
      </c>
      <c r="D11" t="str">
        <v>Gamma 2</v>
      </c>
      <c r="E11">
        <v>1.86</v>
      </c>
      <c r="F11">
        <v>1.84</v>
      </c>
      <c r="G11">
        <v>1.65</v>
      </c>
      <c r="H11">
        <v>1.79</v>
      </c>
      <c r="I11">
        <v>1.79</v>
      </c>
      <c r="J11">
        <v>1.8</v>
      </c>
      <c r="K11">
        <v>1.72</v>
      </c>
      <c r="L11">
        <v>1.75</v>
      </c>
      <c r="M11">
        <v>1.64</v>
      </c>
      <c r="N11">
        <v>1.75</v>
      </c>
      <c r="O11">
        <v>1.67</v>
      </c>
      <c r="P11">
        <v>1.65</v>
      </c>
      <c r="Q11">
        <v>1.64</v>
      </c>
      <c r="R11">
        <v>1.55</v>
      </c>
      <c r="S11">
        <v>1.63</v>
      </c>
      <c r="T11">
        <v>1.64</v>
      </c>
      <c r="U11">
        <v>1.54</v>
      </c>
      <c r="V11">
        <v>1.62</v>
      </c>
      <c r="W11">
        <v>1.63</v>
      </c>
      <c r="X11">
        <v>1.47</v>
      </c>
      <c r="Y11">
        <v>1.61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</row>
    <row r="12" spans="1:177" x14ac:dyDescent="0.25">
      <c r="A12" t="str">
        <v>Desert Eagle</v>
      </c>
      <c r="B12" t="str">
        <v>Code Red MW</v>
      </c>
      <c r="C12" t="str">
        <v>Pistol</v>
      </c>
      <c r="D12" t="str">
        <v>Horizon</v>
      </c>
      <c r="E12">
        <v>42.81</v>
      </c>
      <c r="F12">
        <v>40.6</v>
      </c>
      <c r="G12">
        <v>40.6</v>
      </c>
      <c r="H12">
        <v>43.52</v>
      </c>
      <c r="I12">
        <v>41.78</v>
      </c>
      <c r="J12">
        <v>40.51</v>
      </c>
      <c r="K12">
        <v>42.18</v>
      </c>
      <c r="L12">
        <v>43.36</v>
      </c>
      <c r="M12">
        <v>43.28</v>
      </c>
      <c r="N12">
        <v>42.82</v>
      </c>
      <c r="O12">
        <v>40.64</v>
      </c>
      <c r="P12">
        <v>41.72</v>
      </c>
      <c r="Q12">
        <v>39.479999999999997</v>
      </c>
      <c r="R12">
        <v>40.479999999999997</v>
      </c>
      <c r="S12">
        <v>40.97</v>
      </c>
      <c r="T12">
        <v>39.799999999999997</v>
      </c>
      <c r="U12">
        <v>43.95</v>
      </c>
      <c r="V12">
        <v>44.02</v>
      </c>
      <c r="W12">
        <v>40.28</v>
      </c>
      <c r="X12">
        <v>42</v>
      </c>
      <c r="Y12">
        <v>43.82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</row>
    <row r="13" spans="1:177" x14ac:dyDescent="0.25">
      <c r="A13" t="str">
        <v>Desert Eagle</v>
      </c>
      <c r="B13" t="str">
        <v>Hypnotic FN</v>
      </c>
      <c r="C13" t="str">
        <v>Pistol</v>
      </c>
      <c r="D13" t="str">
        <v>Arms Deal</v>
      </c>
      <c r="E13">
        <v>87.76</v>
      </c>
      <c r="F13">
        <v>84.47</v>
      </c>
      <c r="G13">
        <v>88.51</v>
      </c>
      <c r="H13">
        <v>88.5</v>
      </c>
      <c r="I13">
        <v>88.5</v>
      </c>
      <c r="J13">
        <v>88.29</v>
      </c>
      <c r="K13">
        <v>91.5</v>
      </c>
      <c r="L13">
        <v>91.5</v>
      </c>
      <c r="M13">
        <v>90.9</v>
      </c>
      <c r="N13">
        <v>91.34</v>
      </c>
      <c r="O13">
        <v>85.86</v>
      </c>
      <c r="P13">
        <v>91.67</v>
      </c>
      <c r="Q13">
        <v>87.76</v>
      </c>
      <c r="R13">
        <v>91.7</v>
      </c>
      <c r="S13">
        <v>90.34</v>
      </c>
      <c r="T13">
        <v>94.85</v>
      </c>
      <c r="U13">
        <v>98.14</v>
      </c>
      <c r="V13">
        <v>95.29</v>
      </c>
      <c r="W13">
        <v>95.73</v>
      </c>
      <c r="X13">
        <v>117.46</v>
      </c>
      <c r="Y13">
        <v>117.46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</row>
    <row r="14" spans="1:177" x14ac:dyDescent="0.25">
      <c r="A14" t="str">
        <v>Desert Eagle</v>
      </c>
      <c r="B14" t="str">
        <v>Light Rail FN</v>
      </c>
      <c r="C14" t="str">
        <v>Pistol</v>
      </c>
      <c r="D14" t="str">
        <v>Prisma</v>
      </c>
      <c r="E14">
        <v>3.87</v>
      </c>
      <c r="F14">
        <v>3.61</v>
      </c>
      <c r="G14">
        <v>3.62</v>
      </c>
      <c r="H14">
        <v>3.61</v>
      </c>
      <c r="I14">
        <v>3.63</v>
      </c>
      <c r="J14">
        <v>3.45</v>
      </c>
      <c r="K14">
        <v>3.74</v>
      </c>
      <c r="L14">
        <v>3.52</v>
      </c>
      <c r="M14">
        <v>3.49</v>
      </c>
      <c r="N14">
        <v>3.53</v>
      </c>
      <c r="O14">
        <v>3.64</v>
      </c>
      <c r="P14">
        <v>3.59</v>
      </c>
      <c r="Q14">
        <v>3.47</v>
      </c>
      <c r="R14">
        <v>3.56</v>
      </c>
      <c r="S14">
        <v>3.65</v>
      </c>
      <c r="T14">
        <v>3.82</v>
      </c>
      <c r="U14">
        <v>3.62</v>
      </c>
      <c r="V14">
        <v>3.6</v>
      </c>
      <c r="W14">
        <v>3.61</v>
      </c>
      <c r="X14">
        <v>3.54</v>
      </c>
      <c r="Y14">
        <v>3.73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</row>
    <row r="15" spans="1:177" x14ac:dyDescent="0.25">
      <c r="A15" t="str">
        <v>Five-SeveN</v>
      </c>
      <c r="B15" t="str">
        <v>Hyper Beast MW</v>
      </c>
      <c r="C15" t="str">
        <v>Pistol</v>
      </c>
      <c r="D15" t="str">
        <v>Hydra</v>
      </c>
      <c r="E15">
        <v>28.06</v>
      </c>
      <c r="F15">
        <v>29.75</v>
      </c>
      <c r="G15">
        <v>27.86</v>
      </c>
      <c r="H15">
        <v>30.97</v>
      </c>
      <c r="I15">
        <v>30.52</v>
      </c>
      <c r="J15">
        <v>30.5</v>
      </c>
      <c r="K15">
        <v>30.94</v>
      </c>
      <c r="L15">
        <v>27.91</v>
      </c>
      <c r="M15">
        <v>30.48</v>
      </c>
      <c r="N15">
        <v>29.22</v>
      </c>
      <c r="O15">
        <v>29.8</v>
      </c>
      <c r="P15">
        <v>30.17</v>
      </c>
      <c r="Q15">
        <v>30.2</v>
      </c>
      <c r="R15">
        <v>29.95</v>
      </c>
      <c r="S15">
        <v>26.76</v>
      </c>
      <c r="T15">
        <v>30.71</v>
      </c>
      <c r="U15">
        <v>29.38</v>
      </c>
      <c r="V15">
        <v>29.53</v>
      </c>
      <c r="W15">
        <v>29.01</v>
      </c>
      <c r="X15">
        <v>28.8</v>
      </c>
      <c r="Y15">
        <v>29.36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</row>
    <row r="16" spans="1:177" x14ac:dyDescent="0.25">
      <c r="A16" t="str">
        <v>Five-SeveN</v>
      </c>
      <c r="B16" t="str">
        <v>Angry Mob MW</v>
      </c>
      <c r="C16" t="str">
        <v>Pistol</v>
      </c>
      <c r="D16" t="str">
        <v>Prisma</v>
      </c>
      <c r="E16">
        <v>5.71</v>
      </c>
      <c r="F16">
        <v>5.43</v>
      </c>
      <c r="G16">
        <v>5.45</v>
      </c>
      <c r="H16">
        <v>5.13</v>
      </c>
      <c r="I16">
        <v>5.22</v>
      </c>
      <c r="J16">
        <v>5.48</v>
      </c>
      <c r="K16">
        <v>5.37</v>
      </c>
      <c r="L16">
        <v>5.14</v>
      </c>
      <c r="M16">
        <v>5.09</v>
      </c>
      <c r="N16">
        <v>5.0199999999999996</v>
      </c>
      <c r="O16">
        <v>5.34</v>
      </c>
      <c r="P16">
        <v>5.22</v>
      </c>
      <c r="Q16">
        <v>5.2</v>
      </c>
      <c r="R16">
        <v>5.12</v>
      </c>
      <c r="S16">
        <v>5.36</v>
      </c>
      <c r="T16">
        <v>5.36</v>
      </c>
      <c r="U16">
        <v>5.25</v>
      </c>
      <c r="V16">
        <v>5.24</v>
      </c>
      <c r="W16">
        <v>5.17</v>
      </c>
      <c r="X16">
        <v>5.0199999999999996</v>
      </c>
      <c r="Y16">
        <v>5.34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</row>
    <row r="17" spans="1:177" x14ac:dyDescent="0.25">
      <c r="A17" t="str">
        <v>P250</v>
      </c>
      <c r="B17" t="str">
        <v>See Ya Later MW</v>
      </c>
      <c r="C17" t="str">
        <v>Pistol</v>
      </c>
      <c r="D17" t="str">
        <v>Spectrum 2</v>
      </c>
      <c r="E17">
        <v>6.58</v>
      </c>
      <c r="F17">
        <v>6.29</v>
      </c>
      <c r="G17">
        <v>5.78</v>
      </c>
      <c r="H17">
        <v>6.4</v>
      </c>
      <c r="I17">
        <v>5.82</v>
      </c>
      <c r="J17">
        <v>6.3</v>
      </c>
      <c r="K17">
        <v>6.49</v>
      </c>
      <c r="L17">
        <v>6.12</v>
      </c>
      <c r="M17">
        <v>6.3</v>
      </c>
      <c r="N17">
        <v>5.63</v>
      </c>
      <c r="O17">
        <v>6.03</v>
      </c>
      <c r="P17">
        <v>5.79</v>
      </c>
      <c r="Q17">
        <v>5.86</v>
      </c>
      <c r="R17">
        <v>5.79</v>
      </c>
      <c r="S17">
        <v>5.99</v>
      </c>
      <c r="T17">
        <v>6.33</v>
      </c>
      <c r="U17">
        <v>6.14</v>
      </c>
      <c r="V17">
        <v>5.9</v>
      </c>
      <c r="W17">
        <v>6.32</v>
      </c>
      <c r="X17">
        <v>5.54</v>
      </c>
      <c r="Y17">
        <v>5.98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</row>
    <row r="18" spans="1:177" x14ac:dyDescent="0.25">
      <c r="A18" t="str">
        <v>Glock-18</v>
      </c>
      <c r="B18" t="str">
        <v>Wasteland Rebel MW</v>
      </c>
      <c r="C18" t="str">
        <v>Pistol</v>
      </c>
      <c r="D18" t="str">
        <v>Gamma</v>
      </c>
      <c r="E18">
        <v>6.46</v>
      </c>
      <c r="F18">
        <v>6.58</v>
      </c>
      <c r="G18">
        <v>6.48</v>
      </c>
      <c r="H18">
        <v>6.32</v>
      </c>
      <c r="I18">
        <v>6.23</v>
      </c>
      <c r="J18">
        <v>6.23</v>
      </c>
      <c r="K18">
        <v>5.76</v>
      </c>
      <c r="L18">
        <v>6.23</v>
      </c>
      <c r="M18">
        <v>6.01</v>
      </c>
      <c r="N18">
        <v>5.99</v>
      </c>
      <c r="O18">
        <v>6.03</v>
      </c>
      <c r="P18">
        <v>5.56</v>
      </c>
      <c r="Q18">
        <v>5.61</v>
      </c>
      <c r="R18">
        <v>5.63</v>
      </c>
      <c r="S18">
        <v>5.84</v>
      </c>
      <c r="T18">
        <v>5.91</v>
      </c>
      <c r="U18">
        <v>5.9</v>
      </c>
      <c r="V18">
        <v>5.86</v>
      </c>
      <c r="W18">
        <v>5.78</v>
      </c>
      <c r="X18">
        <v>5.86</v>
      </c>
      <c r="Y18">
        <v>5.88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</row>
    <row r="19" spans="1:177" x14ac:dyDescent="0.25">
      <c r="A19" t="str">
        <v>Desert Eagle</v>
      </c>
      <c r="B19" t="str">
        <v>StatTrak Conspiracy MW</v>
      </c>
      <c r="C19" t="str">
        <v>Pistol</v>
      </c>
      <c r="D19" t="str">
        <v>Breakout</v>
      </c>
      <c r="E19">
        <v>17.53</v>
      </c>
      <c r="F19">
        <v>16.38</v>
      </c>
      <c r="G19">
        <v>17.649999999999999</v>
      </c>
      <c r="H19">
        <v>17.399999999999999</v>
      </c>
      <c r="I19">
        <v>17.13</v>
      </c>
      <c r="J19">
        <v>16.739999999999998</v>
      </c>
      <c r="K19">
        <v>15.07</v>
      </c>
      <c r="L19">
        <v>14.85</v>
      </c>
      <c r="M19">
        <v>16.37</v>
      </c>
      <c r="N19">
        <v>17.66</v>
      </c>
      <c r="O19">
        <v>16.45</v>
      </c>
      <c r="P19">
        <v>17.079999999999998</v>
      </c>
      <c r="Q19">
        <v>16.27</v>
      </c>
      <c r="R19">
        <v>16.46</v>
      </c>
      <c r="S19">
        <v>16.46</v>
      </c>
      <c r="T19">
        <v>17.079999999999998</v>
      </c>
      <c r="U19">
        <v>16.57</v>
      </c>
      <c r="V19">
        <v>15.41</v>
      </c>
      <c r="W19">
        <v>14.93</v>
      </c>
      <c r="X19">
        <v>16.899999999999999</v>
      </c>
      <c r="Y19">
        <v>16.48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</row>
    <row r="20" spans="1:177" x14ac:dyDescent="0.25">
      <c r="A20" t="str">
        <v>Glock-18</v>
      </c>
      <c r="B20" t="str">
        <v>Candy Apple MW</v>
      </c>
      <c r="C20" t="str">
        <v>Pistol</v>
      </c>
      <c r="D20" t="str">
        <v>Italy</v>
      </c>
      <c r="E20">
        <v>1.29</v>
      </c>
      <c r="F20">
        <v>1.19</v>
      </c>
      <c r="G20">
        <v>1.1000000000000001</v>
      </c>
      <c r="H20">
        <v>1.1100000000000001</v>
      </c>
      <c r="I20">
        <v>1.08</v>
      </c>
      <c r="J20">
        <v>1.1000000000000001</v>
      </c>
      <c r="K20">
        <v>1.08</v>
      </c>
      <c r="L20">
        <v>1.05</v>
      </c>
      <c r="M20">
        <v>1.1000000000000001</v>
      </c>
      <c r="N20">
        <v>1.1200000000000001</v>
      </c>
      <c r="O20">
        <v>1.19</v>
      </c>
      <c r="P20">
        <v>1.28</v>
      </c>
      <c r="Q20">
        <v>1.26</v>
      </c>
      <c r="R20">
        <v>1.23</v>
      </c>
      <c r="S20">
        <v>1.1599999999999999</v>
      </c>
      <c r="T20">
        <v>1.17</v>
      </c>
      <c r="U20">
        <v>1.19</v>
      </c>
      <c r="V20">
        <v>1.1100000000000001</v>
      </c>
      <c r="W20">
        <v>0.97</v>
      </c>
      <c r="X20">
        <v>1.04</v>
      </c>
      <c r="Y20">
        <v>1.04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</row>
    <row r="21" spans="1:177" x14ac:dyDescent="0.25">
      <c r="A21" t="str">
        <v>USP-S</v>
      </c>
      <c r="B21" t="str">
        <v>Cyrex WW</v>
      </c>
      <c r="C21" t="str">
        <v>Pistol</v>
      </c>
      <c r="D21" t="str">
        <v>Glove</v>
      </c>
      <c r="E21">
        <v>2.42</v>
      </c>
      <c r="F21">
        <v>2.35</v>
      </c>
      <c r="G21">
        <v>2.31</v>
      </c>
      <c r="H21">
        <v>2.4300000000000002</v>
      </c>
      <c r="I21">
        <v>2.42</v>
      </c>
      <c r="J21">
        <v>2.33</v>
      </c>
      <c r="K21">
        <v>2.37</v>
      </c>
      <c r="L21">
        <v>2.39</v>
      </c>
      <c r="M21">
        <v>2.2599999999999998</v>
      </c>
      <c r="N21">
        <v>2.3199999999999998</v>
      </c>
      <c r="O21">
        <v>2.35</v>
      </c>
      <c r="P21">
        <v>2.38</v>
      </c>
      <c r="Q21">
        <v>2.36</v>
      </c>
      <c r="R21">
        <v>2.41</v>
      </c>
      <c r="S21">
        <v>2.37</v>
      </c>
      <c r="T21">
        <v>2.4900000000000002</v>
      </c>
      <c r="U21">
        <v>2.5</v>
      </c>
      <c r="V21">
        <v>2.39</v>
      </c>
      <c r="W21">
        <v>2.34</v>
      </c>
      <c r="X21">
        <v>2.34</v>
      </c>
      <c r="Y21">
        <v>2.38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</row>
    <row r="22" spans="1:177" x14ac:dyDescent="0.25">
      <c r="A22" t="str">
        <v>Five-SeveN</v>
      </c>
      <c r="B22" t="str">
        <v>StatTrak Monkey Business FT</v>
      </c>
      <c r="C22" t="str">
        <v>Pistol</v>
      </c>
      <c r="D22" t="str">
        <v>Chroma 2</v>
      </c>
      <c r="E22">
        <v>4.9000000000000004</v>
      </c>
      <c r="F22">
        <v>4.72</v>
      </c>
      <c r="G22">
        <v>4.97</v>
      </c>
      <c r="H22">
        <v>4.68</v>
      </c>
      <c r="I22">
        <v>4.68</v>
      </c>
      <c r="J22">
        <v>4.83</v>
      </c>
      <c r="K22">
        <v>4.7699999999999996</v>
      </c>
      <c r="L22">
        <v>4.92</v>
      </c>
      <c r="M22">
        <v>4.55</v>
      </c>
      <c r="N22">
        <v>4.4800000000000004</v>
      </c>
      <c r="O22">
        <v>4.9000000000000004</v>
      </c>
      <c r="P22">
        <v>4.76</v>
      </c>
      <c r="Q22">
        <v>4.92</v>
      </c>
      <c r="R22">
        <v>4.67</v>
      </c>
      <c r="S22">
        <v>4.7300000000000004</v>
      </c>
      <c r="T22">
        <v>4.76</v>
      </c>
      <c r="U22">
        <v>4.6900000000000004</v>
      </c>
      <c r="V22">
        <v>4.21</v>
      </c>
      <c r="W22">
        <v>4.8</v>
      </c>
      <c r="X22">
        <v>4.51</v>
      </c>
      <c r="Y22">
        <v>4.3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</row>
    <row r="23" spans="1:177" x14ac:dyDescent="0.25">
      <c r="A23" t="str">
        <v>CZ75-Auto</v>
      </c>
      <c r="B23" t="str">
        <v>StatTrak Eco MW</v>
      </c>
      <c r="C23" t="str">
        <v>Pistol</v>
      </c>
      <c r="D23" t="str">
        <v>Horizon</v>
      </c>
      <c r="E23">
        <v>2.57</v>
      </c>
      <c r="F23">
        <v>2.5</v>
      </c>
      <c r="G23">
        <v>2.68</v>
      </c>
      <c r="H23">
        <v>2.4300000000000002</v>
      </c>
      <c r="I23">
        <v>2.61</v>
      </c>
      <c r="J23">
        <v>2.62</v>
      </c>
      <c r="K23">
        <v>2.66</v>
      </c>
      <c r="L23">
        <v>2.67</v>
      </c>
      <c r="M23">
        <v>2.58</v>
      </c>
      <c r="N23">
        <v>2.81</v>
      </c>
      <c r="O23">
        <v>2.78</v>
      </c>
      <c r="P23">
        <v>2.82</v>
      </c>
      <c r="Q23">
        <v>2.93</v>
      </c>
      <c r="R23">
        <v>2.42</v>
      </c>
      <c r="S23">
        <v>2.65</v>
      </c>
      <c r="T23">
        <v>2.7</v>
      </c>
      <c r="U23">
        <v>2.5299999999999998</v>
      </c>
      <c r="V23">
        <v>2.44</v>
      </c>
      <c r="W23">
        <v>2.5299999999999998</v>
      </c>
      <c r="X23">
        <v>2.39</v>
      </c>
      <c r="Y23">
        <v>2.69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</row>
    <row r="24" spans="1:177" x14ac:dyDescent="0.25">
      <c r="A24" t="str">
        <v>USP-S</v>
      </c>
      <c r="B24" t="str">
        <v>StatTrak Cyrex FN</v>
      </c>
      <c r="C24" t="str">
        <v>Pistol</v>
      </c>
      <c r="D24" t="str">
        <v>Glove</v>
      </c>
      <c r="E24">
        <v>12.25</v>
      </c>
      <c r="F24">
        <v>13.38</v>
      </c>
      <c r="G24">
        <v>12.8</v>
      </c>
      <c r="H24">
        <v>13.84</v>
      </c>
      <c r="I24">
        <v>13.63</v>
      </c>
      <c r="J24">
        <v>13.45</v>
      </c>
      <c r="K24">
        <v>12.42</v>
      </c>
      <c r="L24">
        <v>13.28</v>
      </c>
      <c r="M24">
        <v>13.28</v>
      </c>
      <c r="N24">
        <v>13.01</v>
      </c>
      <c r="O24">
        <v>12.76</v>
      </c>
      <c r="P24">
        <v>11.82</v>
      </c>
      <c r="Q24">
        <v>13.23</v>
      </c>
      <c r="R24">
        <v>13.37</v>
      </c>
      <c r="S24">
        <v>12.95</v>
      </c>
      <c r="T24">
        <v>13.49</v>
      </c>
      <c r="U24">
        <v>13.24</v>
      </c>
      <c r="V24">
        <v>12.62</v>
      </c>
      <c r="W24">
        <v>13.16</v>
      </c>
      <c r="X24">
        <v>12.6</v>
      </c>
      <c r="Y24">
        <v>12.78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</row>
    <row r="25" spans="1:177" x14ac:dyDescent="0.25">
      <c r="A25" t="str">
        <v>Dual Berettas</v>
      </c>
      <c r="B25" t="str">
        <v>Urban Shock MW</v>
      </c>
      <c r="C25" t="str">
        <v>Pistol</v>
      </c>
      <c r="D25" t="str">
        <v>Chroma</v>
      </c>
      <c r="E25">
        <v>1.39</v>
      </c>
      <c r="F25">
        <v>1.46</v>
      </c>
      <c r="G25">
        <v>1.35</v>
      </c>
      <c r="H25">
        <v>1.38</v>
      </c>
      <c r="I25">
        <v>1.39</v>
      </c>
      <c r="J25">
        <v>1.35</v>
      </c>
      <c r="K25">
        <v>1.43</v>
      </c>
      <c r="L25">
        <v>1.42</v>
      </c>
      <c r="M25">
        <v>1.35</v>
      </c>
      <c r="N25">
        <v>1.45</v>
      </c>
      <c r="O25">
        <v>1.43</v>
      </c>
      <c r="P25">
        <v>1.32</v>
      </c>
      <c r="Q25">
        <v>1.38</v>
      </c>
      <c r="R25">
        <v>1.44</v>
      </c>
      <c r="S25">
        <v>1.33</v>
      </c>
      <c r="T25">
        <v>1.46</v>
      </c>
      <c r="U25">
        <v>1.42</v>
      </c>
      <c r="V25">
        <v>1.44</v>
      </c>
      <c r="W25">
        <v>1.45</v>
      </c>
      <c r="X25">
        <v>1.44</v>
      </c>
      <c r="Y25">
        <v>1.46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</row>
    <row r="26" spans="1:177" x14ac:dyDescent="0.25">
      <c r="A26" t="str">
        <v>Glock-18</v>
      </c>
      <c r="B26" t="str">
        <v>StatTrak Water Elemental FT</v>
      </c>
      <c r="C26" t="str">
        <v>Pistol</v>
      </c>
      <c r="D26" t="str">
        <v>Breakout</v>
      </c>
      <c r="E26">
        <v>12.57</v>
      </c>
      <c r="F26">
        <v>10.7</v>
      </c>
      <c r="G26">
        <v>12.88</v>
      </c>
      <c r="H26">
        <v>12.64</v>
      </c>
      <c r="I26">
        <v>12.69</v>
      </c>
      <c r="J26">
        <v>13.17</v>
      </c>
      <c r="K26">
        <v>13.28</v>
      </c>
      <c r="L26">
        <v>13.14</v>
      </c>
      <c r="M26">
        <v>12.09</v>
      </c>
      <c r="N26">
        <v>13.02</v>
      </c>
      <c r="O26">
        <v>12.56</v>
      </c>
      <c r="P26">
        <v>12.68</v>
      </c>
      <c r="Q26">
        <v>12.15</v>
      </c>
      <c r="R26">
        <v>12.04</v>
      </c>
      <c r="S26">
        <v>11.22</v>
      </c>
      <c r="T26">
        <v>12.26</v>
      </c>
      <c r="U26">
        <v>11.7</v>
      </c>
      <c r="V26">
        <v>11.22</v>
      </c>
      <c r="W26">
        <v>12.11</v>
      </c>
      <c r="X26">
        <v>11.36</v>
      </c>
      <c r="Y26">
        <v>12.62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</row>
    <row r="27" spans="1:177" x14ac:dyDescent="0.25">
      <c r="A27" t="str">
        <v>R8 Revolver</v>
      </c>
      <c r="B27" t="str">
        <v>Reboot FT</v>
      </c>
      <c r="C27" t="str">
        <v>Pistol</v>
      </c>
      <c r="D27" t="str">
        <v>Gamma</v>
      </c>
      <c r="E27">
        <v>0.64</v>
      </c>
      <c r="F27">
        <v>0.62</v>
      </c>
      <c r="G27">
        <v>0.65</v>
      </c>
      <c r="H27">
        <v>0.61</v>
      </c>
      <c r="I27">
        <v>0.62</v>
      </c>
      <c r="J27">
        <v>0.66</v>
      </c>
      <c r="K27">
        <v>0.71</v>
      </c>
      <c r="L27">
        <v>0.69</v>
      </c>
      <c r="M27">
        <v>0.7</v>
      </c>
      <c r="N27">
        <v>0.66</v>
      </c>
      <c r="O27">
        <v>0.62</v>
      </c>
      <c r="P27">
        <v>0.65</v>
      </c>
      <c r="Q27">
        <v>0.63</v>
      </c>
      <c r="R27">
        <v>0.63</v>
      </c>
      <c r="S27">
        <v>0.6</v>
      </c>
      <c r="T27">
        <v>0.6</v>
      </c>
      <c r="U27">
        <v>0.55000000000000004</v>
      </c>
      <c r="V27">
        <v>0.6</v>
      </c>
      <c r="W27">
        <v>0.6</v>
      </c>
      <c r="X27">
        <v>0.6</v>
      </c>
      <c r="Y27">
        <v>0.61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</row>
    <row r="28" spans="1:177" x14ac:dyDescent="0.25">
      <c r="A28" t="str">
        <v>CZ75-Auto</v>
      </c>
      <c r="B28" t="str">
        <v>StatTrak Red Astor MW</v>
      </c>
      <c r="C28" t="str">
        <v>Pistol</v>
      </c>
      <c r="D28" t="str">
        <v>Chroma 3</v>
      </c>
      <c r="E28">
        <v>1.89</v>
      </c>
      <c r="F28">
        <v>1.96</v>
      </c>
      <c r="G28">
        <v>2.02</v>
      </c>
      <c r="H28">
        <v>1.95</v>
      </c>
      <c r="I28">
        <v>1.84</v>
      </c>
      <c r="J28">
        <v>1.97</v>
      </c>
      <c r="K28">
        <v>1.89</v>
      </c>
      <c r="L28">
        <v>1.87</v>
      </c>
      <c r="M28">
        <v>1.74</v>
      </c>
      <c r="N28">
        <v>1.88</v>
      </c>
      <c r="O28">
        <v>1.87</v>
      </c>
      <c r="P28">
        <v>1.79</v>
      </c>
      <c r="Q28">
        <v>1.76</v>
      </c>
      <c r="R28">
        <v>1.76</v>
      </c>
      <c r="S28">
        <v>1.76</v>
      </c>
      <c r="T28">
        <v>1.72</v>
      </c>
      <c r="U28">
        <v>1.74</v>
      </c>
      <c r="V28">
        <v>1.58</v>
      </c>
      <c r="W28">
        <v>1.73</v>
      </c>
      <c r="X28">
        <v>1.75</v>
      </c>
      <c r="Y28">
        <v>1.62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</row>
    <row r="29" spans="1:177" x14ac:dyDescent="0.25">
      <c r="A29" t="str">
        <v>P2000</v>
      </c>
      <c r="B29" t="str">
        <v>StatTrak Imperial Dragon FT</v>
      </c>
      <c r="C29" t="str">
        <v>Pistol</v>
      </c>
      <c r="D29" t="str">
        <v>Gamma</v>
      </c>
      <c r="E29">
        <v>4.22</v>
      </c>
      <c r="F29">
        <v>3.94</v>
      </c>
      <c r="G29">
        <v>3.84</v>
      </c>
      <c r="H29">
        <v>4.1500000000000004</v>
      </c>
      <c r="I29">
        <v>4.0599999999999996</v>
      </c>
      <c r="J29">
        <v>4.2</v>
      </c>
      <c r="K29">
        <v>4.1399999999999997</v>
      </c>
      <c r="L29">
        <v>4.1900000000000004</v>
      </c>
      <c r="M29">
        <v>4.07</v>
      </c>
      <c r="N29">
        <v>4.0599999999999996</v>
      </c>
      <c r="O29">
        <v>3.93</v>
      </c>
      <c r="P29">
        <v>3.99</v>
      </c>
      <c r="Q29">
        <v>4.16</v>
      </c>
      <c r="R29">
        <v>3.68</v>
      </c>
      <c r="S29">
        <v>4.07</v>
      </c>
      <c r="T29">
        <v>4.1100000000000003</v>
      </c>
      <c r="U29">
        <v>4.08</v>
      </c>
      <c r="V29">
        <v>4.0599999999999996</v>
      </c>
      <c r="W29">
        <v>3.81</v>
      </c>
      <c r="X29">
        <v>3.9</v>
      </c>
      <c r="Y29">
        <v>4.0599999999999996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</row>
    <row r="30" spans="1:177" x14ac:dyDescent="0.25">
      <c r="A30" t="str">
        <v>Desert Eagle</v>
      </c>
      <c r="B30" t="str">
        <v>Kumicho Dragon MW</v>
      </c>
      <c r="C30" t="str">
        <v>Pistol</v>
      </c>
      <c r="D30" t="str">
        <v>Wildfire</v>
      </c>
      <c r="E30">
        <v>16.010000000000002</v>
      </c>
      <c r="F30">
        <v>16.03</v>
      </c>
      <c r="G30">
        <v>16.510000000000002</v>
      </c>
      <c r="H30">
        <v>16.36</v>
      </c>
      <c r="I30">
        <v>15.72</v>
      </c>
      <c r="J30">
        <v>15.47</v>
      </c>
      <c r="K30">
        <v>15.88</v>
      </c>
      <c r="L30">
        <v>16.75</v>
      </c>
      <c r="M30">
        <v>16.04</v>
      </c>
      <c r="N30">
        <v>16.07</v>
      </c>
      <c r="O30">
        <v>14.58</v>
      </c>
      <c r="P30">
        <v>15.18</v>
      </c>
      <c r="Q30">
        <v>15.49</v>
      </c>
      <c r="R30">
        <v>14.85</v>
      </c>
      <c r="S30">
        <v>15.68</v>
      </c>
      <c r="T30">
        <v>15.71</v>
      </c>
      <c r="U30">
        <v>15.94</v>
      </c>
      <c r="V30">
        <v>15.37</v>
      </c>
      <c r="W30">
        <v>15.2</v>
      </c>
      <c r="X30">
        <v>15.91</v>
      </c>
      <c r="Y30">
        <v>15.75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</row>
    <row r="31" spans="1:177" x14ac:dyDescent="0.25">
      <c r="A31" t="str">
        <v>Tec-9</v>
      </c>
      <c r="B31" t="str">
        <v>StatTrak Avalanche FT</v>
      </c>
      <c r="C31" t="str">
        <v>Pistol</v>
      </c>
      <c r="D31" t="str">
        <v>Revolver</v>
      </c>
      <c r="E31">
        <v>2.67</v>
      </c>
      <c r="F31">
        <v>2.73</v>
      </c>
      <c r="G31">
        <v>2.62</v>
      </c>
      <c r="H31">
        <v>2.64</v>
      </c>
      <c r="I31">
        <v>2.54</v>
      </c>
      <c r="J31">
        <v>2.58</v>
      </c>
      <c r="K31">
        <v>2.7</v>
      </c>
      <c r="L31">
        <v>2.69</v>
      </c>
      <c r="M31">
        <v>2.58</v>
      </c>
      <c r="N31">
        <v>2.4900000000000002</v>
      </c>
      <c r="O31">
        <v>2.37</v>
      </c>
      <c r="P31">
        <v>2.38</v>
      </c>
      <c r="Q31">
        <v>2.46</v>
      </c>
      <c r="R31">
        <v>2.36</v>
      </c>
      <c r="S31">
        <v>2.39</v>
      </c>
      <c r="T31">
        <v>2.31</v>
      </c>
      <c r="U31">
        <v>2.31</v>
      </c>
      <c r="V31">
        <v>2.33</v>
      </c>
      <c r="W31">
        <v>2.4300000000000002</v>
      </c>
      <c r="X31">
        <v>2.4900000000000002</v>
      </c>
      <c r="Y31">
        <v>2.42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</row>
    <row r="32" spans="1:177" x14ac:dyDescent="0.25">
      <c r="A32" t="str">
        <v>P250</v>
      </c>
      <c r="B32" t="str">
        <v>StatTrak Wingshot MW</v>
      </c>
      <c r="C32" t="str">
        <v>Pistol</v>
      </c>
      <c r="D32" t="str">
        <v>Shadow</v>
      </c>
      <c r="E32">
        <v>5.4</v>
      </c>
      <c r="F32">
        <v>5.52</v>
      </c>
      <c r="G32">
        <v>5.41</v>
      </c>
      <c r="H32">
        <v>5.54</v>
      </c>
      <c r="I32">
        <v>5.48</v>
      </c>
      <c r="J32">
        <v>5.47</v>
      </c>
      <c r="K32">
        <v>4.96</v>
      </c>
      <c r="L32">
        <v>4.8</v>
      </c>
      <c r="M32">
        <v>5.32</v>
      </c>
      <c r="N32">
        <v>5.24</v>
      </c>
      <c r="O32">
        <v>5.22</v>
      </c>
      <c r="P32">
        <v>5.29</v>
      </c>
      <c r="Q32">
        <v>5.25</v>
      </c>
      <c r="R32">
        <v>4.92</v>
      </c>
      <c r="S32">
        <v>5.42</v>
      </c>
      <c r="T32">
        <v>5.47</v>
      </c>
      <c r="U32">
        <v>5.4</v>
      </c>
      <c r="V32">
        <v>5.45</v>
      </c>
      <c r="W32">
        <v>5.29</v>
      </c>
      <c r="X32">
        <v>4.9800000000000004</v>
      </c>
      <c r="Y32">
        <v>5.61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</row>
    <row r="33" spans="1:177" x14ac:dyDescent="0.25">
      <c r="A33" t="str">
        <v>Dual Berettas</v>
      </c>
      <c r="B33" t="str">
        <v>StatTrak Dualing Dragons MW</v>
      </c>
      <c r="C33" t="str">
        <v>Pistol</v>
      </c>
      <c r="D33" t="str">
        <v>Shadow</v>
      </c>
      <c r="E33">
        <v>1.38</v>
      </c>
      <c r="F33">
        <v>1.3</v>
      </c>
      <c r="G33">
        <v>1.39</v>
      </c>
      <c r="H33">
        <v>1.44</v>
      </c>
      <c r="I33">
        <v>1.38</v>
      </c>
      <c r="J33">
        <v>1.38</v>
      </c>
      <c r="K33">
        <v>1.4</v>
      </c>
      <c r="L33">
        <v>1.4</v>
      </c>
      <c r="M33">
        <v>1.42</v>
      </c>
      <c r="N33">
        <v>1.4</v>
      </c>
      <c r="O33">
        <v>1.4</v>
      </c>
      <c r="P33">
        <v>1.38</v>
      </c>
      <c r="Q33">
        <v>1.35</v>
      </c>
      <c r="R33">
        <v>1.34</v>
      </c>
      <c r="S33">
        <v>1.34</v>
      </c>
      <c r="T33">
        <v>1.32</v>
      </c>
      <c r="U33">
        <v>1.38</v>
      </c>
      <c r="V33">
        <v>1.29</v>
      </c>
      <c r="W33">
        <v>1.27</v>
      </c>
      <c r="X33">
        <v>1.35</v>
      </c>
      <c r="Y33">
        <v>1.2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</row>
    <row r="34" spans="1:177" x14ac:dyDescent="0.25">
      <c r="A34" t="str">
        <v>USP-S</v>
      </c>
      <c r="B34" t="str">
        <v>Kill Confirmed BS</v>
      </c>
      <c r="C34" t="str">
        <v>Pistol</v>
      </c>
      <c r="D34" t="str">
        <v>Shadow</v>
      </c>
      <c r="E34">
        <v>46.88</v>
      </c>
      <c r="F34">
        <v>48.26</v>
      </c>
      <c r="G34">
        <v>46.04</v>
      </c>
      <c r="H34">
        <v>44.75</v>
      </c>
      <c r="I34">
        <v>44.89</v>
      </c>
      <c r="J34">
        <v>46.63</v>
      </c>
      <c r="K34">
        <v>46.07</v>
      </c>
      <c r="L34">
        <v>41.4</v>
      </c>
      <c r="M34">
        <v>44.41</v>
      </c>
      <c r="N34">
        <v>43.55</v>
      </c>
      <c r="O34">
        <v>43.89</v>
      </c>
      <c r="P34">
        <v>43.72</v>
      </c>
      <c r="Q34">
        <v>42.45</v>
      </c>
      <c r="R34">
        <v>41.71</v>
      </c>
      <c r="S34">
        <v>40.94</v>
      </c>
      <c r="T34">
        <v>42.79</v>
      </c>
      <c r="U34">
        <v>43.88</v>
      </c>
      <c r="V34">
        <v>44.86</v>
      </c>
      <c r="W34">
        <v>44.24</v>
      </c>
      <c r="X34">
        <v>43.33</v>
      </c>
      <c r="Y34">
        <v>42.71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</row>
    <row r="37" spans="1:177" x14ac:dyDescent="0.25">
      <c r="D37" s="1" t="s">
        <v>186</v>
      </c>
      <c r="E37">
        <f>SUM(E4:E34)</f>
        <v>346.62</v>
      </c>
      <c r="F37">
        <f t="shared" ref="F37:BQ37" si="0">SUM(F4:F34)</f>
        <v>340.68</v>
      </c>
      <c r="G37">
        <f t="shared" si="0"/>
        <v>342.52</v>
      </c>
      <c r="H37">
        <f t="shared" si="0"/>
        <v>349.93</v>
      </c>
      <c r="I37">
        <f t="shared" si="0"/>
        <v>345.59000000000003</v>
      </c>
      <c r="J37">
        <f t="shared" si="0"/>
        <v>347.57000000000011</v>
      </c>
      <c r="K37">
        <f t="shared" si="0"/>
        <v>350.86999999999989</v>
      </c>
      <c r="L37">
        <f t="shared" si="0"/>
        <v>349.7399999999999</v>
      </c>
      <c r="M37">
        <f t="shared" si="0"/>
        <v>355</v>
      </c>
      <c r="N37">
        <f t="shared" si="0"/>
        <v>360.80999999999995</v>
      </c>
      <c r="O37">
        <f t="shared" si="0"/>
        <v>357.96999999999997</v>
      </c>
      <c r="P37">
        <f t="shared" si="0"/>
        <v>359.94000000000005</v>
      </c>
      <c r="Q37">
        <f t="shared" si="0"/>
        <v>357.37</v>
      </c>
      <c r="R37">
        <f t="shared" si="0"/>
        <v>356.70000000000005</v>
      </c>
      <c r="S37">
        <f t="shared" si="0"/>
        <v>352.50000000000006</v>
      </c>
      <c r="T37">
        <f t="shared" si="0"/>
        <v>364.54000000000008</v>
      </c>
      <c r="U37">
        <f t="shared" si="0"/>
        <v>370.17999999999995</v>
      </c>
      <c r="V37">
        <f t="shared" si="0"/>
        <v>374.84000000000003</v>
      </c>
      <c r="W37">
        <f t="shared" si="0"/>
        <v>375.62000000000006</v>
      </c>
      <c r="X37">
        <f t="shared" si="0"/>
        <v>401.5</v>
      </c>
      <c r="Y37">
        <f t="shared" si="0"/>
        <v>403.28</v>
      </c>
      <c r="Z37">
        <f t="shared" si="0"/>
        <v>0</v>
      </c>
      <c r="AA37">
        <f t="shared" si="0"/>
        <v>0</v>
      </c>
      <c r="AB37">
        <f t="shared" si="0"/>
        <v>0</v>
      </c>
      <c r="AC37">
        <f t="shared" si="0"/>
        <v>0</v>
      </c>
      <c r="AD37">
        <f t="shared" si="0"/>
        <v>0</v>
      </c>
      <c r="AE37">
        <f t="shared" si="0"/>
        <v>0</v>
      </c>
      <c r="AF37">
        <f t="shared" si="0"/>
        <v>0</v>
      </c>
      <c r="AG37">
        <f t="shared" si="0"/>
        <v>0</v>
      </c>
      <c r="AH37">
        <f t="shared" si="0"/>
        <v>0</v>
      </c>
      <c r="AI37">
        <f t="shared" si="0"/>
        <v>0</v>
      </c>
      <c r="AJ37">
        <f t="shared" si="0"/>
        <v>0</v>
      </c>
      <c r="AK37">
        <f t="shared" si="0"/>
        <v>0</v>
      </c>
      <c r="AL37">
        <f t="shared" si="0"/>
        <v>0</v>
      </c>
      <c r="AM37">
        <f t="shared" si="0"/>
        <v>0</v>
      </c>
      <c r="AN37">
        <f t="shared" si="0"/>
        <v>0</v>
      </c>
      <c r="AO37">
        <f t="shared" si="0"/>
        <v>0</v>
      </c>
      <c r="AP37">
        <f t="shared" si="0"/>
        <v>0</v>
      </c>
      <c r="AQ37">
        <f t="shared" si="0"/>
        <v>0</v>
      </c>
      <c r="AR37">
        <f t="shared" si="0"/>
        <v>0</v>
      </c>
      <c r="AS37">
        <f t="shared" si="0"/>
        <v>0</v>
      </c>
      <c r="AT37">
        <f t="shared" si="0"/>
        <v>0</v>
      </c>
      <c r="AU37">
        <f t="shared" si="0"/>
        <v>0</v>
      </c>
      <c r="AV37">
        <f t="shared" si="0"/>
        <v>0</v>
      </c>
      <c r="AW37">
        <f t="shared" si="0"/>
        <v>0</v>
      </c>
      <c r="AX37">
        <f t="shared" si="0"/>
        <v>0</v>
      </c>
      <c r="AY37">
        <f t="shared" si="0"/>
        <v>0</v>
      </c>
      <c r="AZ37">
        <f t="shared" si="0"/>
        <v>0</v>
      </c>
      <c r="BA37">
        <f t="shared" si="0"/>
        <v>0</v>
      </c>
      <c r="BB37">
        <f t="shared" si="0"/>
        <v>0</v>
      </c>
      <c r="BC37">
        <f t="shared" si="0"/>
        <v>0</v>
      </c>
      <c r="BD37">
        <f t="shared" si="0"/>
        <v>0</v>
      </c>
      <c r="BE37">
        <f t="shared" si="0"/>
        <v>0</v>
      </c>
      <c r="BF37">
        <f t="shared" si="0"/>
        <v>0</v>
      </c>
      <c r="BG37">
        <f t="shared" si="0"/>
        <v>0</v>
      </c>
      <c r="BH37">
        <f t="shared" si="0"/>
        <v>0</v>
      </c>
      <c r="BI37">
        <f t="shared" si="0"/>
        <v>0</v>
      </c>
      <c r="BJ37">
        <f t="shared" si="0"/>
        <v>0</v>
      </c>
      <c r="BK37">
        <f t="shared" si="0"/>
        <v>0</v>
      </c>
      <c r="BL37">
        <f t="shared" si="0"/>
        <v>0</v>
      </c>
      <c r="BM37">
        <f t="shared" si="0"/>
        <v>0</v>
      </c>
      <c r="BN37">
        <f t="shared" si="0"/>
        <v>0</v>
      </c>
      <c r="BO37">
        <f t="shared" si="0"/>
        <v>0</v>
      </c>
      <c r="BP37">
        <f t="shared" si="0"/>
        <v>0</v>
      </c>
      <c r="BQ37">
        <f t="shared" si="0"/>
        <v>0</v>
      </c>
      <c r="BR37">
        <f t="shared" ref="BR37:EC37" si="1">SUM(BR4:BR34)</f>
        <v>0</v>
      </c>
      <c r="BS37">
        <f t="shared" si="1"/>
        <v>0</v>
      </c>
      <c r="BT37">
        <f t="shared" si="1"/>
        <v>0</v>
      </c>
      <c r="BU37">
        <f t="shared" si="1"/>
        <v>0</v>
      </c>
      <c r="BV37">
        <f t="shared" si="1"/>
        <v>0</v>
      </c>
      <c r="BW37">
        <f t="shared" si="1"/>
        <v>0</v>
      </c>
      <c r="BX37">
        <f t="shared" si="1"/>
        <v>0</v>
      </c>
      <c r="BY37">
        <f t="shared" si="1"/>
        <v>0</v>
      </c>
      <c r="BZ37">
        <f t="shared" si="1"/>
        <v>0</v>
      </c>
      <c r="CA37">
        <f t="shared" si="1"/>
        <v>0</v>
      </c>
      <c r="CB37">
        <f t="shared" si="1"/>
        <v>0</v>
      </c>
      <c r="CC37">
        <f t="shared" si="1"/>
        <v>0</v>
      </c>
      <c r="CD37">
        <f t="shared" si="1"/>
        <v>0</v>
      </c>
      <c r="CE37">
        <f t="shared" si="1"/>
        <v>0</v>
      </c>
      <c r="CF37">
        <f t="shared" si="1"/>
        <v>0</v>
      </c>
      <c r="CG37">
        <f t="shared" si="1"/>
        <v>0</v>
      </c>
      <c r="CH37">
        <f t="shared" si="1"/>
        <v>0</v>
      </c>
      <c r="CI37">
        <f t="shared" si="1"/>
        <v>0</v>
      </c>
      <c r="CJ37">
        <f t="shared" si="1"/>
        <v>0</v>
      </c>
      <c r="CK37">
        <f t="shared" si="1"/>
        <v>0</v>
      </c>
      <c r="CL37">
        <f t="shared" si="1"/>
        <v>0</v>
      </c>
      <c r="CM37">
        <f t="shared" si="1"/>
        <v>0</v>
      </c>
      <c r="CN37">
        <f t="shared" si="1"/>
        <v>0</v>
      </c>
      <c r="CO37">
        <f t="shared" si="1"/>
        <v>0</v>
      </c>
      <c r="CP37">
        <f t="shared" si="1"/>
        <v>0</v>
      </c>
      <c r="CQ37">
        <f t="shared" si="1"/>
        <v>0</v>
      </c>
      <c r="CR37">
        <f t="shared" si="1"/>
        <v>0</v>
      </c>
      <c r="CS37">
        <f t="shared" si="1"/>
        <v>0</v>
      </c>
      <c r="CT37">
        <f t="shared" si="1"/>
        <v>0</v>
      </c>
      <c r="CU37">
        <f t="shared" si="1"/>
        <v>0</v>
      </c>
      <c r="CV37">
        <f t="shared" si="1"/>
        <v>0</v>
      </c>
      <c r="CW37">
        <f t="shared" si="1"/>
        <v>0</v>
      </c>
      <c r="CX37">
        <f t="shared" si="1"/>
        <v>0</v>
      </c>
      <c r="CY37">
        <f t="shared" si="1"/>
        <v>0</v>
      </c>
      <c r="CZ37">
        <f t="shared" si="1"/>
        <v>0</v>
      </c>
      <c r="DA37">
        <f t="shared" si="1"/>
        <v>0</v>
      </c>
      <c r="DB37">
        <f t="shared" si="1"/>
        <v>0</v>
      </c>
      <c r="DC37">
        <f t="shared" si="1"/>
        <v>0</v>
      </c>
      <c r="DD37">
        <f t="shared" si="1"/>
        <v>0</v>
      </c>
      <c r="DE37">
        <f t="shared" si="1"/>
        <v>0</v>
      </c>
      <c r="DF37">
        <f t="shared" si="1"/>
        <v>0</v>
      </c>
      <c r="DG37">
        <f t="shared" si="1"/>
        <v>0</v>
      </c>
      <c r="DH37">
        <f t="shared" si="1"/>
        <v>0</v>
      </c>
      <c r="DI37">
        <f t="shared" si="1"/>
        <v>0</v>
      </c>
      <c r="DJ37">
        <f t="shared" si="1"/>
        <v>0</v>
      </c>
      <c r="DK37">
        <f t="shared" si="1"/>
        <v>0</v>
      </c>
      <c r="DL37">
        <f t="shared" si="1"/>
        <v>0</v>
      </c>
      <c r="DM37">
        <f t="shared" si="1"/>
        <v>0</v>
      </c>
      <c r="DN37">
        <f t="shared" si="1"/>
        <v>0</v>
      </c>
      <c r="DO37">
        <f t="shared" si="1"/>
        <v>0</v>
      </c>
      <c r="DP37">
        <f t="shared" si="1"/>
        <v>0</v>
      </c>
      <c r="DQ37">
        <f t="shared" si="1"/>
        <v>0</v>
      </c>
      <c r="DR37">
        <f t="shared" si="1"/>
        <v>0</v>
      </c>
      <c r="DS37">
        <f t="shared" si="1"/>
        <v>0</v>
      </c>
      <c r="DT37">
        <f t="shared" si="1"/>
        <v>0</v>
      </c>
      <c r="DU37">
        <f t="shared" si="1"/>
        <v>0</v>
      </c>
      <c r="DV37">
        <f t="shared" si="1"/>
        <v>0</v>
      </c>
      <c r="DW37">
        <f t="shared" si="1"/>
        <v>0</v>
      </c>
      <c r="DX37">
        <f t="shared" si="1"/>
        <v>0</v>
      </c>
      <c r="DY37">
        <f t="shared" si="1"/>
        <v>0</v>
      </c>
      <c r="DZ37">
        <f t="shared" si="1"/>
        <v>0</v>
      </c>
      <c r="EA37">
        <f t="shared" si="1"/>
        <v>0</v>
      </c>
      <c r="EB37">
        <f t="shared" si="1"/>
        <v>0</v>
      </c>
      <c r="EC37">
        <f t="shared" si="1"/>
        <v>0</v>
      </c>
      <c r="ED37">
        <f t="shared" ref="ED37:FU37" si="2">SUM(ED4:ED34)</f>
        <v>0</v>
      </c>
      <c r="EE37">
        <f t="shared" si="2"/>
        <v>0</v>
      </c>
      <c r="EF37">
        <f t="shared" si="2"/>
        <v>0</v>
      </c>
      <c r="EG37">
        <f t="shared" si="2"/>
        <v>0</v>
      </c>
      <c r="EH37">
        <f t="shared" si="2"/>
        <v>0</v>
      </c>
      <c r="EI37">
        <f t="shared" si="2"/>
        <v>0</v>
      </c>
      <c r="EJ37">
        <f t="shared" si="2"/>
        <v>0</v>
      </c>
      <c r="EK37">
        <f t="shared" si="2"/>
        <v>0</v>
      </c>
      <c r="EL37">
        <f t="shared" si="2"/>
        <v>0</v>
      </c>
      <c r="EM37">
        <f t="shared" si="2"/>
        <v>0</v>
      </c>
      <c r="EN37">
        <f t="shared" si="2"/>
        <v>0</v>
      </c>
      <c r="EO37">
        <f t="shared" si="2"/>
        <v>0</v>
      </c>
      <c r="EP37">
        <f t="shared" si="2"/>
        <v>0</v>
      </c>
      <c r="EQ37">
        <f t="shared" si="2"/>
        <v>0</v>
      </c>
      <c r="ER37">
        <f t="shared" si="2"/>
        <v>0</v>
      </c>
      <c r="ES37">
        <f t="shared" si="2"/>
        <v>0</v>
      </c>
      <c r="ET37">
        <f t="shared" si="2"/>
        <v>0</v>
      </c>
      <c r="EU37">
        <f t="shared" si="2"/>
        <v>0</v>
      </c>
      <c r="EV37">
        <f t="shared" si="2"/>
        <v>0</v>
      </c>
      <c r="EW37">
        <f t="shared" si="2"/>
        <v>0</v>
      </c>
      <c r="EX37">
        <f t="shared" si="2"/>
        <v>0</v>
      </c>
      <c r="EY37">
        <f t="shared" si="2"/>
        <v>0</v>
      </c>
      <c r="EZ37">
        <f t="shared" si="2"/>
        <v>0</v>
      </c>
      <c r="FA37">
        <f t="shared" si="2"/>
        <v>0</v>
      </c>
      <c r="FB37">
        <f t="shared" si="2"/>
        <v>0</v>
      </c>
      <c r="FC37">
        <f t="shared" si="2"/>
        <v>0</v>
      </c>
      <c r="FD37">
        <f t="shared" si="2"/>
        <v>0</v>
      </c>
      <c r="FE37">
        <f t="shared" si="2"/>
        <v>0</v>
      </c>
      <c r="FF37">
        <f t="shared" si="2"/>
        <v>0</v>
      </c>
      <c r="FG37">
        <f t="shared" si="2"/>
        <v>0</v>
      </c>
      <c r="FH37">
        <f t="shared" si="2"/>
        <v>0</v>
      </c>
      <c r="FI37">
        <f t="shared" si="2"/>
        <v>0</v>
      </c>
      <c r="FJ37">
        <f t="shared" si="2"/>
        <v>0</v>
      </c>
      <c r="FK37">
        <f t="shared" si="2"/>
        <v>0</v>
      </c>
      <c r="FL37">
        <f t="shared" si="2"/>
        <v>0</v>
      </c>
      <c r="FM37">
        <f t="shared" si="2"/>
        <v>0</v>
      </c>
      <c r="FN37">
        <f t="shared" si="2"/>
        <v>0</v>
      </c>
      <c r="FO37">
        <f t="shared" si="2"/>
        <v>0</v>
      </c>
      <c r="FP37">
        <f t="shared" si="2"/>
        <v>0</v>
      </c>
      <c r="FQ37">
        <f t="shared" si="2"/>
        <v>0</v>
      </c>
      <c r="FR37">
        <f t="shared" si="2"/>
        <v>0</v>
      </c>
      <c r="FS37">
        <f t="shared" si="2"/>
        <v>0</v>
      </c>
      <c r="FT37">
        <f t="shared" si="2"/>
        <v>0</v>
      </c>
      <c r="FU37">
        <f t="shared" si="2"/>
        <v>0</v>
      </c>
    </row>
    <row r="43" spans="1:177" x14ac:dyDescent="0.25">
      <c r="A43" s="1" t="s">
        <v>0</v>
      </c>
      <c r="B43" s="1" t="s">
        <v>1</v>
      </c>
      <c r="C43" s="1" t="s">
        <v>2</v>
      </c>
      <c r="D43" s="1" t="s">
        <v>8</v>
      </c>
      <c r="E43" s="2">
        <f>E3</f>
        <v>44331</v>
      </c>
      <c r="F43" s="2">
        <f t="shared" ref="F43:BQ43" si="3">F3</f>
        <v>44332</v>
      </c>
      <c r="G43" s="2">
        <f t="shared" si="3"/>
        <v>44334</v>
      </c>
      <c r="H43" s="2">
        <f t="shared" si="3"/>
        <v>44336</v>
      </c>
      <c r="I43" s="2">
        <f t="shared" si="3"/>
        <v>44337</v>
      </c>
      <c r="J43" s="2">
        <f t="shared" si="3"/>
        <v>44338</v>
      </c>
      <c r="K43" s="2">
        <f t="shared" si="3"/>
        <v>44339</v>
      </c>
      <c r="L43" s="2">
        <f t="shared" si="3"/>
        <v>44340</v>
      </c>
      <c r="M43" s="2">
        <f t="shared" si="3"/>
        <v>44341</v>
      </c>
      <c r="N43" s="2">
        <f t="shared" si="3"/>
        <v>44342</v>
      </c>
      <c r="O43" s="2">
        <f t="shared" si="3"/>
        <v>44343</v>
      </c>
      <c r="P43" s="2">
        <f t="shared" si="3"/>
        <v>44344</v>
      </c>
      <c r="Q43" s="2">
        <f t="shared" si="3"/>
        <v>44345</v>
      </c>
      <c r="R43" s="2">
        <f t="shared" si="3"/>
        <v>44346</v>
      </c>
      <c r="S43" s="2">
        <f t="shared" si="3"/>
        <v>44347</v>
      </c>
      <c r="T43" s="2">
        <f t="shared" si="3"/>
        <v>44348</v>
      </c>
      <c r="U43" s="2">
        <f t="shared" si="3"/>
        <v>44349</v>
      </c>
      <c r="V43" s="2">
        <f t="shared" si="3"/>
        <v>44350</v>
      </c>
      <c r="W43" s="2">
        <f t="shared" si="3"/>
        <v>44351</v>
      </c>
      <c r="X43" s="2">
        <f t="shared" si="3"/>
        <v>44352</v>
      </c>
      <c r="Y43" s="2">
        <f t="shared" si="3"/>
        <v>44353</v>
      </c>
      <c r="Z43" s="2">
        <f t="shared" si="3"/>
        <v>44354</v>
      </c>
      <c r="AA43" s="2">
        <f t="shared" si="3"/>
        <v>44355</v>
      </c>
      <c r="AB43" s="2">
        <f t="shared" si="3"/>
        <v>44356</v>
      </c>
      <c r="AC43" s="2">
        <f t="shared" si="3"/>
        <v>44357</v>
      </c>
      <c r="AD43" s="2">
        <f t="shared" si="3"/>
        <v>44358</v>
      </c>
      <c r="AE43" s="2">
        <f t="shared" si="3"/>
        <v>44359</v>
      </c>
      <c r="AF43" s="2">
        <f t="shared" si="3"/>
        <v>44360</v>
      </c>
      <c r="AG43" s="2">
        <f t="shared" si="3"/>
        <v>44361</v>
      </c>
      <c r="AH43" s="2">
        <f t="shared" si="3"/>
        <v>44362</v>
      </c>
      <c r="AI43" s="2">
        <f t="shared" si="3"/>
        <v>44363</v>
      </c>
      <c r="AJ43" s="2">
        <f t="shared" si="3"/>
        <v>44364</v>
      </c>
      <c r="AK43" s="2">
        <f t="shared" si="3"/>
        <v>44365</v>
      </c>
      <c r="AL43" s="2">
        <f t="shared" si="3"/>
        <v>44366</v>
      </c>
      <c r="AM43" s="2">
        <f t="shared" si="3"/>
        <v>44367</v>
      </c>
      <c r="AN43" s="2">
        <f t="shared" si="3"/>
        <v>44368</v>
      </c>
      <c r="AO43" s="2">
        <f t="shared" si="3"/>
        <v>44369</v>
      </c>
      <c r="AP43" s="2">
        <f t="shared" si="3"/>
        <v>44370</v>
      </c>
      <c r="AQ43" s="2">
        <f t="shared" si="3"/>
        <v>44371</v>
      </c>
      <c r="AR43" s="2">
        <f t="shared" si="3"/>
        <v>44372</v>
      </c>
      <c r="AS43" s="2">
        <f t="shared" si="3"/>
        <v>44373</v>
      </c>
      <c r="AT43" s="2">
        <f t="shared" si="3"/>
        <v>44374</v>
      </c>
      <c r="AU43" s="2">
        <f t="shared" si="3"/>
        <v>44375</v>
      </c>
      <c r="AV43" s="2">
        <f t="shared" si="3"/>
        <v>44376</v>
      </c>
      <c r="AW43" s="2">
        <f t="shared" si="3"/>
        <v>44377</v>
      </c>
      <c r="AX43" s="2">
        <f t="shared" si="3"/>
        <v>44378</v>
      </c>
      <c r="AY43" s="2">
        <f t="shared" si="3"/>
        <v>44379</v>
      </c>
      <c r="AZ43" s="2">
        <f t="shared" si="3"/>
        <v>44380</v>
      </c>
      <c r="BA43" s="2">
        <f t="shared" si="3"/>
        <v>44381</v>
      </c>
      <c r="BB43" s="2">
        <f t="shared" si="3"/>
        <v>44382</v>
      </c>
      <c r="BC43" s="2">
        <f t="shared" si="3"/>
        <v>44383</v>
      </c>
      <c r="BD43" s="2">
        <f t="shared" si="3"/>
        <v>44384</v>
      </c>
      <c r="BE43" s="2">
        <f t="shared" si="3"/>
        <v>44385</v>
      </c>
      <c r="BF43" s="2">
        <f t="shared" si="3"/>
        <v>44386</v>
      </c>
      <c r="BG43" s="2">
        <f t="shared" si="3"/>
        <v>44387</v>
      </c>
      <c r="BH43" s="2">
        <f t="shared" si="3"/>
        <v>44388</v>
      </c>
      <c r="BI43" s="2">
        <f t="shared" si="3"/>
        <v>44389</v>
      </c>
      <c r="BJ43" s="2">
        <f t="shared" si="3"/>
        <v>44390</v>
      </c>
      <c r="BK43" s="2">
        <f t="shared" si="3"/>
        <v>44391</v>
      </c>
      <c r="BL43" s="2">
        <f t="shared" si="3"/>
        <v>44392</v>
      </c>
      <c r="BM43" s="2">
        <f t="shared" si="3"/>
        <v>44393</v>
      </c>
      <c r="BN43" s="2">
        <f t="shared" si="3"/>
        <v>44394</v>
      </c>
      <c r="BO43" s="2">
        <f t="shared" si="3"/>
        <v>44395</v>
      </c>
      <c r="BP43" s="2">
        <f t="shared" si="3"/>
        <v>44396</v>
      </c>
      <c r="BQ43" s="2">
        <f t="shared" si="3"/>
        <v>44397</v>
      </c>
      <c r="BR43" s="2">
        <f t="shared" ref="BR43:EC43" si="4">BR3</f>
        <v>44398</v>
      </c>
      <c r="BS43" s="2">
        <f t="shared" si="4"/>
        <v>44399</v>
      </c>
      <c r="BT43" s="2">
        <f t="shared" si="4"/>
        <v>44400</v>
      </c>
      <c r="BU43" s="2">
        <f t="shared" si="4"/>
        <v>44401</v>
      </c>
      <c r="BV43" s="2">
        <f t="shared" si="4"/>
        <v>44402</v>
      </c>
      <c r="BW43" s="2">
        <f t="shared" si="4"/>
        <v>44403</v>
      </c>
      <c r="BX43" s="2">
        <f t="shared" si="4"/>
        <v>44404</v>
      </c>
      <c r="BY43" s="2">
        <f t="shared" si="4"/>
        <v>44405</v>
      </c>
      <c r="BZ43" s="2">
        <f t="shared" si="4"/>
        <v>44406</v>
      </c>
      <c r="CA43" s="2">
        <f t="shared" si="4"/>
        <v>44407</v>
      </c>
      <c r="CB43" s="2">
        <f t="shared" si="4"/>
        <v>44408</v>
      </c>
      <c r="CC43" s="2">
        <f t="shared" si="4"/>
        <v>44409</v>
      </c>
      <c r="CD43" s="2">
        <f t="shared" si="4"/>
        <v>44410</v>
      </c>
      <c r="CE43" s="2">
        <f t="shared" si="4"/>
        <v>44411</v>
      </c>
      <c r="CF43" s="2">
        <f t="shared" si="4"/>
        <v>44412</v>
      </c>
      <c r="CG43" s="2">
        <f t="shared" si="4"/>
        <v>44413</v>
      </c>
      <c r="CH43" s="2">
        <f t="shared" si="4"/>
        <v>44414</v>
      </c>
      <c r="CI43" s="2">
        <f t="shared" si="4"/>
        <v>44415</v>
      </c>
      <c r="CJ43" s="2">
        <f t="shared" si="4"/>
        <v>44416</v>
      </c>
      <c r="CK43" s="2">
        <f t="shared" si="4"/>
        <v>44417</v>
      </c>
      <c r="CL43" s="2">
        <f t="shared" si="4"/>
        <v>44418</v>
      </c>
      <c r="CM43" s="2">
        <f t="shared" si="4"/>
        <v>44419</v>
      </c>
      <c r="CN43" s="2">
        <f t="shared" si="4"/>
        <v>44420</v>
      </c>
      <c r="CO43" s="2">
        <f t="shared" si="4"/>
        <v>44421</v>
      </c>
      <c r="CP43" s="2">
        <f t="shared" si="4"/>
        <v>44422</v>
      </c>
      <c r="CQ43" s="2">
        <f t="shared" si="4"/>
        <v>44423</v>
      </c>
      <c r="CR43" s="2">
        <f t="shared" si="4"/>
        <v>44424</v>
      </c>
      <c r="CS43" s="2">
        <f t="shared" si="4"/>
        <v>44425</v>
      </c>
      <c r="CT43" s="2">
        <f t="shared" si="4"/>
        <v>44426</v>
      </c>
      <c r="CU43" s="2">
        <f t="shared" si="4"/>
        <v>44427</v>
      </c>
      <c r="CV43" s="2">
        <f t="shared" si="4"/>
        <v>44428</v>
      </c>
      <c r="CW43" s="2">
        <f t="shared" si="4"/>
        <v>44429</v>
      </c>
      <c r="CX43" s="2">
        <f t="shared" si="4"/>
        <v>44430</v>
      </c>
      <c r="CY43" s="2">
        <f t="shared" si="4"/>
        <v>44431</v>
      </c>
      <c r="CZ43" s="2">
        <f t="shared" si="4"/>
        <v>44432</v>
      </c>
      <c r="DA43" s="2">
        <f t="shared" si="4"/>
        <v>44433</v>
      </c>
      <c r="DB43" s="2">
        <f t="shared" si="4"/>
        <v>44434</v>
      </c>
      <c r="DC43" s="2">
        <f t="shared" si="4"/>
        <v>44435</v>
      </c>
      <c r="DD43" s="2">
        <f t="shared" si="4"/>
        <v>44436</v>
      </c>
      <c r="DE43" s="2">
        <f t="shared" si="4"/>
        <v>44437</v>
      </c>
      <c r="DF43" s="2">
        <f t="shared" si="4"/>
        <v>44438</v>
      </c>
      <c r="DG43" s="2">
        <f t="shared" si="4"/>
        <v>44439</v>
      </c>
      <c r="DH43" s="2">
        <f t="shared" si="4"/>
        <v>44440</v>
      </c>
      <c r="DI43" s="2">
        <f t="shared" si="4"/>
        <v>44441</v>
      </c>
      <c r="DJ43" s="2">
        <f t="shared" si="4"/>
        <v>44442</v>
      </c>
      <c r="DK43" s="2">
        <f t="shared" si="4"/>
        <v>44443</v>
      </c>
      <c r="DL43" s="2">
        <f t="shared" si="4"/>
        <v>44444</v>
      </c>
      <c r="DM43" s="2">
        <f t="shared" si="4"/>
        <v>44445</v>
      </c>
      <c r="DN43" s="2">
        <f t="shared" si="4"/>
        <v>44446</v>
      </c>
      <c r="DO43" s="2">
        <f t="shared" si="4"/>
        <v>44447</v>
      </c>
      <c r="DP43" s="2">
        <f t="shared" si="4"/>
        <v>44448</v>
      </c>
      <c r="DQ43" s="2">
        <f t="shared" si="4"/>
        <v>44449</v>
      </c>
      <c r="DR43" s="2">
        <f t="shared" si="4"/>
        <v>44450</v>
      </c>
      <c r="DS43" s="2">
        <f t="shared" si="4"/>
        <v>44451</v>
      </c>
      <c r="DT43" s="2">
        <f t="shared" si="4"/>
        <v>44452</v>
      </c>
      <c r="DU43" s="2">
        <f t="shared" si="4"/>
        <v>44453</v>
      </c>
      <c r="DV43" s="2">
        <f t="shared" si="4"/>
        <v>44454</v>
      </c>
      <c r="DW43" s="2">
        <f t="shared" si="4"/>
        <v>44455</v>
      </c>
      <c r="DX43" s="2">
        <f t="shared" si="4"/>
        <v>44456</v>
      </c>
      <c r="DY43" s="2">
        <f t="shared" si="4"/>
        <v>44457</v>
      </c>
      <c r="DZ43" s="2">
        <f t="shared" si="4"/>
        <v>44458</v>
      </c>
      <c r="EA43" s="2">
        <f t="shared" si="4"/>
        <v>44459</v>
      </c>
      <c r="EB43" s="2">
        <f t="shared" si="4"/>
        <v>44460</v>
      </c>
      <c r="EC43" s="2">
        <f t="shared" si="4"/>
        <v>44461</v>
      </c>
      <c r="ED43" s="2">
        <f t="shared" ref="ED43:FU43" si="5">ED3</f>
        <v>44462</v>
      </c>
      <c r="EE43" s="2">
        <f t="shared" si="5"/>
        <v>44463</v>
      </c>
      <c r="EF43" s="2">
        <f t="shared" si="5"/>
        <v>44464</v>
      </c>
      <c r="EG43" s="2">
        <f t="shared" si="5"/>
        <v>44465</v>
      </c>
      <c r="EH43" s="2">
        <f t="shared" si="5"/>
        <v>44466</v>
      </c>
      <c r="EI43" s="2">
        <f t="shared" si="5"/>
        <v>44467</v>
      </c>
      <c r="EJ43" s="2">
        <f t="shared" si="5"/>
        <v>44468</v>
      </c>
      <c r="EK43" s="2">
        <f t="shared" si="5"/>
        <v>44469</v>
      </c>
      <c r="EL43" s="2">
        <f t="shared" si="5"/>
        <v>44470</v>
      </c>
      <c r="EM43" s="2">
        <f t="shared" si="5"/>
        <v>44471</v>
      </c>
      <c r="EN43" s="2">
        <f t="shared" si="5"/>
        <v>44472</v>
      </c>
      <c r="EO43" s="2">
        <f t="shared" si="5"/>
        <v>44473</v>
      </c>
      <c r="EP43" s="2">
        <f t="shared" si="5"/>
        <v>44474</v>
      </c>
      <c r="EQ43" s="2">
        <f t="shared" si="5"/>
        <v>44475</v>
      </c>
      <c r="ER43" s="2">
        <f t="shared" si="5"/>
        <v>44476</v>
      </c>
      <c r="ES43" s="2">
        <f t="shared" si="5"/>
        <v>44477</v>
      </c>
      <c r="ET43" s="2">
        <f t="shared" si="5"/>
        <v>44478</v>
      </c>
      <c r="EU43" s="2">
        <f t="shared" si="5"/>
        <v>44479</v>
      </c>
      <c r="EV43" s="2">
        <f t="shared" si="5"/>
        <v>44480</v>
      </c>
      <c r="EW43" s="2">
        <f t="shared" si="5"/>
        <v>44481</v>
      </c>
      <c r="EX43" s="2">
        <f t="shared" si="5"/>
        <v>44482</v>
      </c>
      <c r="EY43" s="2">
        <f t="shared" si="5"/>
        <v>44483</v>
      </c>
      <c r="EZ43" s="2">
        <f t="shared" si="5"/>
        <v>44484</v>
      </c>
      <c r="FA43" s="2">
        <f t="shared" si="5"/>
        <v>44485</v>
      </c>
      <c r="FB43" s="2">
        <f t="shared" si="5"/>
        <v>44486</v>
      </c>
      <c r="FC43" s="2">
        <f t="shared" si="5"/>
        <v>44487</v>
      </c>
      <c r="FD43" s="2">
        <f t="shared" si="5"/>
        <v>44488</v>
      </c>
      <c r="FE43" s="2">
        <f t="shared" si="5"/>
        <v>44489</v>
      </c>
      <c r="FF43" s="2">
        <f t="shared" si="5"/>
        <v>44490</v>
      </c>
      <c r="FG43" s="2">
        <f t="shared" si="5"/>
        <v>44491</v>
      </c>
      <c r="FH43" s="2">
        <f t="shared" si="5"/>
        <v>44492</v>
      </c>
      <c r="FI43" s="2">
        <f t="shared" si="5"/>
        <v>44493</v>
      </c>
      <c r="FJ43" s="2">
        <f t="shared" si="5"/>
        <v>44494</v>
      </c>
      <c r="FK43" s="2">
        <f t="shared" si="5"/>
        <v>44495</v>
      </c>
      <c r="FL43" s="2">
        <f t="shared" si="5"/>
        <v>44496</v>
      </c>
      <c r="FM43" s="2">
        <f t="shared" si="5"/>
        <v>44497</v>
      </c>
      <c r="FN43" s="2">
        <f t="shared" si="5"/>
        <v>44498</v>
      </c>
      <c r="FO43" s="2">
        <f t="shared" si="5"/>
        <v>44499</v>
      </c>
      <c r="FP43" s="2">
        <f t="shared" si="5"/>
        <v>44500</v>
      </c>
      <c r="FQ43" s="2">
        <f t="shared" si="5"/>
        <v>44501</v>
      </c>
      <c r="FR43" s="2">
        <f t="shared" si="5"/>
        <v>44502</v>
      </c>
      <c r="FS43" s="2">
        <f t="shared" si="5"/>
        <v>44503</v>
      </c>
      <c r="FT43" s="2">
        <f t="shared" si="5"/>
        <v>44504</v>
      </c>
      <c r="FU43" s="2">
        <f t="shared" si="5"/>
        <v>44505</v>
      </c>
    </row>
    <row r="44" spans="1:177" x14ac:dyDescent="0.25">
      <c r="A44" t="str">
        <f>A4</f>
        <v>USP-S</v>
      </c>
      <c r="B44" t="str">
        <f t="shared" ref="B44:D44" si="6">B4</f>
        <v>Flashback MW</v>
      </c>
      <c r="C44" t="str">
        <f t="shared" si="6"/>
        <v>Pistol</v>
      </c>
      <c r="D44" t="str">
        <f t="shared" si="6"/>
        <v>Danger Zone</v>
      </c>
      <c r="E44">
        <f>E4-ROUNDUP(E4*0.3,2)</f>
        <v>0.64</v>
      </c>
      <c r="F44">
        <f t="shared" ref="F44:BQ45" si="7">F4-ROUNDUP(F4*0.3,2)</f>
        <v>0.59</v>
      </c>
      <c r="G44">
        <f t="shared" si="7"/>
        <v>0.6</v>
      </c>
      <c r="H44">
        <f t="shared" si="7"/>
        <v>0.65</v>
      </c>
      <c r="I44">
        <f t="shared" si="7"/>
        <v>0.64</v>
      </c>
      <c r="J44">
        <f t="shared" si="7"/>
        <v>0.65</v>
      </c>
      <c r="K44">
        <f t="shared" si="7"/>
        <v>0.6</v>
      </c>
      <c r="L44">
        <f t="shared" si="7"/>
        <v>0.66999999999999993</v>
      </c>
      <c r="M44">
        <f t="shared" si="7"/>
        <v>0.59</v>
      </c>
      <c r="N44">
        <f t="shared" si="7"/>
        <v>0.64999999999999991</v>
      </c>
      <c r="O44">
        <f t="shared" si="7"/>
        <v>0.65</v>
      </c>
      <c r="P44">
        <f t="shared" si="7"/>
        <v>0.57999999999999996</v>
      </c>
      <c r="Q44">
        <f t="shared" si="7"/>
        <v>0.6</v>
      </c>
      <c r="R44">
        <f t="shared" si="7"/>
        <v>0.6</v>
      </c>
      <c r="S44">
        <f t="shared" si="7"/>
        <v>0.61</v>
      </c>
      <c r="T44">
        <f t="shared" si="7"/>
        <v>0.61</v>
      </c>
      <c r="U44">
        <f t="shared" si="7"/>
        <v>0.6</v>
      </c>
      <c r="V44">
        <f t="shared" si="7"/>
        <v>0.61</v>
      </c>
      <c r="W44">
        <f t="shared" si="7"/>
        <v>0.59</v>
      </c>
      <c r="X44">
        <f t="shared" si="7"/>
        <v>0.6</v>
      </c>
      <c r="Y44">
        <f t="shared" si="7"/>
        <v>0.6</v>
      </c>
      <c r="Z44">
        <f t="shared" si="7"/>
        <v>0</v>
      </c>
      <c r="AA44">
        <f t="shared" si="7"/>
        <v>0</v>
      </c>
      <c r="AB44">
        <f t="shared" si="7"/>
        <v>0</v>
      </c>
      <c r="AC44">
        <f t="shared" si="7"/>
        <v>0</v>
      </c>
      <c r="AD44">
        <f t="shared" si="7"/>
        <v>0</v>
      </c>
      <c r="AE44">
        <f t="shared" si="7"/>
        <v>0</v>
      </c>
      <c r="AF44">
        <f t="shared" si="7"/>
        <v>0</v>
      </c>
      <c r="AG44">
        <f t="shared" si="7"/>
        <v>0</v>
      </c>
      <c r="AH44">
        <f t="shared" si="7"/>
        <v>0</v>
      </c>
      <c r="AI44">
        <f t="shared" si="7"/>
        <v>0</v>
      </c>
      <c r="AJ44">
        <f t="shared" si="7"/>
        <v>0</v>
      </c>
      <c r="AK44">
        <f t="shared" si="7"/>
        <v>0</v>
      </c>
      <c r="AL44">
        <f t="shared" si="7"/>
        <v>0</v>
      </c>
      <c r="AM44">
        <f t="shared" si="7"/>
        <v>0</v>
      </c>
      <c r="AN44">
        <f t="shared" si="7"/>
        <v>0</v>
      </c>
      <c r="AO44">
        <f t="shared" si="7"/>
        <v>0</v>
      </c>
      <c r="AP44">
        <f t="shared" si="7"/>
        <v>0</v>
      </c>
      <c r="AQ44">
        <f t="shared" si="7"/>
        <v>0</v>
      </c>
      <c r="AR44">
        <f t="shared" si="7"/>
        <v>0</v>
      </c>
      <c r="AS44">
        <f t="shared" si="7"/>
        <v>0</v>
      </c>
      <c r="AT44">
        <f t="shared" si="7"/>
        <v>0</v>
      </c>
      <c r="AU44">
        <f t="shared" si="7"/>
        <v>0</v>
      </c>
      <c r="AV44">
        <f t="shared" si="7"/>
        <v>0</v>
      </c>
      <c r="AW44">
        <f t="shared" si="7"/>
        <v>0</v>
      </c>
      <c r="AX44">
        <f t="shared" si="7"/>
        <v>0</v>
      </c>
      <c r="AY44">
        <f t="shared" si="7"/>
        <v>0</v>
      </c>
      <c r="AZ44">
        <f t="shared" si="7"/>
        <v>0</v>
      </c>
      <c r="BA44">
        <f t="shared" si="7"/>
        <v>0</v>
      </c>
      <c r="BB44">
        <f t="shared" si="7"/>
        <v>0</v>
      </c>
      <c r="BC44">
        <f t="shared" si="7"/>
        <v>0</v>
      </c>
      <c r="BD44">
        <f t="shared" si="7"/>
        <v>0</v>
      </c>
      <c r="BE44">
        <f t="shared" si="7"/>
        <v>0</v>
      </c>
      <c r="BF44">
        <f t="shared" si="7"/>
        <v>0</v>
      </c>
      <c r="BG44">
        <f t="shared" si="7"/>
        <v>0</v>
      </c>
      <c r="BH44">
        <f t="shared" si="7"/>
        <v>0</v>
      </c>
      <c r="BI44">
        <f t="shared" si="7"/>
        <v>0</v>
      </c>
      <c r="BJ44">
        <f t="shared" si="7"/>
        <v>0</v>
      </c>
      <c r="BK44">
        <f t="shared" si="7"/>
        <v>0</v>
      </c>
      <c r="BL44">
        <f t="shared" si="7"/>
        <v>0</v>
      </c>
      <c r="BM44">
        <f t="shared" si="7"/>
        <v>0</v>
      </c>
      <c r="BN44">
        <f t="shared" si="7"/>
        <v>0</v>
      </c>
      <c r="BO44">
        <f t="shared" si="7"/>
        <v>0</v>
      </c>
      <c r="BP44">
        <f t="shared" si="7"/>
        <v>0</v>
      </c>
      <c r="BQ44">
        <f t="shared" si="7"/>
        <v>0</v>
      </c>
      <c r="BR44">
        <f t="shared" ref="BR44:EC47" si="8">BR4-ROUNDUP(BR4*0.3,2)</f>
        <v>0</v>
      </c>
      <c r="BS44">
        <f t="shared" si="8"/>
        <v>0</v>
      </c>
      <c r="BT44">
        <f t="shared" si="8"/>
        <v>0</v>
      </c>
      <c r="BU44">
        <f t="shared" si="8"/>
        <v>0</v>
      </c>
      <c r="BV44">
        <f t="shared" si="8"/>
        <v>0</v>
      </c>
      <c r="BW44">
        <f t="shared" si="8"/>
        <v>0</v>
      </c>
      <c r="BX44">
        <f t="shared" si="8"/>
        <v>0</v>
      </c>
      <c r="BY44">
        <f t="shared" si="8"/>
        <v>0</v>
      </c>
      <c r="BZ44">
        <f t="shared" si="8"/>
        <v>0</v>
      </c>
      <c r="CA44">
        <f t="shared" si="8"/>
        <v>0</v>
      </c>
      <c r="CB44">
        <f t="shared" si="8"/>
        <v>0</v>
      </c>
      <c r="CC44">
        <f t="shared" si="8"/>
        <v>0</v>
      </c>
      <c r="CD44">
        <f t="shared" si="8"/>
        <v>0</v>
      </c>
      <c r="CE44">
        <f t="shared" si="8"/>
        <v>0</v>
      </c>
      <c r="CF44">
        <f t="shared" si="8"/>
        <v>0</v>
      </c>
      <c r="CG44">
        <f t="shared" si="8"/>
        <v>0</v>
      </c>
      <c r="CH44">
        <f t="shared" si="8"/>
        <v>0</v>
      </c>
      <c r="CI44">
        <f t="shared" si="8"/>
        <v>0</v>
      </c>
      <c r="CJ44">
        <f t="shared" si="8"/>
        <v>0</v>
      </c>
      <c r="CK44">
        <f t="shared" si="8"/>
        <v>0</v>
      </c>
      <c r="CL44">
        <f t="shared" si="8"/>
        <v>0</v>
      </c>
      <c r="CM44">
        <f t="shared" si="8"/>
        <v>0</v>
      </c>
      <c r="CN44">
        <f t="shared" si="8"/>
        <v>0</v>
      </c>
      <c r="CO44">
        <f t="shared" si="8"/>
        <v>0</v>
      </c>
      <c r="CP44">
        <f t="shared" si="8"/>
        <v>0</v>
      </c>
      <c r="CQ44">
        <f t="shared" si="8"/>
        <v>0</v>
      </c>
      <c r="CR44">
        <f t="shared" si="8"/>
        <v>0</v>
      </c>
      <c r="CS44">
        <f t="shared" si="8"/>
        <v>0</v>
      </c>
      <c r="CT44">
        <f t="shared" si="8"/>
        <v>0</v>
      </c>
      <c r="CU44">
        <f t="shared" si="8"/>
        <v>0</v>
      </c>
      <c r="CV44">
        <f t="shared" si="8"/>
        <v>0</v>
      </c>
      <c r="CW44">
        <f t="shared" si="8"/>
        <v>0</v>
      </c>
      <c r="CX44">
        <f t="shared" si="8"/>
        <v>0</v>
      </c>
      <c r="CY44">
        <f t="shared" si="8"/>
        <v>0</v>
      </c>
      <c r="CZ44">
        <f t="shared" si="8"/>
        <v>0</v>
      </c>
      <c r="DA44">
        <f t="shared" si="8"/>
        <v>0</v>
      </c>
      <c r="DB44">
        <f t="shared" si="8"/>
        <v>0</v>
      </c>
      <c r="DC44">
        <f t="shared" si="8"/>
        <v>0</v>
      </c>
      <c r="DD44">
        <f t="shared" si="8"/>
        <v>0</v>
      </c>
      <c r="DE44">
        <f t="shared" si="8"/>
        <v>0</v>
      </c>
      <c r="DF44">
        <f t="shared" si="8"/>
        <v>0</v>
      </c>
      <c r="DG44">
        <f t="shared" si="8"/>
        <v>0</v>
      </c>
      <c r="DH44">
        <f t="shared" si="8"/>
        <v>0</v>
      </c>
      <c r="DI44">
        <f t="shared" si="8"/>
        <v>0</v>
      </c>
      <c r="DJ44">
        <f t="shared" si="8"/>
        <v>0</v>
      </c>
      <c r="DK44">
        <f t="shared" si="8"/>
        <v>0</v>
      </c>
      <c r="DL44">
        <f t="shared" si="8"/>
        <v>0</v>
      </c>
      <c r="DM44">
        <f t="shared" si="8"/>
        <v>0</v>
      </c>
      <c r="DN44">
        <f t="shared" si="8"/>
        <v>0</v>
      </c>
      <c r="DO44">
        <f t="shared" si="8"/>
        <v>0</v>
      </c>
      <c r="DP44">
        <f t="shared" si="8"/>
        <v>0</v>
      </c>
      <c r="DQ44">
        <f t="shared" si="8"/>
        <v>0</v>
      </c>
      <c r="DR44">
        <f t="shared" si="8"/>
        <v>0</v>
      </c>
      <c r="DS44">
        <f t="shared" si="8"/>
        <v>0</v>
      </c>
      <c r="DT44">
        <f t="shared" si="8"/>
        <v>0</v>
      </c>
      <c r="DU44">
        <f t="shared" si="8"/>
        <v>0</v>
      </c>
      <c r="DV44">
        <f t="shared" si="8"/>
        <v>0</v>
      </c>
      <c r="DW44">
        <f t="shared" si="8"/>
        <v>0</v>
      </c>
      <c r="DX44">
        <f t="shared" si="8"/>
        <v>0</v>
      </c>
      <c r="DY44">
        <f t="shared" si="8"/>
        <v>0</v>
      </c>
      <c r="DZ44">
        <f t="shared" si="8"/>
        <v>0</v>
      </c>
      <c r="EA44">
        <f t="shared" si="8"/>
        <v>0</v>
      </c>
      <c r="EB44">
        <f t="shared" si="8"/>
        <v>0</v>
      </c>
      <c r="EC44">
        <f t="shared" si="8"/>
        <v>0</v>
      </c>
      <c r="ED44">
        <f t="shared" ref="ED44:FU46" si="9">ED4-ROUNDUP(ED4*0.3,2)</f>
        <v>0</v>
      </c>
      <c r="EE44">
        <f t="shared" si="9"/>
        <v>0</v>
      </c>
      <c r="EF44">
        <f t="shared" si="9"/>
        <v>0</v>
      </c>
      <c r="EG44">
        <f t="shared" si="9"/>
        <v>0</v>
      </c>
      <c r="EH44">
        <f t="shared" si="9"/>
        <v>0</v>
      </c>
      <c r="EI44">
        <f t="shared" si="9"/>
        <v>0</v>
      </c>
      <c r="EJ44">
        <f t="shared" si="9"/>
        <v>0</v>
      </c>
      <c r="EK44">
        <f t="shared" si="9"/>
        <v>0</v>
      </c>
      <c r="EL44">
        <f t="shared" si="9"/>
        <v>0</v>
      </c>
      <c r="EM44">
        <f t="shared" si="9"/>
        <v>0</v>
      </c>
      <c r="EN44">
        <f t="shared" si="9"/>
        <v>0</v>
      </c>
      <c r="EO44">
        <f t="shared" si="9"/>
        <v>0</v>
      </c>
      <c r="EP44">
        <f t="shared" si="9"/>
        <v>0</v>
      </c>
      <c r="EQ44">
        <f t="shared" si="9"/>
        <v>0</v>
      </c>
      <c r="ER44">
        <f t="shared" si="9"/>
        <v>0</v>
      </c>
      <c r="ES44">
        <f t="shared" si="9"/>
        <v>0</v>
      </c>
      <c r="ET44">
        <f t="shared" si="9"/>
        <v>0</v>
      </c>
      <c r="EU44">
        <f t="shared" si="9"/>
        <v>0</v>
      </c>
      <c r="EV44">
        <f t="shared" si="9"/>
        <v>0</v>
      </c>
      <c r="EW44">
        <f t="shared" si="9"/>
        <v>0</v>
      </c>
      <c r="EX44">
        <f t="shared" si="9"/>
        <v>0</v>
      </c>
      <c r="EY44">
        <f t="shared" si="9"/>
        <v>0</v>
      </c>
      <c r="EZ44">
        <f t="shared" si="9"/>
        <v>0</v>
      </c>
      <c r="FA44">
        <f t="shared" si="9"/>
        <v>0</v>
      </c>
      <c r="FB44">
        <f t="shared" si="9"/>
        <v>0</v>
      </c>
      <c r="FC44">
        <f t="shared" si="9"/>
        <v>0</v>
      </c>
      <c r="FD44">
        <f t="shared" si="9"/>
        <v>0</v>
      </c>
      <c r="FE44">
        <f t="shared" si="9"/>
        <v>0</v>
      </c>
      <c r="FF44">
        <f t="shared" si="9"/>
        <v>0</v>
      </c>
      <c r="FG44">
        <f t="shared" si="9"/>
        <v>0</v>
      </c>
      <c r="FH44">
        <f t="shared" si="9"/>
        <v>0</v>
      </c>
      <c r="FI44">
        <f t="shared" si="9"/>
        <v>0</v>
      </c>
      <c r="FJ44">
        <f t="shared" si="9"/>
        <v>0</v>
      </c>
      <c r="FK44">
        <f t="shared" si="9"/>
        <v>0</v>
      </c>
      <c r="FL44">
        <f t="shared" si="9"/>
        <v>0</v>
      </c>
      <c r="FM44">
        <f t="shared" si="9"/>
        <v>0</v>
      </c>
      <c r="FN44">
        <f t="shared" si="9"/>
        <v>0</v>
      </c>
      <c r="FO44">
        <f t="shared" si="9"/>
        <v>0</v>
      </c>
      <c r="FP44">
        <f t="shared" si="9"/>
        <v>0</v>
      </c>
      <c r="FQ44">
        <f t="shared" si="9"/>
        <v>0</v>
      </c>
      <c r="FR44">
        <f t="shared" si="9"/>
        <v>0</v>
      </c>
      <c r="FS44">
        <f t="shared" si="9"/>
        <v>0</v>
      </c>
      <c r="FT44">
        <f t="shared" si="9"/>
        <v>0</v>
      </c>
      <c r="FU44">
        <f t="shared" si="9"/>
        <v>0</v>
      </c>
    </row>
    <row r="45" spans="1:177" x14ac:dyDescent="0.25">
      <c r="A45" t="str">
        <f t="shared" ref="A45:D45" si="10">A5</f>
        <v>Glock-18</v>
      </c>
      <c r="B45" t="str">
        <f t="shared" si="10"/>
        <v>Nuclear Garden FT</v>
      </c>
      <c r="C45" t="str">
        <f t="shared" si="10"/>
        <v>Pistol</v>
      </c>
      <c r="D45" t="str">
        <f t="shared" si="10"/>
        <v>2018 Nuke</v>
      </c>
      <c r="E45">
        <f t="shared" ref="E45:T74" si="11">E5-ROUNDUP(E5*0.3,2)</f>
        <v>3.2399999999999998</v>
      </c>
      <c r="F45">
        <f t="shared" si="11"/>
        <v>3.1900000000000004</v>
      </c>
      <c r="G45">
        <f t="shared" si="11"/>
        <v>3.1000000000000005</v>
      </c>
      <c r="H45">
        <f t="shared" si="11"/>
        <v>2.83</v>
      </c>
      <c r="I45">
        <f t="shared" si="11"/>
        <v>3.01</v>
      </c>
      <c r="J45">
        <f t="shared" si="11"/>
        <v>2.9300000000000006</v>
      </c>
      <c r="K45">
        <f t="shared" si="11"/>
        <v>3.2500000000000004</v>
      </c>
      <c r="L45">
        <f t="shared" si="11"/>
        <v>2.9499999999999997</v>
      </c>
      <c r="M45">
        <f t="shared" si="11"/>
        <v>3.0599999999999996</v>
      </c>
      <c r="N45">
        <f t="shared" si="11"/>
        <v>3.09</v>
      </c>
      <c r="O45">
        <f t="shared" si="11"/>
        <v>2.9799999999999995</v>
      </c>
      <c r="P45">
        <f t="shared" si="11"/>
        <v>3.01</v>
      </c>
      <c r="Q45">
        <f t="shared" si="11"/>
        <v>2.9499999999999997</v>
      </c>
      <c r="R45">
        <f t="shared" si="11"/>
        <v>3</v>
      </c>
      <c r="S45">
        <f t="shared" si="11"/>
        <v>3.0300000000000002</v>
      </c>
      <c r="T45">
        <f t="shared" si="11"/>
        <v>3.03</v>
      </c>
      <c r="U45">
        <f t="shared" si="7"/>
        <v>3</v>
      </c>
      <c r="V45">
        <f t="shared" si="7"/>
        <v>3.03</v>
      </c>
      <c r="W45">
        <f t="shared" si="7"/>
        <v>2.8699999999999997</v>
      </c>
      <c r="X45">
        <f t="shared" si="7"/>
        <v>2.9499999999999997</v>
      </c>
      <c r="Y45">
        <f t="shared" si="7"/>
        <v>2.91</v>
      </c>
      <c r="Z45">
        <f t="shared" si="7"/>
        <v>0</v>
      </c>
      <c r="AA45">
        <f t="shared" si="7"/>
        <v>0</v>
      </c>
      <c r="AB45">
        <f t="shared" si="7"/>
        <v>0</v>
      </c>
      <c r="AC45">
        <f t="shared" si="7"/>
        <v>0</v>
      </c>
      <c r="AD45">
        <f t="shared" si="7"/>
        <v>0</v>
      </c>
      <c r="AE45">
        <f t="shared" si="7"/>
        <v>0</v>
      </c>
      <c r="AF45">
        <f t="shared" si="7"/>
        <v>0</v>
      </c>
      <c r="AG45">
        <f t="shared" si="7"/>
        <v>0</v>
      </c>
      <c r="AH45">
        <f t="shared" si="7"/>
        <v>0</v>
      </c>
      <c r="AI45">
        <f t="shared" si="7"/>
        <v>0</v>
      </c>
      <c r="AJ45">
        <f t="shared" si="7"/>
        <v>0</v>
      </c>
      <c r="AK45">
        <f t="shared" si="7"/>
        <v>0</v>
      </c>
      <c r="AL45">
        <f t="shared" si="7"/>
        <v>0</v>
      </c>
      <c r="AM45">
        <f t="shared" si="7"/>
        <v>0</v>
      </c>
      <c r="AN45">
        <f t="shared" si="7"/>
        <v>0</v>
      </c>
      <c r="AO45">
        <f t="shared" si="7"/>
        <v>0</v>
      </c>
      <c r="AP45">
        <f t="shared" si="7"/>
        <v>0</v>
      </c>
      <c r="AQ45">
        <f t="shared" si="7"/>
        <v>0</v>
      </c>
      <c r="AR45">
        <f t="shared" si="7"/>
        <v>0</v>
      </c>
      <c r="AS45">
        <f t="shared" si="7"/>
        <v>0</v>
      </c>
      <c r="AT45">
        <f t="shared" si="7"/>
        <v>0</v>
      </c>
      <c r="AU45">
        <f t="shared" si="7"/>
        <v>0</v>
      </c>
      <c r="AV45">
        <f t="shared" si="7"/>
        <v>0</v>
      </c>
      <c r="AW45">
        <f t="shared" si="7"/>
        <v>0</v>
      </c>
      <c r="AX45">
        <f t="shared" si="7"/>
        <v>0</v>
      </c>
      <c r="AY45">
        <f t="shared" si="7"/>
        <v>0</v>
      </c>
      <c r="AZ45">
        <f t="shared" si="7"/>
        <v>0</v>
      </c>
      <c r="BA45">
        <f t="shared" si="7"/>
        <v>0</v>
      </c>
      <c r="BB45">
        <f t="shared" si="7"/>
        <v>0</v>
      </c>
      <c r="BC45">
        <f t="shared" si="7"/>
        <v>0</v>
      </c>
      <c r="BD45">
        <f t="shared" si="7"/>
        <v>0</v>
      </c>
      <c r="BE45">
        <f t="shared" si="7"/>
        <v>0</v>
      </c>
      <c r="BF45">
        <f t="shared" si="7"/>
        <v>0</v>
      </c>
      <c r="BG45">
        <f t="shared" si="7"/>
        <v>0</v>
      </c>
      <c r="BH45">
        <f t="shared" si="7"/>
        <v>0</v>
      </c>
      <c r="BI45">
        <f t="shared" si="7"/>
        <v>0</v>
      </c>
      <c r="BJ45">
        <f t="shared" si="7"/>
        <v>0</v>
      </c>
      <c r="BK45">
        <f t="shared" si="7"/>
        <v>0</v>
      </c>
      <c r="BL45">
        <f t="shared" si="7"/>
        <v>0</v>
      </c>
      <c r="BM45">
        <f t="shared" si="7"/>
        <v>0</v>
      </c>
      <c r="BN45">
        <f t="shared" si="7"/>
        <v>0</v>
      </c>
      <c r="BO45">
        <f t="shared" si="7"/>
        <v>0</v>
      </c>
      <c r="BP45">
        <f t="shared" si="7"/>
        <v>0</v>
      </c>
      <c r="BQ45">
        <f t="shared" si="7"/>
        <v>0</v>
      </c>
      <c r="BR45">
        <f t="shared" si="8"/>
        <v>0</v>
      </c>
      <c r="BS45">
        <f t="shared" si="8"/>
        <v>0</v>
      </c>
      <c r="BT45">
        <f t="shared" si="8"/>
        <v>0</v>
      </c>
      <c r="BU45">
        <f t="shared" si="8"/>
        <v>0</v>
      </c>
      <c r="BV45">
        <f t="shared" si="8"/>
        <v>0</v>
      </c>
      <c r="BW45">
        <f t="shared" si="8"/>
        <v>0</v>
      </c>
      <c r="BX45">
        <f t="shared" si="8"/>
        <v>0</v>
      </c>
      <c r="BY45">
        <f t="shared" si="8"/>
        <v>0</v>
      </c>
      <c r="BZ45">
        <f t="shared" si="8"/>
        <v>0</v>
      </c>
      <c r="CA45">
        <f t="shared" si="8"/>
        <v>0</v>
      </c>
      <c r="CB45">
        <f t="shared" si="8"/>
        <v>0</v>
      </c>
      <c r="CC45">
        <f t="shared" si="8"/>
        <v>0</v>
      </c>
      <c r="CD45">
        <f t="shared" si="8"/>
        <v>0</v>
      </c>
      <c r="CE45">
        <f t="shared" si="8"/>
        <v>0</v>
      </c>
      <c r="CF45">
        <f t="shared" si="8"/>
        <v>0</v>
      </c>
      <c r="CG45">
        <f t="shared" si="8"/>
        <v>0</v>
      </c>
      <c r="CH45">
        <f t="shared" si="8"/>
        <v>0</v>
      </c>
      <c r="CI45">
        <f t="shared" si="8"/>
        <v>0</v>
      </c>
      <c r="CJ45">
        <f t="shared" si="8"/>
        <v>0</v>
      </c>
      <c r="CK45">
        <f t="shared" si="8"/>
        <v>0</v>
      </c>
      <c r="CL45">
        <f t="shared" si="8"/>
        <v>0</v>
      </c>
      <c r="CM45">
        <f t="shared" si="8"/>
        <v>0</v>
      </c>
      <c r="CN45">
        <f t="shared" si="8"/>
        <v>0</v>
      </c>
      <c r="CO45">
        <f t="shared" si="8"/>
        <v>0</v>
      </c>
      <c r="CP45">
        <f t="shared" si="8"/>
        <v>0</v>
      </c>
      <c r="CQ45">
        <f t="shared" si="8"/>
        <v>0</v>
      </c>
      <c r="CR45">
        <f t="shared" si="8"/>
        <v>0</v>
      </c>
      <c r="CS45">
        <f t="shared" si="8"/>
        <v>0</v>
      </c>
      <c r="CT45">
        <f t="shared" si="8"/>
        <v>0</v>
      </c>
      <c r="CU45">
        <f t="shared" si="8"/>
        <v>0</v>
      </c>
      <c r="CV45">
        <f t="shared" si="8"/>
        <v>0</v>
      </c>
      <c r="CW45">
        <f t="shared" si="8"/>
        <v>0</v>
      </c>
      <c r="CX45">
        <f t="shared" si="8"/>
        <v>0</v>
      </c>
      <c r="CY45">
        <f t="shared" si="8"/>
        <v>0</v>
      </c>
      <c r="CZ45">
        <f t="shared" si="8"/>
        <v>0</v>
      </c>
      <c r="DA45">
        <f t="shared" si="8"/>
        <v>0</v>
      </c>
      <c r="DB45">
        <f t="shared" si="8"/>
        <v>0</v>
      </c>
      <c r="DC45">
        <f t="shared" si="8"/>
        <v>0</v>
      </c>
      <c r="DD45">
        <f t="shared" si="8"/>
        <v>0</v>
      </c>
      <c r="DE45">
        <f t="shared" si="8"/>
        <v>0</v>
      </c>
      <c r="DF45">
        <f t="shared" si="8"/>
        <v>0</v>
      </c>
      <c r="DG45">
        <f t="shared" si="8"/>
        <v>0</v>
      </c>
      <c r="DH45">
        <f t="shared" si="8"/>
        <v>0</v>
      </c>
      <c r="DI45">
        <f t="shared" si="8"/>
        <v>0</v>
      </c>
      <c r="DJ45">
        <f t="shared" si="8"/>
        <v>0</v>
      </c>
      <c r="DK45">
        <f t="shared" si="8"/>
        <v>0</v>
      </c>
      <c r="DL45">
        <f t="shared" si="8"/>
        <v>0</v>
      </c>
      <c r="DM45">
        <f t="shared" si="8"/>
        <v>0</v>
      </c>
      <c r="DN45">
        <f t="shared" si="8"/>
        <v>0</v>
      </c>
      <c r="DO45">
        <f t="shared" si="8"/>
        <v>0</v>
      </c>
      <c r="DP45">
        <f t="shared" si="8"/>
        <v>0</v>
      </c>
      <c r="DQ45">
        <f t="shared" si="8"/>
        <v>0</v>
      </c>
      <c r="DR45">
        <f t="shared" si="8"/>
        <v>0</v>
      </c>
      <c r="DS45">
        <f t="shared" si="8"/>
        <v>0</v>
      </c>
      <c r="DT45">
        <f t="shared" si="8"/>
        <v>0</v>
      </c>
      <c r="DU45">
        <f t="shared" si="8"/>
        <v>0</v>
      </c>
      <c r="DV45">
        <f t="shared" si="8"/>
        <v>0</v>
      </c>
      <c r="DW45">
        <f t="shared" si="8"/>
        <v>0</v>
      </c>
      <c r="DX45">
        <f t="shared" si="8"/>
        <v>0</v>
      </c>
      <c r="DY45">
        <f t="shared" si="8"/>
        <v>0</v>
      </c>
      <c r="DZ45">
        <f t="shared" si="8"/>
        <v>0</v>
      </c>
      <c r="EA45">
        <f t="shared" si="8"/>
        <v>0</v>
      </c>
      <c r="EB45">
        <f t="shared" si="8"/>
        <v>0</v>
      </c>
      <c r="EC45">
        <f t="shared" si="8"/>
        <v>0</v>
      </c>
      <c r="ED45">
        <f t="shared" si="9"/>
        <v>0</v>
      </c>
      <c r="EE45">
        <f t="shared" si="9"/>
        <v>0</v>
      </c>
      <c r="EF45">
        <f t="shared" si="9"/>
        <v>0</v>
      </c>
      <c r="EG45">
        <f t="shared" si="9"/>
        <v>0</v>
      </c>
      <c r="EH45">
        <f t="shared" si="9"/>
        <v>0</v>
      </c>
      <c r="EI45">
        <f t="shared" si="9"/>
        <v>0</v>
      </c>
      <c r="EJ45">
        <f t="shared" si="9"/>
        <v>0</v>
      </c>
      <c r="EK45">
        <f t="shared" si="9"/>
        <v>0</v>
      </c>
      <c r="EL45">
        <f t="shared" si="9"/>
        <v>0</v>
      </c>
      <c r="EM45">
        <f t="shared" si="9"/>
        <v>0</v>
      </c>
      <c r="EN45">
        <f t="shared" si="9"/>
        <v>0</v>
      </c>
      <c r="EO45">
        <f t="shared" si="9"/>
        <v>0</v>
      </c>
      <c r="EP45">
        <f t="shared" si="9"/>
        <v>0</v>
      </c>
      <c r="EQ45">
        <f t="shared" si="9"/>
        <v>0</v>
      </c>
      <c r="ER45">
        <f t="shared" si="9"/>
        <v>0</v>
      </c>
      <c r="ES45">
        <f t="shared" si="9"/>
        <v>0</v>
      </c>
      <c r="ET45">
        <f t="shared" si="9"/>
        <v>0</v>
      </c>
      <c r="EU45">
        <f t="shared" si="9"/>
        <v>0</v>
      </c>
      <c r="EV45">
        <f t="shared" si="9"/>
        <v>0</v>
      </c>
      <c r="EW45">
        <f t="shared" si="9"/>
        <v>0</v>
      </c>
      <c r="EX45">
        <f t="shared" si="9"/>
        <v>0</v>
      </c>
      <c r="EY45">
        <f t="shared" si="9"/>
        <v>0</v>
      </c>
      <c r="EZ45">
        <f t="shared" si="9"/>
        <v>0</v>
      </c>
      <c r="FA45">
        <f t="shared" si="9"/>
        <v>0</v>
      </c>
      <c r="FB45">
        <f t="shared" si="9"/>
        <v>0</v>
      </c>
      <c r="FC45">
        <f t="shared" si="9"/>
        <v>0</v>
      </c>
      <c r="FD45">
        <f t="shared" si="9"/>
        <v>0</v>
      </c>
      <c r="FE45">
        <f t="shared" si="9"/>
        <v>0</v>
      </c>
      <c r="FF45">
        <f t="shared" si="9"/>
        <v>0</v>
      </c>
      <c r="FG45">
        <f t="shared" si="9"/>
        <v>0</v>
      </c>
      <c r="FH45">
        <f t="shared" si="9"/>
        <v>0</v>
      </c>
      <c r="FI45">
        <f t="shared" si="9"/>
        <v>0</v>
      </c>
      <c r="FJ45">
        <f t="shared" si="9"/>
        <v>0</v>
      </c>
      <c r="FK45">
        <f t="shared" si="9"/>
        <v>0</v>
      </c>
      <c r="FL45">
        <f t="shared" si="9"/>
        <v>0</v>
      </c>
      <c r="FM45">
        <f t="shared" si="9"/>
        <v>0</v>
      </c>
      <c r="FN45">
        <f t="shared" si="9"/>
        <v>0</v>
      </c>
      <c r="FO45">
        <f t="shared" si="9"/>
        <v>0</v>
      </c>
      <c r="FP45">
        <f t="shared" si="9"/>
        <v>0</v>
      </c>
      <c r="FQ45">
        <f t="shared" si="9"/>
        <v>0</v>
      </c>
      <c r="FR45">
        <f t="shared" si="9"/>
        <v>0</v>
      </c>
      <c r="FS45">
        <f t="shared" si="9"/>
        <v>0</v>
      </c>
      <c r="FT45">
        <f t="shared" si="9"/>
        <v>0</v>
      </c>
      <c r="FU45">
        <f t="shared" si="9"/>
        <v>0</v>
      </c>
    </row>
    <row r="46" spans="1:177" x14ac:dyDescent="0.25">
      <c r="A46" t="str">
        <f t="shared" ref="A46:D46" si="12">A6</f>
        <v>Five-SeveN</v>
      </c>
      <c r="B46" t="str">
        <f t="shared" si="12"/>
        <v>Hot Shot MW</v>
      </c>
      <c r="C46" t="str">
        <f t="shared" si="12"/>
        <v>Pistol</v>
      </c>
      <c r="D46" t="str">
        <f t="shared" si="12"/>
        <v>Cache</v>
      </c>
      <c r="E46">
        <f t="shared" si="11"/>
        <v>0.51</v>
      </c>
      <c r="F46">
        <f t="shared" ref="F46:BQ49" si="13">F6-ROUNDUP(F6*0.3,2)</f>
        <v>0.51</v>
      </c>
      <c r="G46">
        <f t="shared" si="13"/>
        <v>0.51</v>
      </c>
      <c r="H46">
        <f t="shared" si="13"/>
        <v>0.56999999999999995</v>
      </c>
      <c r="I46">
        <f t="shared" si="13"/>
        <v>0.56999999999999995</v>
      </c>
      <c r="J46">
        <f t="shared" si="13"/>
        <v>0.56999999999999995</v>
      </c>
      <c r="K46">
        <f t="shared" si="13"/>
        <v>0.56000000000000005</v>
      </c>
      <c r="L46">
        <f t="shared" si="13"/>
        <v>0.56000000000000005</v>
      </c>
      <c r="M46">
        <f t="shared" si="13"/>
        <v>0.56999999999999995</v>
      </c>
      <c r="N46">
        <f t="shared" si="13"/>
        <v>0.56000000000000005</v>
      </c>
      <c r="O46">
        <f t="shared" si="13"/>
        <v>0.56999999999999995</v>
      </c>
      <c r="P46">
        <f t="shared" si="13"/>
        <v>0.56999999999999995</v>
      </c>
      <c r="Q46">
        <f t="shared" si="13"/>
        <v>0.56999999999999995</v>
      </c>
      <c r="R46">
        <f t="shared" si="13"/>
        <v>0.56000000000000005</v>
      </c>
      <c r="S46">
        <f t="shared" si="13"/>
        <v>0.57999999999999996</v>
      </c>
      <c r="T46">
        <f t="shared" si="13"/>
        <v>0.54</v>
      </c>
      <c r="U46">
        <f t="shared" si="13"/>
        <v>0.59</v>
      </c>
      <c r="V46">
        <f t="shared" si="13"/>
        <v>0.56000000000000005</v>
      </c>
      <c r="W46">
        <f t="shared" si="13"/>
        <v>0.57999999999999996</v>
      </c>
      <c r="X46">
        <f t="shared" si="13"/>
        <v>0.57999999999999996</v>
      </c>
      <c r="Y46">
        <f t="shared" si="13"/>
        <v>0.6</v>
      </c>
      <c r="Z46">
        <f t="shared" si="13"/>
        <v>0</v>
      </c>
      <c r="AA46">
        <f t="shared" si="13"/>
        <v>0</v>
      </c>
      <c r="AB46">
        <f t="shared" si="13"/>
        <v>0</v>
      </c>
      <c r="AC46">
        <f t="shared" si="13"/>
        <v>0</v>
      </c>
      <c r="AD46">
        <f t="shared" si="13"/>
        <v>0</v>
      </c>
      <c r="AE46">
        <f t="shared" si="13"/>
        <v>0</v>
      </c>
      <c r="AF46">
        <f t="shared" si="13"/>
        <v>0</v>
      </c>
      <c r="AG46">
        <f t="shared" si="13"/>
        <v>0</v>
      </c>
      <c r="AH46">
        <f t="shared" si="13"/>
        <v>0</v>
      </c>
      <c r="AI46">
        <f t="shared" si="13"/>
        <v>0</v>
      </c>
      <c r="AJ46">
        <f t="shared" si="13"/>
        <v>0</v>
      </c>
      <c r="AK46">
        <f t="shared" si="13"/>
        <v>0</v>
      </c>
      <c r="AL46">
        <f t="shared" si="13"/>
        <v>0</v>
      </c>
      <c r="AM46">
        <f t="shared" si="13"/>
        <v>0</v>
      </c>
      <c r="AN46">
        <f t="shared" si="13"/>
        <v>0</v>
      </c>
      <c r="AO46">
        <f t="shared" si="13"/>
        <v>0</v>
      </c>
      <c r="AP46">
        <f t="shared" si="13"/>
        <v>0</v>
      </c>
      <c r="AQ46">
        <f t="shared" si="13"/>
        <v>0</v>
      </c>
      <c r="AR46">
        <f t="shared" si="13"/>
        <v>0</v>
      </c>
      <c r="AS46">
        <f t="shared" si="13"/>
        <v>0</v>
      </c>
      <c r="AT46">
        <f t="shared" si="13"/>
        <v>0</v>
      </c>
      <c r="AU46">
        <f t="shared" si="13"/>
        <v>0</v>
      </c>
      <c r="AV46">
        <f t="shared" si="13"/>
        <v>0</v>
      </c>
      <c r="AW46">
        <f t="shared" si="13"/>
        <v>0</v>
      </c>
      <c r="AX46">
        <f t="shared" si="13"/>
        <v>0</v>
      </c>
      <c r="AY46">
        <f t="shared" si="13"/>
        <v>0</v>
      </c>
      <c r="AZ46">
        <f t="shared" si="13"/>
        <v>0</v>
      </c>
      <c r="BA46">
        <f t="shared" si="13"/>
        <v>0</v>
      </c>
      <c r="BB46">
        <f t="shared" si="13"/>
        <v>0</v>
      </c>
      <c r="BC46">
        <f t="shared" si="13"/>
        <v>0</v>
      </c>
      <c r="BD46">
        <f t="shared" si="13"/>
        <v>0</v>
      </c>
      <c r="BE46">
        <f t="shared" si="13"/>
        <v>0</v>
      </c>
      <c r="BF46">
        <f t="shared" si="13"/>
        <v>0</v>
      </c>
      <c r="BG46">
        <f t="shared" si="13"/>
        <v>0</v>
      </c>
      <c r="BH46">
        <f t="shared" si="13"/>
        <v>0</v>
      </c>
      <c r="BI46">
        <f t="shared" si="13"/>
        <v>0</v>
      </c>
      <c r="BJ46">
        <f t="shared" si="13"/>
        <v>0</v>
      </c>
      <c r="BK46">
        <f t="shared" si="13"/>
        <v>0</v>
      </c>
      <c r="BL46">
        <f t="shared" si="13"/>
        <v>0</v>
      </c>
      <c r="BM46">
        <f t="shared" si="13"/>
        <v>0</v>
      </c>
      <c r="BN46">
        <f t="shared" si="13"/>
        <v>0</v>
      </c>
      <c r="BO46">
        <f t="shared" si="13"/>
        <v>0</v>
      </c>
      <c r="BP46">
        <f t="shared" si="13"/>
        <v>0</v>
      </c>
      <c r="BQ46">
        <f t="shared" si="13"/>
        <v>0</v>
      </c>
      <c r="BR46">
        <f t="shared" si="8"/>
        <v>0</v>
      </c>
      <c r="BS46">
        <f t="shared" si="8"/>
        <v>0</v>
      </c>
      <c r="BT46">
        <f t="shared" si="8"/>
        <v>0</v>
      </c>
      <c r="BU46">
        <f t="shared" si="8"/>
        <v>0</v>
      </c>
      <c r="BV46">
        <f t="shared" si="8"/>
        <v>0</v>
      </c>
      <c r="BW46">
        <f t="shared" si="8"/>
        <v>0</v>
      </c>
      <c r="BX46">
        <f t="shared" si="8"/>
        <v>0</v>
      </c>
      <c r="BY46">
        <f t="shared" si="8"/>
        <v>0</v>
      </c>
      <c r="BZ46">
        <f t="shared" si="8"/>
        <v>0</v>
      </c>
      <c r="CA46">
        <f t="shared" si="8"/>
        <v>0</v>
      </c>
      <c r="CB46">
        <f t="shared" si="8"/>
        <v>0</v>
      </c>
      <c r="CC46">
        <f t="shared" si="8"/>
        <v>0</v>
      </c>
      <c r="CD46">
        <f t="shared" si="8"/>
        <v>0</v>
      </c>
      <c r="CE46">
        <f t="shared" si="8"/>
        <v>0</v>
      </c>
      <c r="CF46">
        <f t="shared" si="8"/>
        <v>0</v>
      </c>
      <c r="CG46">
        <f t="shared" si="8"/>
        <v>0</v>
      </c>
      <c r="CH46">
        <f t="shared" si="8"/>
        <v>0</v>
      </c>
      <c r="CI46">
        <f t="shared" si="8"/>
        <v>0</v>
      </c>
      <c r="CJ46">
        <f t="shared" si="8"/>
        <v>0</v>
      </c>
      <c r="CK46">
        <f t="shared" si="8"/>
        <v>0</v>
      </c>
      <c r="CL46">
        <f t="shared" si="8"/>
        <v>0</v>
      </c>
      <c r="CM46">
        <f t="shared" si="8"/>
        <v>0</v>
      </c>
      <c r="CN46">
        <f t="shared" si="8"/>
        <v>0</v>
      </c>
      <c r="CO46">
        <f t="shared" si="8"/>
        <v>0</v>
      </c>
      <c r="CP46">
        <f t="shared" si="8"/>
        <v>0</v>
      </c>
      <c r="CQ46">
        <f t="shared" si="8"/>
        <v>0</v>
      </c>
      <c r="CR46">
        <f t="shared" si="8"/>
        <v>0</v>
      </c>
      <c r="CS46">
        <f t="shared" si="8"/>
        <v>0</v>
      </c>
      <c r="CT46">
        <f t="shared" si="8"/>
        <v>0</v>
      </c>
      <c r="CU46">
        <f t="shared" si="8"/>
        <v>0</v>
      </c>
      <c r="CV46">
        <f t="shared" si="8"/>
        <v>0</v>
      </c>
      <c r="CW46">
        <f t="shared" si="8"/>
        <v>0</v>
      </c>
      <c r="CX46">
        <f t="shared" si="8"/>
        <v>0</v>
      </c>
      <c r="CY46">
        <f t="shared" si="8"/>
        <v>0</v>
      </c>
      <c r="CZ46">
        <f t="shared" si="8"/>
        <v>0</v>
      </c>
      <c r="DA46">
        <f t="shared" si="8"/>
        <v>0</v>
      </c>
      <c r="DB46">
        <f t="shared" si="8"/>
        <v>0</v>
      </c>
      <c r="DC46">
        <f t="shared" si="8"/>
        <v>0</v>
      </c>
      <c r="DD46">
        <f t="shared" si="8"/>
        <v>0</v>
      </c>
      <c r="DE46">
        <f t="shared" si="8"/>
        <v>0</v>
      </c>
      <c r="DF46">
        <f t="shared" si="8"/>
        <v>0</v>
      </c>
      <c r="DG46">
        <f t="shared" si="8"/>
        <v>0</v>
      </c>
      <c r="DH46">
        <f t="shared" si="8"/>
        <v>0</v>
      </c>
      <c r="DI46">
        <f t="shared" si="8"/>
        <v>0</v>
      </c>
      <c r="DJ46">
        <f t="shared" si="8"/>
        <v>0</v>
      </c>
      <c r="DK46">
        <f t="shared" si="8"/>
        <v>0</v>
      </c>
      <c r="DL46">
        <f t="shared" si="8"/>
        <v>0</v>
      </c>
      <c r="DM46">
        <f t="shared" si="8"/>
        <v>0</v>
      </c>
      <c r="DN46">
        <f t="shared" si="8"/>
        <v>0</v>
      </c>
      <c r="DO46">
        <f t="shared" si="8"/>
        <v>0</v>
      </c>
      <c r="DP46">
        <f t="shared" si="8"/>
        <v>0</v>
      </c>
      <c r="DQ46">
        <f t="shared" si="8"/>
        <v>0</v>
      </c>
      <c r="DR46">
        <f t="shared" si="8"/>
        <v>0</v>
      </c>
      <c r="DS46">
        <f t="shared" si="8"/>
        <v>0</v>
      </c>
      <c r="DT46">
        <f t="shared" si="8"/>
        <v>0</v>
      </c>
      <c r="DU46">
        <f t="shared" si="8"/>
        <v>0</v>
      </c>
      <c r="DV46">
        <f t="shared" si="8"/>
        <v>0</v>
      </c>
      <c r="DW46">
        <f t="shared" si="8"/>
        <v>0</v>
      </c>
      <c r="DX46">
        <f t="shared" si="8"/>
        <v>0</v>
      </c>
      <c r="DY46">
        <f t="shared" si="8"/>
        <v>0</v>
      </c>
      <c r="DZ46">
        <f t="shared" si="8"/>
        <v>0</v>
      </c>
      <c r="EA46">
        <f t="shared" si="8"/>
        <v>0</v>
      </c>
      <c r="EB46">
        <f t="shared" si="8"/>
        <v>0</v>
      </c>
      <c r="EC46">
        <f t="shared" si="8"/>
        <v>0</v>
      </c>
      <c r="ED46">
        <f t="shared" si="9"/>
        <v>0</v>
      </c>
      <c r="EE46">
        <f t="shared" si="9"/>
        <v>0</v>
      </c>
      <c r="EF46">
        <f t="shared" si="9"/>
        <v>0</v>
      </c>
      <c r="EG46">
        <f t="shared" si="9"/>
        <v>0</v>
      </c>
      <c r="EH46">
        <f t="shared" si="9"/>
        <v>0</v>
      </c>
      <c r="EI46">
        <f t="shared" si="9"/>
        <v>0</v>
      </c>
      <c r="EJ46">
        <f t="shared" si="9"/>
        <v>0</v>
      </c>
      <c r="EK46">
        <f t="shared" si="9"/>
        <v>0</v>
      </c>
      <c r="EL46">
        <f t="shared" si="9"/>
        <v>0</v>
      </c>
      <c r="EM46">
        <f t="shared" si="9"/>
        <v>0</v>
      </c>
      <c r="EN46">
        <f t="shared" si="9"/>
        <v>0</v>
      </c>
      <c r="EO46">
        <f t="shared" si="9"/>
        <v>0</v>
      </c>
      <c r="EP46">
        <f t="shared" si="9"/>
        <v>0</v>
      </c>
      <c r="EQ46">
        <f t="shared" si="9"/>
        <v>0</v>
      </c>
      <c r="ER46">
        <f t="shared" si="9"/>
        <v>0</v>
      </c>
      <c r="ES46">
        <f t="shared" si="9"/>
        <v>0</v>
      </c>
      <c r="ET46">
        <f t="shared" si="9"/>
        <v>0</v>
      </c>
      <c r="EU46">
        <f t="shared" si="9"/>
        <v>0</v>
      </c>
      <c r="EV46">
        <f t="shared" si="9"/>
        <v>0</v>
      </c>
      <c r="EW46">
        <f t="shared" si="9"/>
        <v>0</v>
      </c>
      <c r="EX46">
        <f t="shared" si="9"/>
        <v>0</v>
      </c>
      <c r="EY46">
        <f t="shared" si="9"/>
        <v>0</v>
      </c>
      <c r="EZ46">
        <f t="shared" si="9"/>
        <v>0</v>
      </c>
      <c r="FA46">
        <f t="shared" si="9"/>
        <v>0</v>
      </c>
      <c r="FB46">
        <f t="shared" si="9"/>
        <v>0</v>
      </c>
      <c r="FC46">
        <f t="shared" si="9"/>
        <v>0</v>
      </c>
      <c r="FD46">
        <f t="shared" si="9"/>
        <v>0</v>
      </c>
      <c r="FE46">
        <f t="shared" si="9"/>
        <v>0</v>
      </c>
      <c r="FF46">
        <f t="shared" si="9"/>
        <v>0</v>
      </c>
      <c r="FG46">
        <f t="shared" si="9"/>
        <v>0</v>
      </c>
      <c r="FH46">
        <f t="shared" si="9"/>
        <v>0</v>
      </c>
      <c r="FI46">
        <f t="shared" si="9"/>
        <v>0</v>
      </c>
      <c r="FJ46">
        <f t="shared" si="9"/>
        <v>0</v>
      </c>
      <c r="FK46">
        <f t="shared" si="9"/>
        <v>0</v>
      </c>
      <c r="FL46">
        <f t="shared" si="9"/>
        <v>0</v>
      </c>
      <c r="FM46">
        <f t="shared" si="9"/>
        <v>0</v>
      </c>
      <c r="FN46">
        <f t="shared" si="9"/>
        <v>0</v>
      </c>
      <c r="FO46">
        <f t="shared" si="9"/>
        <v>0</v>
      </c>
      <c r="FP46">
        <f t="shared" si="9"/>
        <v>0</v>
      </c>
      <c r="FQ46">
        <f t="shared" si="9"/>
        <v>0</v>
      </c>
      <c r="FR46">
        <f t="shared" si="9"/>
        <v>0</v>
      </c>
      <c r="FS46">
        <f t="shared" si="9"/>
        <v>0</v>
      </c>
      <c r="FT46">
        <f t="shared" si="9"/>
        <v>0</v>
      </c>
      <c r="FU46">
        <f t="shared" si="9"/>
        <v>0</v>
      </c>
    </row>
    <row r="47" spans="1:177" x14ac:dyDescent="0.25">
      <c r="A47" t="str">
        <f t="shared" ref="A47:D47" si="14">A7</f>
        <v>Dual Berettas</v>
      </c>
      <c r="B47" t="str">
        <f t="shared" si="14"/>
        <v>Emerald FN</v>
      </c>
      <c r="C47" t="str">
        <f t="shared" si="14"/>
        <v>Pistol</v>
      </c>
      <c r="D47" t="str">
        <f t="shared" si="14"/>
        <v>Canals</v>
      </c>
      <c r="E47">
        <f t="shared" si="11"/>
        <v>7.98</v>
      </c>
      <c r="F47">
        <f t="shared" si="13"/>
        <v>7.9399999999999995</v>
      </c>
      <c r="G47">
        <f t="shared" si="13"/>
        <v>7.7199999999999989</v>
      </c>
      <c r="H47">
        <f t="shared" si="13"/>
        <v>8.620000000000001</v>
      </c>
      <c r="I47">
        <f t="shared" si="13"/>
        <v>8.620000000000001</v>
      </c>
      <c r="J47">
        <f t="shared" si="13"/>
        <v>8.629999999999999</v>
      </c>
      <c r="K47">
        <f t="shared" si="13"/>
        <v>9.9600000000000009</v>
      </c>
      <c r="L47">
        <f t="shared" si="13"/>
        <v>12.840000000000002</v>
      </c>
      <c r="M47">
        <f t="shared" si="13"/>
        <v>13.61</v>
      </c>
      <c r="N47">
        <f t="shared" si="13"/>
        <v>18.010000000000002</v>
      </c>
      <c r="O47">
        <f t="shared" si="13"/>
        <v>21.18</v>
      </c>
      <c r="P47">
        <f t="shared" si="13"/>
        <v>17.299999999999997</v>
      </c>
      <c r="Q47">
        <f t="shared" si="13"/>
        <v>20.39</v>
      </c>
      <c r="R47">
        <f t="shared" si="13"/>
        <v>18.850000000000001</v>
      </c>
      <c r="S47">
        <f t="shared" si="13"/>
        <v>18.330000000000002</v>
      </c>
      <c r="T47">
        <f t="shared" si="13"/>
        <v>18.36</v>
      </c>
      <c r="U47">
        <f t="shared" si="13"/>
        <v>18.399999999999999</v>
      </c>
      <c r="V47">
        <f t="shared" si="13"/>
        <v>25.490000000000002</v>
      </c>
      <c r="W47">
        <f t="shared" si="13"/>
        <v>27.229999999999997</v>
      </c>
      <c r="X47">
        <f t="shared" si="13"/>
        <v>29.95</v>
      </c>
      <c r="Y47">
        <f t="shared" si="13"/>
        <v>28.02</v>
      </c>
      <c r="Z47">
        <f t="shared" si="13"/>
        <v>0</v>
      </c>
      <c r="AA47">
        <f t="shared" si="13"/>
        <v>0</v>
      </c>
      <c r="AB47">
        <f t="shared" si="13"/>
        <v>0</v>
      </c>
      <c r="AC47">
        <f t="shared" si="13"/>
        <v>0</v>
      </c>
      <c r="AD47">
        <f t="shared" si="13"/>
        <v>0</v>
      </c>
      <c r="AE47">
        <f t="shared" si="13"/>
        <v>0</v>
      </c>
      <c r="AF47">
        <f t="shared" si="13"/>
        <v>0</v>
      </c>
      <c r="AG47">
        <f t="shared" si="13"/>
        <v>0</v>
      </c>
      <c r="AH47">
        <f t="shared" si="13"/>
        <v>0</v>
      </c>
      <c r="AI47">
        <f t="shared" si="13"/>
        <v>0</v>
      </c>
      <c r="AJ47">
        <f t="shared" si="13"/>
        <v>0</v>
      </c>
      <c r="AK47">
        <f t="shared" si="13"/>
        <v>0</v>
      </c>
      <c r="AL47">
        <f t="shared" si="13"/>
        <v>0</v>
      </c>
      <c r="AM47">
        <f t="shared" si="13"/>
        <v>0</v>
      </c>
      <c r="AN47">
        <f t="shared" si="13"/>
        <v>0</v>
      </c>
      <c r="AO47">
        <f t="shared" si="13"/>
        <v>0</v>
      </c>
      <c r="AP47">
        <f t="shared" si="13"/>
        <v>0</v>
      </c>
      <c r="AQ47">
        <f t="shared" si="13"/>
        <v>0</v>
      </c>
      <c r="AR47">
        <f t="shared" si="13"/>
        <v>0</v>
      </c>
      <c r="AS47">
        <f t="shared" si="13"/>
        <v>0</v>
      </c>
      <c r="AT47">
        <f t="shared" si="13"/>
        <v>0</v>
      </c>
      <c r="AU47">
        <f t="shared" si="13"/>
        <v>0</v>
      </c>
      <c r="AV47">
        <f t="shared" si="13"/>
        <v>0</v>
      </c>
      <c r="AW47">
        <f t="shared" si="13"/>
        <v>0</v>
      </c>
      <c r="AX47">
        <f t="shared" si="13"/>
        <v>0</v>
      </c>
      <c r="AY47">
        <f t="shared" si="13"/>
        <v>0</v>
      </c>
      <c r="AZ47">
        <f t="shared" si="13"/>
        <v>0</v>
      </c>
      <c r="BA47">
        <f t="shared" si="13"/>
        <v>0</v>
      </c>
      <c r="BB47">
        <f t="shared" si="13"/>
        <v>0</v>
      </c>
      <c r="BC47">
        <f t="shared" si="13"/>
        <v>0</v>
      </c>
      <c r="BD47">
        <f t="shared" si="13"/>
        <v>0</v>
      </c>
      <c r="BE47">
        <f t="shared" si="13"/>
        <v>0</v>
      </c>
      <c r="BF47">
        <f t="shared" si="13"/>
        <v>0</v>
      </c>
      <c r="BG47">
        <f t="shared" si="13"/>
        <v>0</v>
      </c>
      <c r="BH47">
        <f t="shared" si="13"/>
        <v>0</v>
      </c>
      <c r="BI47">
        <f t="shared" si="13"/>
        <v>0</v>
      </c>
      <c r="BJ47">
        <f t="shared" si="13"/>
        <v>0</v>
      </c>
      <c r="BK47">
        <f t="shared" si="13"/>
        <v>0</v>
      </c>
      <c r="BL47">
        <f t="shared" si="13"/>
        <v>0</v>
      </c>
      <c r="BM47">
        <f t="shared" si="13"/>
        <v>0</v>
      </c>
      <c r="BN47">
        <f t="shared" si="13"/>
        <v>0</v>
      </c>
      <c r="BO47">
        <f t="shared" si="13"/>
        <v>0</v>
      </c>
      <c r="BP47">
        <f t="shared" si="13"/>
        <v>0</v>
      </c>
      <c r="BQ47">
        <f t="shared" si="13"/>
        <v>0</v>
      </c>
      <c r="BR47">
        <f t="shared" si="8"/>
        <v>0</v>
      </c>
      <c r="BS47">
        <f t="shared" si="8"/>
        <v>0</v>
      </c>
      <c r="BT47">
        <f t="shared" si="8"/>
        <v>0</v>
      </c>
      <c r="BU47">
        <f t="shared" si="8"/>
        <v>0</v>
      </c>
      <c r="BV47">
        <f t="shared" si="8"/>
        <v>0</v>
      </c>
      <c r="BW47">
        <f t="shared" si="8"/>
        <v>0</v>
      </c>
      <c r="BX47">
        <f t="shared" si="8"/>
        <v>0</v>
      </c>
      <c r="BY47">
        <f t="shared" si="8"/>
        <v>0</v>
      </c>
      <c r="BZ47">
        <f t="shared" si="8"/>
        <v>0</v>
      </c>
      <c r="CA47">
        <f t="shared" si="8"/>
        <v>0</v>
      </c>
      <c r="CB47">
        <f t="shared" si="8"/>
        <v>0</v>
      </c>
      <c r="CC47">
        <f t="shared" si="8"/>
        <v>0</v>
      </c>
      <c r="CD47">
        <f t="shared" si="8"/>
        <v>0</v>
      </c>
      <c r="CE47">
        <f t="shared" si="8"/>
        <v>0</v>
      </c>
      <c r="CF47">
        <f t="shared" si="8"/>
        <v>0</v>
      </c>
      <c r="CG47">
        <f t="shared" si="8"/>
        <v>0</v>
      </c>
      <c r="CH47">
        <f t="shared" si="8"/>
        <v>0</v>
      </c>
      <c r="CI47">
        <f t="shared" si="8"/>
        <v>0</v>
      </c>
      <c r="CJ47">
        <f t="shared" si="8"/>
        <v>0</v>
      </c>
      <c r="CK47">
        <f t="shared" si="8"/>
        <v>0</v>
      </c>
      <c r="CL47">
        <f t="shared" si="8"/>
        <v>0</v>
      </c>
      <c r="CM47">
        <f t="shared" si="8"/>
        <v>0</v>
      </c>
      <c r="CN47">
        <f t="shared" si="8"/>
        <v>0</v>
      </c>
      <c r="CO47">
        <f t="shared" si="8"/>
        <v>0</v>
      </c>
      <c r="CP47">
        <f t="shared" si="8"/>
        <v>0</v>
      </c>
      <c r="CQ47">
        <f t="shared" si="8"/>
        <v>0</v>
      </c>
      <c r="CR47">
        <f t="shared" si="8"/>
        <v>0</v>
      </c>
      <c r="CS47">
        <f t="shared" si="8"/>
        <v>0</v>
      </c>
      <c r="CT47">
        <f t="shared" si="8"/>
        <v>0</v>
      </c>
      <c r="CU47">
        <f t="shared" si="8"/>
        <v>0</v>
      </c>
      <c r="CV47">
        <f t="shared" si="8"/>
        <v>0</v>
      </c>
      <c r="CW47">
        <f t="shared" si="8"/>
        <v>0</v>
      </c>
      <c r="CX47">
        <f t="shared" si="8"/>
        <v>0</v>
      </c>
      <c r="CY47">
        <f t="shared" si="8"/>
        <v>0</v>
      </c>
      <c r="CZ47">
        <f t="shared" si="8"/>
        <v>0</v>
      </c>
      <c r="DA47">
        <f t="shared" si="8"/>
        <v>0</v>
      </c>
      <c r="DB47">
        <f t="shared" si="8"/>
        <v>0</v>
      </c>
      <c r="DC47">
        <f t="shared" si="8"/>
        <v>0</v>
      </c>
      <c r="DD47">
        <f t="shared" si="8"/>
        <v>0</v>
      </c>
      <c r="DE47">
        <f t="shared" si="8"/>
        <v>0</v>
      </c>
      <c r="DF47">
        <f t="shared" si="8"/>
        <v>0</v>
      </c>
      <c r="DG47">
        <f t="shared" si="8"/>
        <v>0</v>
      </c>
      <c r="DH47">
        <f t="shared" si="8"/>
        <v>0</v>
      </c>
      <c r="DI47">
        <f t="shared" si="8"/>
        <v>0</v>
      </c>
      <c r="DJ47">
        <f t="shared" si="8"/>
        <v>0</v>
      </c>
      <c r="DK47">
        <f t="shared" si="8"/>
        <v>0</v>
      </c>
      <c r="DL47">
        <f t="shared" si="8"/>
        <v>0</v>
      </c>
      <c r="DM47">
        <f t="shared" si="8"/>
        <v>0</v>
      </c>
      <c r="DN47">
        <f t="shared" si="8"/>
        <v>0</v>
      </c>
      <c r="DO47">
        <f t="shared" si="8"/>
        <v>0</v>
      </c>
      <c r="DP47">
        <f t="shared" si="8"/>
        <v>0</v>
      </c>
      <c r="DQ47">
        <f t="shared" si="8"/>
        <v>0</v>
      </c>
      <c r="DR47">
        <f t="shared" si="8"/>
        <v>0</v>
      </c>
      <c r="DS47">
        <f t="shared" si="8"/>
        <v>0</v>
      </c>
      <c r="DT47">
        <f t="shared" si="8"/>
        <v>0</v>
      </c>
      <c r="DU47">
        <f t="shared" si="8"/>
        <v>0</v>
      </c>
      <c r="DV47">
        <f t="shared" si="8"/>
        <v>0</v>
      </c>
      <c r="DW47">
        <f t="shared" si="8"/>
        <v>0</v>
      </c>
      <c r="DX47">
        <f t="shared" si="8"/>
        <v>0</v>
      </c>
      <c r="DY47">
        <f t="shared" si="8"/>
        <v>0</v>
      </c>
      <c r="DZ47">
        <f t="shared" si="8"/>
        <v>0</v>
      </c>
      <c r="EA47">
        <f t="shared" si="8"/>
        <v>0</v>
      </c>
      <c r="EB47">
        <f t="shared" si="8"/>
        <v>0</v>
      </c>
      <c r="EC47">
        <f t="shared" ref="EC47:FU52" si="15">EC7-ROUNDUP(EC7*0.3,2)</f>
        <v>0</v>
      </c>
      <c r="ED47">
        <f t="shared" si="15"/>
        <v>0</v>
      </c>
      <c r="EE47">
        <f t="shared" si="15"/>
        <v>0</v>
      </c>
      <c r="EF47">
        <f t="shared" si="15"/>
        <v>0</v>
      </c>
      <c r="EG47">
        <f t="shared" si="15"/>
        <v>0</v>
      </c>
      <c r="EH47">
        <f t="shared" si="15"/>
        <v>0</v>
      </c>
      <c r="EI47">
        <f t="shared" si="15"/>
        <v>0</v>
      </c>
      <c r="EJ47">
        <f t="shared" si="15"/>
        <v>0</v>
      </c>
      <c r="EK47">
        <f t="shared" si="15"/>
        <v>0</v>
      </c>
      <c r="EL47">
        <f t="shared" si="15"/>
        <v>0</v>
      </c>
      <c r="EM47">
        <f t="shared" si="15"/>
        <v>0</v>
      </c>
      <c r="EN47">
        <f t="shared" si="15"/>
        <v>0</v>
      </c>
      <c r="EO47">
        <f t="shared" si="15"/>
        <v>0</v>
      </c>
      <c r="EP47">
        <f t="shared" si="15"/>
        <v>0</v>
      </c>
      <c r="EQ47">
        <f t="shared" si="15"/>
        <v>0</v>
      </c>
      <c r="ER47">
        <f t="shared" si="15"/>
        <v>0</v>
      </c>
      <c r="ES47">
        <f t="shared" si="15"/>
        <v>0</v>
      </c>
      <c r="ET47">
        <f t="shared" si="15"/>
        <v>0</v>
      </c>
      <c r="EU47">
        <f t="shared" si="15"/>
        <v>0</v>
      </c>
      <c r="EV47">
        <f t="shared" si="15"/>
        <v>0</v>
      </c>
      <c r="EW47">
        <f t="shared" si="15"/>
        <v>0</v>
      </c>
      <c r="EX47">
        <f t="shared" si="15"/>
        <v>0</v>
      </c>
      <c r="EY47">
        <f t="shared" si="15"/>
        <v>0</v>
      </c>
      <c r="EZ47">
        <f t="shared" si="15"/>
        <v>0</v>
      </c>
      <c r="FA47">
        <f t="shared" si="15"/>
        <v>0</v>
      </c>
      <c r="FB47">
        <f t="shared" si="15"/>
        <v>0</v>
      </c>
      <c r="FC47">
        <f t="shared" si="15"/>
        <v>0</v>
      </c>
      <c r="FD47">
        <f t="shared" si="15"/>
        <v>0</v>
      </c>
      <c r="FE47">
        <f t="shared" si="15"/>
        <v>0</v>
      </c>
      <c r="FF47">
        <f t="shared" si="15"/>
        <v>0</v>
      </c>
      <c r="FG47">
        <f t="shared" si="15"/>
        <v>0</v>
      </c>
      <c r="FH47">
        <f t="shared" si="15"/>
        <v>0</v>
      </c>
      <c r="FI47">
        <f t="shared" si="15"/>
        <v>0</v>
      </c>
      <c r="FJ47">
        <f t="shared" si="15"/>
        <v>0</v>
      </c>
      <c r="FK47">
        <f t="shared" si="15"/>
        <v>0</v>
      </c>
      <c r="FL47">
        <f t="shared" si="15"/>
        <v>0</v>
      </c>
      <c r="FM47">
        <f t="shared" si="15"/>
        <v>0</v>
      </c>
      <c r="FN47">
        <f t="shared" si="15"/>
        <v>0</v>
      </c>
      <c r="FO47">
        <f t="shared" si="15"/>
        <v>0</v>
      </c>
      <c r="FP47">
        <f t="shared" si="15"/>
        <v>0</v>
      </c>
      <c r="FQ47">
        <f t="shared" si="15"/>
        <v>0</v>
      </c>
      <c r="FR47">
        <f t="shared" si="15"/>
        <v>0</v>
      </c>
      <c r="FS47">
        <f t="shared" si="15"/>
        <v>0</v>
      </c>
      <c r="FT47">
        <f t="shared" si="15"/>
        <v>0</v>
      </c>
      <c r="FU47">
        <f t="shared" si="15"/>
        <v>0</v>
      </c>
    </row>
    <row r="48" spans="1:177" x14ac:dyDescent="0.25">
      <c r="A48" t="str">
        <f t="shared" ref="A48:D48" si="16">A8</f>
        <v>Desert Eagle</v>
      </c>
      <c r="B48" t="str">
        <f t="shared" si="16"/>
        <v>Midnight Storm MW</v>
      </c>
      <c r="C48" t="str">
        <f t="shared" si="16"/>
        <v>Pistol</v>
      </c>
      <c r="D48" t="str">
        <f t="shared" si="16"/>
        <v>Rising Sun</v>
      </c>
      <c r="E48">
        <f t="shared" si="11"/>
        <v>6.3900000000000006</v>
      </c>
      <c r="F48">
        <f t="shared" si="13"/>
        <v>6.3199999999999994</v>
      </c>
      <c r="G48">
        <f t="shared" si="13"/>
        <v>6.0500000000000007</v>
      </c>
      <c r="H48">
        <f t="shared" si="13"/>
        <v>6.6900000000000013</v>
      </c>
      <c r="I48">
        <f t="shared" si="13"/>
        <v>6.3</v>
      </c>
      <c r="J48">
        <f t="shared" si="13"/>
        <v>7.0500000000000007</v>
      </c>
      <c r="K48">
        <f t="shared" si="13"/>
        <v>6.3699999999999992</v>
      </c>
      <c r="L48">
        <f t="shared" si="13"/>
        <v>6.72</v>
      </c>
      <c r="M48">
        <f t="shared" si="13"/>
        <v>6.7</v>
      </c>
      <c r="N48">
        <f t="shared" si="13"/>
        <v>6.6300000000000008</v>
      </c>
      <c r="O48">
        <f t="shared" si="13"/>
        <v>7.9399999999999995</v>
      </c>
      <c r="P48">
        <f t="shared" si="13"/>
        <v>8.629999999999999</v>
      </c>
      <c r="Q48">
        <f t="shared" si="13"/>
        <v>8.5400000000000009</v>
      </c>
      <c r="R48">
        <f t="shared" si="13"/>
        <v>8.3800000000000008</v>
      </c>
      <c r="S48">
        <f t="shared" si="13"/>
        <v>8.4400000000000013</v>
      </c>
      <c r="T48">
        <f t="shared" si="13"/>
        <v>8.24</v>
      </c>
      <c r="U48">
        <f t="shared" si="13"/>
        <v>8.5399999999999991</v>
      </c>
      <c r="V48">
        <f t="shared" si="13"/>
        <v>8.4699999999999989</v>
      </c>
      <c r="W48">
        <f t="shared" si="13"/>
        <v>9.59</v>
      </c>
      <c r="X48">
        <f t="shared" si="13"/>
        <v>9.33</v>
      </c>
      <c r="Y48">
        <f t="shared" si="13"/>
        <v>9.34</v>
      </c>
      <c r="Z48">
        <f t="shared" si="13"/>
        <v>0</v>
      </c>
      <c r="AA48">
        <f t="shared" si="13"/>
        <v>0</v>
      </c>
      <c r="AB48">
        <f t="shared" si="13"/>
        <v>0</v>
      </c>
      <c r="AC48">
        <f t="shared" si="13"/>
        <v>0</v>
      </c>
      <c r="AD48">
        <f t="shared" si="13"/>
        <v>0</v>
      </c>
      <c r="AE48">
        <f t="shared" si="13"/>
        <v>0</v>
      </c>
      <c r="AF48">
        <f t="shared" si="13"/>
        <v>0</v>
      </c>
      <c r="AG48">
        <f t="shared" si="13"/>
        <v>0</v>
      </c>
      <c r="AH48">
        <f t="shared" si="13"/>
        <v>0</v>
      </c>
      <c r="AI48">
        <f t="shared" si="13"/>
        <v>0</v>
      </c>
      <c r="AJ48">
        <f t="shared" si="13"/>
        <v>0</v>
      </c>
      <c r="AK48">
        <f t="shared" si="13"/>
        <v>0</v>
      </c>
      <c r="AL48">
        <f t="shared" si="13"/>
        <v>0</v>
      </c>
      <c r="AM48">
        <f t="shared" si="13"/>
        <v>0</v>
      </c>
      <c r="AN48">
        <f t="shared" si="13"/>
        <v>0</v>
      </c>
      <c r="AO48">
        <f t="shared" si="13"/>
        <v>0</v>
      </c>
      <c r="AP48">
        <f t="shared" si="13"/>
        <v>0</v>
      </c>
      <c r="AQ48">
        <f t="shared" si="13"/>
        <v>0</v>
      </c>
      <c r="AR48">
        <f t="shared" si="13"/>
        <v>0</v>
      </c>
      <c r="AS48">
        <f t="shared" si="13"/>
        <v>0</v>
      </c>
      <c r="AT48">
        <f t="shared" si="13"/>
        <v>0</v>
      </c>
      <c r="AU48">
        <f t="shared" si="13"/>
        <v>0</v>
      </c>
      <c r="AV48">
        <f t="shared" si="13"/>
        <v>0</v>
      </c>
      <c r="AW48">
        <f t="shared" si="13"/>
        <v>0</v>
      </c>
      <c r="AX48">
        <f t="shared" si="13"/>
        <v>0</v>
      </c>
      <c r="AY48">
        <f t="shared" si="13"/>
        <v>0</v>
      </c>
      <c r="AZ48">
        <f t="shared" si="13"/>
        <v>0</v>
      </c>
      <c r="BA48">
        <f t="shared" si="13"/>
        <v>0</v>
      </c>
      <c r="BB48">
        <f t="shared" si="13"/>
        <v>0</v>
      </c>
      <c r="BC48">
        <f t="shared" si="13"/>
        <v>0</v>
      </c>
      <c r="BD48">
        <f t="shared" si="13"/>
        <v>0</v>
      </c>
      <c r="BE48">
        <f t="shared" si="13"/>
        <v>0</v>
      </c>
      <c r="BF48">
        <f t="shared" si="13"/>
        <v>0</v>
      </c>
      <c r="BG48">
        <f t="shared" si="13"/>
        <v>0</v>
      </c>
      <c r="BH48">
        <f t="shared" si="13"/>
        <v>0</v>
      </c>
      <c r="BI48">
        <f t="shared" si="13"/>
        <v>0</v>
      </c>
      <c r="BJ48">
        <f t="shared" si="13"/>
        <v>0</v>
      </c>
      <c r="BK48">
        <f t="shared" si="13"/>
        <v>0</v>
      </c>
      <c r="BL48">
        <f t="shared" si="13"/>
        <v>0</v>
      </c>
      <c r="BM48">
        <f t="shared" si="13"/>
        <v>0</v>
      </c>
      <c r="BN48">
        <f t="shared" si="13"/>
        <v>0</v>
      </c>
      <c r="BO48">
        <f t="shared" si="13"/>
        <v>0</v>
      </c>
      <c r="BP48">
        <f t="shared" si="13"/>
        <v>0</v>
      </c>
      <c r="BQ48">
        <f t="shared" si="13"/>
        <v>0</v>
      </c>
      <c r="BR48">
        <f t="shared" ref="BR48:EC63" si="17">BR8-ROUNDUP(BR8*0.3,2)</f>
        <v>0</v>
      </c>
      <c r="BS48">
        <f t="shared" si="17"/>
        <v>0</v>
      </c>
      <c r="BT48">
        <f t="shared" si="17"/>
        <v>0</v>
      </c>
      <c r="BU48">
        <f t="shared" si="17"/>
        <v>0</v>
      </c>
      <c r="BV48">
        <f t="shared" si="17"/>
        <v>0</v>
      </c>
      <c r="BW48">
        <f t="shared" si="17"/>
        <v>0</v>
      </c>
      <c r="BX48">
        <f t="shared" si="17"/>
        <v>0</v>
      </c>
      <c r="BY48">
        <f t="shared" si="17"/>
        <v>0</v>
      </c>
      <c r="BZ48">
        <f t="shared" si="17"/>
        <v>0</v>
      </c>
      <c r="CA48">
        <f t="shared" si="17"/>
        <v>0</v>
      </c>
      <c r="CB48">
        <f t="shared" si="17"/>
        <v>0</v>
      </c>
      <c r="CC48">
        <f t="shared" si="17"/>
        <v>0</v>
      </c>
      <c r="CD48">
        <f t="shared" si="17"/>
        <v>0</v>
      </c>
      <c r="CE48">
        <f t="shared" si="17"/>
        <v>0</v>
      </c>
      <c r="CF48">
        <f t="shared" si="17"/>
        <v>0</v>
      </c>
      <c r="CG48">
        <f t="shared" si="17"/>
        <v>0</v>
      </c>
      <c r="CH48">
        <f t="shared" si="17"/>
        <v>0</v>
      </c>
      <c r="CI48">
        <f t="shared" si="17"/>
        <v>0</v>
      </c>
      <c r="CJ48">
        <f t="shared" si="17"/>
        <v>0</v>
      </c>
      <c r="CK48">
        <f t="shared" si="17"/>
        <v>0</v>
      </c>
      <c r="CL48">
        <f t="shared" si="17"/>
        <v>0</v>
      </c>
      <c r="CM48">
        <f t="shared" si="17"/>
        <v>0</v>
      </c>
      <c r="CN48">
        <f t="shared" si="17"/>
        <v>0</v>
      </c>
      <c r="CO48">
        <f t="shared" si="17"/>
        <v>0</v>
      </c>
      <c r="CP48">
        <f t="shared" si="17"/>
        <v>0</v>
      </c>
      <c r="CQ48">
        <f t="shared" si="17"/>
        <v>0</v>
      </c>
      <c r="CR48">
        <f t="shared" si="17"/>
        <v>0</v>
      </c>
      <c r="CS48">
        <f t="shared" si="17"/>
        <v>0</v>
      </c>
      <c r="CT48">
        <f t="shared" si="17"/>
        <v>0</v>
      </c>
      <c r="CU48">
        <f t="shared" si="17"/>
        <v>0</v>
      </c>
      <c r="CV48">
        <f t="shared" si="17"/>
        <v>0</v>
      </c>
      <c r="CW48">
        <f t="shared" si="17"/>
        <v>0</v>
      </c>
      <c r="CX48">
        <f t="shared" si="17"/>
        <v>0</v>
      </c>
      <c r="CY48">
        <f t="shared" si="17"/>
        <v>0</v>
      </c>
      <c r="CZ48">
        <f t="shared" si="17"/>
        <v>0</v>
      </c>
      <c r="DA48">
        <f t="shared" si="17"/>
        <v>0</v>
      </c>
      <c r="DB48">
        <f t="shared" si="17"/>
        <v>0</v>
      </c>
      <c r="DC48">
        <f t="shared" si="17"/>
        <v>0</v>
      </c>
      <c r="DD48">
        <f t="shared" si="17"/>
        <v>0</v>
      </c>
      <c r="DE48">
        <f t="shared" si="17"/>
        <v>0</v>
      </c>
      <c r="DF48">
        <f t="shared" si="17"/>
        <v>0</v>
      </c>
      <c r="DG48">
        <f t="shared" si="17"/>
        <v>0</v>
      </c>
      <c r="DH48">
        <f t="shared" si="17"/>
        <v>0</v>
      </c>
      <c r="DI48">
        <f t="shared" si="17"/>
        <v>0</v>
      </c>
      <c r="DJ48">
        <f t="shared" si="17"/>
        <v>0</v>
      </c>
      <c r="DK48">
        <f t="shared" si="17"/>
        <v>0</v>
      </c>
      <c r="DL48">
        <f t="shared" si="17"/>
        <v>0</v>
      </c>
      <c r="DM48">
        <f t="shared" si="17"/>
        <v>0</v>
      </c>
      <c r="DN48">
        <f t="shared" si="17"/>
        <v>0</v>
      </c>
      <c r="DO48">
        <f t="shared" si="17"/>
        <v>0</v>
      </c>
      <c r="DP48">
        <f t="shared" si="17"/>
        <v>0</v>
      </c>
      <c r="DQ48">
        <f t="shared" si="17"/>
        <v>0</v>
      </c>
      <c r="DR48">
        <f t="shared" si="17"/>
        <v>0</v>
      </c>
      <c r="DS48">
        <f t="shared" si="17"/>
        <v>0</v>
      </c>
      <c r="DT48">
        <f t="shared" si="17"/>
        <v>0</v>
      </c>
      <c r="DU48">
        <f t="shared" si="17"/>
        <v>0</v>
      </c>
      <c r="DV48">
        <f t="shared" si="17"/>
        <v>0</v>
      </c>
      <c r="DW48">
        <f t="shared" si="17"/>
        <v>0</v>
      </c>
      <c r="DX48">
        <f t="shared" si="17"/>
        <v>0</v>
      </c>
      <c r="DY48">
        <f t="shared" si="17"/>
        <v>0</v>
      </c>
      <c r="DZ48">
        <f t="shared" si="17"/>
        <v>0</v>
      </c>
      <c r="EA48">
        <f t="shared" si="17"/>
        <v>0</v>
      </c>
      <c r="EB48">
        <f t="shared" si="17"/>
        <v>0</v>
      </c>
      <c r="EC48">
        <f t="shared" si="17"/>
        <v>0</v>
      </c>
      <c r="ED48">
        <f t="shared" si="15"/>
        <v>0</v>
      </c>
      <c r="EE48">
        <f t="shared" si="15"/>
        <v>0</v>
      </c>
      <c r="EF48">
        <f t="shared" si="15"/>
        <v>0</v>
      </c>
      <c r="EG48">
        <f t="shared" si="15"/>
        <v>0</v>
      </c>
      <c r="EH48">
        <f t="shared" si="15"/>
        <v>0</v>
      </c>
      <c r="EI48">
        <f t="shared" si="15"/>
        <v>0</v>
      </c>
      <c r="EJ48">
        <f t="shared" si="15"/>
        <v>0</v>
      </c>
      <c r="EK48">
        <f t="shared" si="15"/>
        <v>0</v>
      </c>
      <c r="EL48">
        <f t="shared" si="15"/>
        <v>0</v>
      </c>
      <c r="EM48">
        <f t="shared" si="15"/>
        <v>0</v>
      </c>
      <c r="EN48">
        <f t="shared" si="15"/>
        <v>0</v>
      </c>
      <c r="EO48">
        <f t="shared" si="15"/>
        <v>0</v>
      </c>
      <c r="EP48">
        <f t="shared" si="15"/>
        <v>0</v>
      </c>
      <c r="EQ48">
        <f t="shared" si="15"/>
        <v>0</v>
      </c>
      <c r="ER48">
        <f t="shared" si="15"/>
        <v>0</v>
      </c>
      <c r="ES48">
        <f t="shared" si="15"/>
        <v>0</v>
      </c>
      <c r="ET48">
        <f t="shared" si="15"/>
        <v>0</v>
      </c>
      <c r="EU48">
        <f t="shared" si="15"/>
        <v>0</v>
      </c>
      <c r="EV48">
        <f t="shared" si="15"/>
        <v>0</v>
      </c>
      <c r="EW48">
        <f t="shared" si="15"/>
        <v>0</v>
      </c>
      <c r="EX48">
        <f t="shared" si="15"/>
        <v>0</v>
      </c>
      <c r="EY48">
        <f t="shared" si="15"/>
        <v>0</v>
      </c>
      <c r="EZ48">
        <f t="shared" si="15"/>
        <v>0</v>
      </c>
      <c r="FA48">
        <f t="shared" si="15"/>
        <v>0</v>
      </c>
      <c r="FB48">
        <f t="shared" si="15"/>
        <v>0</v>
      </c>
      <c r="FC48">
        <f t="shared" si="15"/>
        <v>0</v>
      </c>
      <c r="FD48">
        <f t="shared" si="15"/>
        <v>0</v>
      </c>
      <c r="FE48">
        <f t="shared" si="15"/>
        <v>0</v>
      </c>
      <c r="FF48">
        <f t="shared" si="15"/>
        <v>0</v>
      </c>
      <c r="FG48">
        <f t="shared" si="15"/>
        <v>0</v>
      </c>
      <c r="FH48">
        <f t="shared" si="15"/>
        <v>0</v>
      </c>
      <c r="FI48">
        <f t="shared" si="15"/>
        <v>0</v>
      </c>
      <c r="FJ48">
        <f t="shared" si="15"/>
        <v>0</v>
      </c>
      <c r="FK48">
        <f t="shared" si="15"/>
        <v>0</v>
      </c>
      <c r="FL48">
        <f t="shared" si="15"/>
        <v>0</v>
      </c>
      <c r="FM48">
        <f t="shared" si="15"/>
        <v>0</v>
      </c>
      <c r="FN48">
        <f t="shared" si="15"/>
        <v>0</v>
      </c>
      <c r="FO48">
        <f t="shared" si="15"/>
        <v>0</v>
      </c>
      <c r="FP48">
        <f t="shared" si="15"/>
        <v>0</v>
      </c>
      <c r="FQ48">
        <f t="shared" si="15"/>
        <v>0</v>
      </c>
      <c r="FR48">
        <f t="shared" si="15"/>
        <v>0</v>
      </c>
      <c r="FS48">
        <f t="shared" si="15"/>
        <v>0</v>
      </c>
      <c r="FT48">
        <f t="shared" si="15"/>
        <v>0</v>
      </c>
      <c r="FU48">
        <f t="shared" si="15"/>
        <v>0</v>
      </c>
    </row>
    <row r="49" spans="1:177" x14ac:dyDescent="0.25">
      <c r="A49" t="str">
        <f t="shared" ref="A49:D49" si="18">A9</f>
        <v>R8 Revolver</v>
      </c>
      <c r="B49" t="str">
        <f t="shared" si="18"/>
        <v>Canal Spray FT</v>
      </c>
      <c r="C49" t="str">
        <f t="shared" si="18"/>
        <v>Pistol</v>
      </c>
      <c r="D49" t="str">
        <f t="shared" si="18"/>
        <v>Canals</v>
      </c>
      <c r="E49">
        <f t="shared" si="11"/>
        <v>0.27999999999999997</v>
      </c>
      <c r="F49">
        <f t="shared" si="13"/>
        <v>0.3</v>
      </c>
      <c r="G49">
        <f t="shared" si="13"/>
        <v>0.27999999999999997</v>
      </c>
      <c r="H49">
        <f t="shared" si="13"/>
        <v>0.27999999999999997</v>
      </c>
      <c r="I49">
        <f t="shared" si="13"/>
        <v>0.32</v>
      </c>
      <c r="J49">
        <f t="shared" si="13"/>
        <v>0.33999999999999997</v>
      </c>
      <c r="K49">
        <f t="shared" si="13"/>
        <v>0.37</v>
      </c>
      <c r="L49">
        <f t="shared" si="13"/>
        <v>0.37</v>
      </c>
      <c r="M49">
        <f t="shared" si="13"/>
        <v>0.42</v>
      </c>
      <c r="N49">
        <f t="shared" si="13"/>
        <v>0.42</v>
      </c>
      <c r="O49">
        <f t="shared" si="13"/>
        <v>0.56000000000000005</v>
      </c>
      <c r="P49">
        <f t="shared" si="13"/>
        <v>0.54</v>
      </c>
      <c r="Q49">
        <f t="shared" si="13"/>
        <v>0.49</v>
      </c>
      <c r="R49">
        <f t="shared" si="13"/>
        <v>0.45</v>
      </c>
      <c r="S49">
        <f t="shared" si="13"/>
        <v>0.42</v>
      </c>
      <c r="T49">
        <f t="shared" si="13"/>
        <v>0.3899999999999999</v>
      </c>
      <c r="U49">
        <f t="shared" si="13"/>
        <v>0.38</v>
      </c>
      <c r="V49">
        <f t="shared" si="13"/>
        <v>0.43</v>
      </c>
      <c r="W49">
        <f t="shared" si="13"/>
        <v>0.44</v>
      </c>
      <c r="X49">
        <f t="shared" si="13"/>
        <v>0.51</v>
      </c>
      <c r="Y49">
        <f t="shared" si="13"/>
        <v>0.6</v>
      </c>
      <c r="Z49">
        <f t="shared" si="13"/>
        <v>0</v>
      </c>
      <c r="AA49">
        <f t="shared" si="13"/>
        <v>0</v>
      </c>
      <c r="AB49">
        <f t="shared" si="13"/>
        <v>0</v>
      </c>
      <c r="AC49">
        <f t="shared" si="13"/>
        <v>0</v>
      </c>
      <c r="AD49">
        <f t="shared" si="13"/>
        <v>0</v>
      </c>
      <c r="AE49">
        <f t="shared" si="13"/>
        <v>0</v>
      </c>
      <c r="AF49">
        <f t="shared" si="13"/>
        <v>0</v>
      </c>
      <c r="AG49">
        <f t="shared" si="13"/>
        <v>0</v>
      </c>
      <c r="AH49">
        <f t="shared" si="13"/>
        <v>0</v>
      </c>
      <c r="AI49">
        <f t="shared" si="13"/>
        <v>0</v>
      </c>
      <c r="AJ49">
        <f t="shared" si="13"/>
        <v>0</v>
      </c>
      <c r="AK49">
        <f t="shared" si="13"/>
        <v>0</v>
      </c>
      <c r="AL49">
        <f t="shared" si="13"/>
        <v>0</v>
      </c>
      <c r="AM49">
        <f t="shared" si="13"/>
        <v>0</v>
      </c>
      <c r="AN49">
        <f t="shared" si="13"/>
        <v>0</v>
      </c>
      <c r="AO49">
        <f t="shared" si="13"/>
        <v>0</v>
      </c>
      <c r="AP49">
        <f t="shared" si="13"/>
        <v>0</v>
      </c>
      <c r="AQ49">
        <f t="shared" si="13"/>
        <v>0</v>
      </c>
      <c r="AR49">
        <f t="shared" si="13"/>
        <v>0</v>
      </c>
      <c r="AS49">
        <f t="shared" si="13"/>
        <v>0</v>
      </c>
      <c r="AT49">
        <f t="shared" si="13"/>
        <v>0</v>
      </c>
      <c r="AU49">
        <f t="shared" si="13"/>
        <v>0</v>
      </c>
      <c r="AV49">
        <f t="shared" si="13"/>
        <v>0</v>
      </c>
      <c r="AW49">
        <f t="shared" si="13"/>
        <v>0</v>
      </c>
      <c r="AX49">
        <f t="shared" si="13"/>
        <v>0</v>
      </c>
      <c r="AY49">
        <f t="shared" si="13"/>
        <v>0</v>
      </c>
      <c r="AZ49">
        <f t="shared" si="13"/>
        <v>0</v>
      </c>
      <c r="BA49">
        <f t="shared" si="13"/>
        <v>0</v>
      </c>
      <c r="BB49">
        <f t="shared" si="13"/>
        <v>0</v>
      </c>
      <c r="BC49">
        <f t="shared" si="13"/>
        <v>0</v>
      </c>
      <c r="BD49">
        <f t="shared" si="13"/>
        <v>0</v>
      </c>
      <c r="BE49">
        <f t="shared" si="13"/>
        <v>0</v>
      </c>
      <c r="BF49">
        <f t="shared" si="13"/>
        <v>0</v>
      </c>
      <c r="BG49">
        <f t="shared" si="13"/>
        <v>0</v>
      </c>
      <c r="BH49">
        <f t="shared" si="13"/>
        <v>0</v>
      </c>
      <c r="BI49">
        <f t="shared" si="13"/>
        <v>0</v>
      </c>
      <c r="BJ49">
        <f t="shared" si="13"/>
        <v>0</v>
      </c>
      <c r="BK49">
        <f t="shared" si="13"/>
        <v>0</v>
      </c>
      <c r="BL49">
        <f t="shared" si="13"/>
        <v>0</v>
      </c>
      <c r="BM49">
        <f t="shared" si="13"/>
        <v>0</v>
      </c>
      <c r="BN49">
        <f t="shared" si="13"/>
        <v>0</v>
      </c>
      <c r="BO49">
        <f t="shared" si="13"/>
        <v>0</v>
      </c>
      <c r="BP49">
        <f t="shared" si="13"/>
        <v>0</v>
      </c>
      <c r="BQ49">
        <f t="shared" ref="BQ49:EB52" si="19">BQ9-ROUNDUP(BQ9*0.3,2)</f>
        <v>0</v>
      </c>
      <c r="BR49">
        <f t="shared" si="19"/>
        <v>0</v>
      </c>
      <c r="BS49">
        <f t="shared" si="19"/>
        <v>0</v>
      </c>
      <c r="BT49">
        <f t="shared" si="19"/>
        <v>0</v>
      </c>
      <c r="BU49">
        <f t="shared" si="19"/>
        <v>0</v>
      </c>
      <c r="BV49">
        <f t="shared" si="19"/>
        <v>0</v>
      </c>
      <c r="BW49">
        <f t="shared" si="19"/>
        <v>0</v>
      </c>
      <c r="BX49">
        <f t="shared" si="19"/>
        <v>0</v>
      </c>
      <c r="BY49">
        <f t="shared" si="19"/>
        <v>0</v>
      </c>
      <c r="BZ49">
        <f t="shared" si="19"/>
        <v>0</v>
      </c>
      <c r="CA49">
        <f t="shared" si="19"/>
        <v>0</v>
      </c>
      <c r="CB49">
        <f t="shared" si="19"/>
        <v>0</v>
      </c>
      <c r="CC49">
        <f t="shared" si="19"/>
        <v>0</v>
      </c>
      <c r="CD49">
        <f t="shared" si="19"/>
        <v>0</v>
      </c>
      <c r="CE49">
        <f t="shared" si="19"/>
        <v>0</v>
      </c>
      <c r="CF49">
        <f t="shared" si="19"/>
        <v>0</v>
      </c>
      <c r="CG49">
        <f t="shared" si="19"/>
        <v>0</v>
      </c>
      <c r="CH49">
        <f t="shared" si="19"/>
        <v>0</v>
      </c>
      <c r="CI49">
        <f t="shared" si="19"/>
        <v>0</v>
      </c>
      <c r="CJ49">
        <f t="shared" si="19"/>
        <v>0</v>
      </c>
      <c r="CK49">
        <f t="shared" si="19"/>
        <v>0</v>
      </c>
      <c r="CL49">
        <f t="shared" si="19"/>
        <v>0</v>
      </c>
      <c r="CM49">
        <f t="shared" si="19"/>
        <v>0</v>
      </c>
      <c r="CN49">
        <f t="shared" si="19"/>
        <v>0</v>
      </c>
      <c r="CO49">
        <f t="shared" si="19"/>
        <v>0</v>
      </c>
      <c r="CP49">
        <f t="shared" si="19"/>
        <v>0</v>
      </c>
      <c r="CQ49">
        <f t="shared" si="19"/>
        <v>0</v>
      </c>
      <c r="CR49">
        <f t="shared" si="19"/>
        <v>0</v>
      </c>
      <c r="CS49">
        <f t="shared" si="19"/>
        <v>0</v>
      </c>
      <c r="CT49">
        <f t="shared" si="19"/>
        <v>0</v>
      </c>
      <c r="CU49">
        <f t="shared" si="19"/>
        <v>0</v>
      </c>
      <c r="CV49">
        <f t="shared" si="19"/>
        <v>0</v>
      </c>
      <c r="CW49">
        <f t="shared" si="19"/>
        <v>0</v>
      </c>
      <c r="CX49">
        <f t="shared" si="19"/>
        <v>0</v>
      </c>
      <c r="CY49">
        <f t="shared" si="19"/>
        <v>0</v>
      </c>
      <c r="CZ49">
        <f t="shared" si="19"/>
        <v>0</v>
      </c>
      <c r="DA49">
        <f t="shared" si="19"/>
        <v>0</v>
      </c>
      <c r="DB49">
        <f t="shared" si="19"/>
        <v>0</v>
      </c>
      <c r="DC49">
        <f t="shared" si="19"/>
        <v>0</v>
      </c>
      <c r="DD49">
        <f t="shared" si="19"/>
        <v>0</v>
      </c>
      <c r="DE49">
        <f t="shared" si="19"/>
        <v>0</v>
      </c>
      <c r="DF49">
        <f t="shared" si="19"/>
        <v>0</v>
      </c>
      <c r="DG49">
        <f t="shared" si="19"/>
        <v>0</v>
      </c>
      <c r="DH49">
        <f t="shared" si="19"/>
        <v>0</v>
      </c>
      <c r="DI49">
        <f t="shared" si="19"/>
        <v>0</v>
      </c>
      <c r="DJ49">
        <f t="shared" si="19"/>
        <v>0</v>
      </c>
      <c r="DK49">
        <f t="shared" si="19"/>
        <v>0</v>
      </c>
      <c r="DL49">
        <f t="shared" si="19"/>
        <v>0</v>
      </c>
      <c r="DM49">
        <f t="shared" si="19"/>
        <v>0</v>
      </c>
      <c r="DN49">
        <f t="shared" si="19"/>
        <v>0</v>
      </c>
      <c r="DO49">
        <f t="shared" si="19"/>
        <v>0</v>
      </c>
      <c r="DP49">
        <f t="shared" si="19"/>
        <v>0</v>
      </c>
      <c r="DQ49">
        <f t="shared" si="19"/>
        <v>0</v>
      </c>
      <c r="DR49">
        <f t="shared" si="19"/>
        <v>0</v>
      </c>
      <c r="DS49">
        <f t="shared" si="19"/>
        <v>0</v>
      </c>
      <c r="DT49">
        <f t="shared" si="19"/>
        <v>0</v>
      </c>
      <c r="DU49">
        <f t="shared" si="19"/>
        <v>0</v>
      </c>
      <c r="DV49">
        <f t="shared" si="19"/>
        <v>0</v>
      </c>
      <c r="DW49">
        <f t="shared" si="19"/>
        <v>0</v>
      </c>
      <c r="DX49">
        <f t="shared" si="19"/>
        <v>0</v>
      </c>
      <c r="DY49">
        <f t="shared" si="19"/>
        <v>0</v>
      </c>
      <c r="DZ49">
        <f t="shared" si="19"/>
        <v>0</v>
      </c>
      <c r="EA49">
        <f t="shared" si="19"/>
        <v>0</v>
      </c>
      <c r="EB49">
        <f t="shared" si="19"/>
        <v>0</v>
      </c>
      <c r="EC49">
        <f t="shared" si="17"/>
        <v>0</v>
      </c>
      <c r="ED49">
        <f t="shared" si="15"/>
        <v>0</v>
      </c>
      <c r="EE49">
        <f t="shared" si="15"/>
        <v>0</v>
      </c>
      <c r="EF49">
        <f t="shared" si="15"/>
        <v>0</v>
      </c>
      <c r="EG49">
        <f t="shared" si="15"/>
        <v>0</v>
      </c>
      <c r="EH49">
        <f t="shared" si="15"/>
        <v>0</v>
      </c>
      <c r="EI49">
        <f t="shared" si="15"/>
        <v>0</v>
      </c>
      <c r="EJ49">
        <f t="shared" si="15"/>
        <v>0</v>
      </c>
      <c r="EK49">
        <f t="shared" si="15"/>
        <v>0</v>
      </c>
      <c r="EL49">
        <f t="shared" si="15"/>
        <v>0</v>
      </c>
      <c r="EM49">
        <f t="shared" si="15"/>
        <v>0</v>
      </c>
      <c r="EN49">
        <f t="shared" si="15"/>
        <v>0</v>
      </c>
      <c r="EO49">
        <f t="shared" si="15"/>
        <v>0</v>
      </c>
      <c r="EP49">
        <f t="shared" si="15"/>
        <v>0</v>
      </c>
      <c r="EQ49">
        <f t="shared" si="15"/>
        <v>0</v>
      </c>
      <c r="ER49">
        <f t="shared" si="15"/>
        <v>0</v>
      </c>
      <c r="ES49">
        <f t="shared" si="15"/>
        <v>0</v>
      </c>
      <c r="ET49">
        <f t="shared" si="15"/>
        <v>0</v>
      </c>
      <c r="EU49">
        <f t="shared" si="15"/>
        <v>0</v>
      </c>
      <c r="EV49">
        <f t="shared" si="15"/>
        <v>0</v>
      </c>
      <c r="EW49">
        <f t="shared" si="15"/>
        <v>0</v>
      </c>
      <c r="EX49">
        <f t="shared" si="15"/>
        <v>0</v>
      </c>
      <c r="EY49">
        <f t="shared" si="15"/>
        <v>0</v>
      </c>
      <c r="EZ49">
        <f t="shared" si="15"/>
        <v>0</v>
      </c>
      <c r="FA49">
        <f t="shared" si="15"/>
        <v>0</v>
      </c>
      <c r="FB49">
        <f t="shared" si="15"/>
        <v>0</v>
      </c>
      <c r="FC49">
        <f t="shared" si="15"/>
        <v>0</v>
      </c>
      <c r="FD49">
        <f t="shared" si="15"/>
        <v>0</v>
      </c>
      <c r="FE49">
        <f t="shared" si="15"/>
        <v>0</v>
      </c>
      <c r="FF49">
        <f t="shared" si="15"/>
        <v>0</v>
      </c>
      <c r="FG49">
        <f t="shared" si="15"/>
        <v>0</v>
      </c>
      <c r="FH49">
        <f t="shared" si="15"/>
        <v>0</v>
      </c>
      <c r="FI49">
        <f t="shared" si="15"/>
        <v>0</v>
      </c>
      <c r="FJ49">
        <f t="shared" si="15"/>
        <v>0</v>
      </c>
      <c r="FK49">
        <f t="shared" si="15"/>
        <v>0</v>
      </c>
      <c r="FL49">
        <f t="shared" si="15"/>
        <v>0</v>
      </c>
      <c r="FM49">
        <f t="shared" si="15"/>
        <v>0</v>
      </c>
      <c r="FN49">
        <f t="shared" si="15"/>
        <v>0</v>
      </c>
      <c r="FO49">
        <f t="shared" si="15"/>
        <v>0</v>
      </c>
      <c r="FP49">
        <f t="shared" si="15"/>
        <v>0</v>
      </c>
      <c r="FQ49">
        <f t="shared" si="15"/>
        <v>0</v>
      </c>
      <c r="FR49">
        <f t="shared" si="15"/>
        <v>0</v>
      </c>
      <c r="FS49">
        <f t="shared" si="15"/>
        <v>0</v>
      </c>
      <c r="FT49">
        <f t="shared" si="15"/>
        <v>0</v>
      </c>
      <c r="FU49">
        <f t="shared" si="15"/>
        <v>0</v>
      </c>
    </row>
    <row r="50" spans="1:177" x14ac:dyDescent="0.25">
      <c r="A50" t="str">
        <f t="shared" ref="A50:D50" si="20">A10</f>
        <v>Five-SeveN</v>
      </c>
      <c r="B50" t="str">
        <f t="shared" si="20"/>
        <v>StatTrak Buddy MW</v>
      </c>
      <c r="C50" t="str">
        <f t="shared" si="20"/>
        <v>Pistol</v>
      </c>
      <c r="D50" t="str">
        <f t="shared" si="20"/>
        <v>CS20</v>
      </c>
      <c r="E50">
        <f t="shared" si="11"/>
        <v>1.5799999999999996</v>
      </c>
      <c r="F50">
        <f t="shared" ref="F50:BQ53" si="21">F10-ROUNDUP(F10*0.3,2)</f>
        <v>1.4700000000000002</v>
      </c>
      <c r="G50">
        <f t="shared" si="21"/>
        <v>1.54</v>
      </c>
      <c r="H50">
        <f t="shared" si="21"/>
        <v>1.5699999999999998</v>
      </c>
      <c r="I50">
        <f t="shared" si="21"/>
        <v>1.4699999999999998</v>
      </c>
      <c r="J50">
        <f t="shared" si="21"/>
        <v>1.54</v>
      </c>
      <c r="K50">
        <f t="shared" si="21"/>
        <v>1.5100000000000002</v>
      </c>
      <c r="L50">
        <f t="shared" si="21"/>
        <v>1.5500000000000003</v>
      </c>
      <c r="M50">
        <f t="shared" si="21"/>
        <v>1.58</v>
      </c>
      <c r="N50">
        <f t="shared" si="21"/>
        <v>1.61</v>
      </c>
      <c r="O50">
        <f t="shared" si="21"/>
        <v>1.5500000000000003</v>
      </c>
      <c r="P50">
        <f t="shared" si="21"/>
        <v>1.56</v>
      </c>
      <c r="Q50">
        <f t="shared" si="21"/>
        <v>1.4900000000000002</v>
      </c>
      <c r="R50">
        <f t="shared" si="21"/>
        <v>1.4700000000000002</v>
      </c>
      <c r="S50">
        <f t="shared" si="21"/>
        <v>1.37</v>
      </c>
      <c r="T50">
        <f t="shared" si="21"/>
        <v>1.46</v>
      </c>
      <c r="U50">
        <f t="shared" si="21"/>
        <v>1.46</v>
      </c>
      <c r="V50">
        <f t="shared" si="21"/>
        <v>1.56</v>
      </c>
      <c r="W50">
        <f t="shared" si="21"/>
        <v>1.5299999999999998</v>
      </c>
      <c r="X50">
        <f t="shared" si="21"/>
        <v>1.4900000000000002</v>
      </c>
      <c r="Y50">
        <f t="shared" si="21"/>
        <v>1.5500000000000003</v>
      </c>
      <c r="Z50">
        <f t="shared" si="21"/>
        <v>0</v>
      </c>
      <c r="AA50">
        <f t="shared" si="21"/>
        <v>0</v>
      </c>
      <c r="AB50">
        <f t="shared" si="21"/>
        <v>0</v>
      </c>
      <c r="AC50">
        <f t="shared" si="21"/>
        <v>0</v>
      </c>
      <c r="AD50">
        <f t="shared" si="21"/>
        <v>0</v>
      </c>
      <c r="AE50">
        <f t="shared" si="21"/>
        <v>0</v>
      </c>
      <c r="AF50">
        <f t="shared" si="21"/>
        <v>0</v>
      </c>
      <c r="AG50">
        <f t="shared" si="21"/>
        <v>0</v>
      </c>
      <c r="AH50">
        <f t="shared" si="21"/>
        <v>0</v>
      </c>
      <c r="AI50">
        <f t="shared" si="21"/>
        <v>0</v>
      </c>
      <c r="AJ50">
        <f t="shared" si="21"/>
        <v>0</v>
      </c>
      <c r="AK50">
        <f t="shared" si="21"/>
        <v>0</v>
      </c>
      <c r="AL50">
        <f t="shared" si="21"/>
        <v>0</v>
      </c>
      <c r="AM50">
        <f t="shared" si="21"/>
        <v>0</v>
      </c>
      <c r="AN50">
        <f t="shared" si="21"/>
        <v>0</v>
      </c>
      <c r="AO50">
        <f t="shared" si="21"/>
        <v>0</v>
      </c>
      <c r="AP50">
        <f t="shared" si="21"/>
        <v>0</v>
      </c>
      <c r="AQ50">
        <f t="shared" si="21"/>
        <v>0</v>
      </c>
      <c r="AR50">
        <f t="shared" si="21"/>
        <v>0</v>
      </c>
      <c r="AS50">
        <f t="shared" si="21"/>
        <v>0</v>
      </c>
      <c r="AT50">
        <f t="shared" si="21"/>
        <v>0</v>
      </c>
      <c r="AU50">
        <f t="shared" si="21"/>
        <v>0</v>
      </c>
      <c r="AV50">
        <f t="shared" si="21"/>
        <v>0</v>
      </c>
      <c r="AW50">
        <f t="shared" si="21"/>
        <v>0</v>
      </c>
      <c r="AX50">
        <f t="shared" si="21"/>
        <v>0</v>
      </c>
      <c r="AY50">
        <f t="shared" si="21"/>
        <v>0</v>
      </c>
      <c r="AZ50">
        <f t="shared" si="21"/>
        <v>0</v>
      </c>
      <c r="BA50">
        <f t="shared" si="21"/>
        <v>0</v>
      </c>
      <c r="BB50">
        <f t="shared" si="21"/>
        <v>0</v>
      </c>
      <c r="BC50">
        <f t="shared" si="21"/>
        <v>0</v>
      </c>
      <c r="BD50">
        <f t="shared" si="21"/>
        <v>0</v>
      </c>
      <c r="BE50">
        <f t="shared" si="21"/>
        <v>0</v>
      </c>
      <c r="BF50">
        <f t="shared" si="21"/>
        <v>0</v>
      </c>
      <c r="BG50">
        <f t="shared" si="21"/>
        <v>0</v>
      </c>
      <c r="BH50">
        <f t="shared" si="21"/>
        <v>0</v>
      </c>
      <c r="BI50">
        <f t="shared" si="21"/>
        <v>0</v>
      </c>
      <c r="BJ50">
        <f t="shared" si="21"/>
        <v>0</v>
      </c>
      <c r="BK50">
        <f t="shared" si="21"/>
        <v>0</v>
      </c>
      <c r="BL50">
        <f t="shared" si="21"/>
        <v>0</v>
      </c>
      <c r="BM50">
        <f t="shared" si="21"/>
        <v>0</v>
      </c>
      <c r="BN50">
        <f t="shared" si="21"/>
        <v>0</v>
      </c>
      <c r="BO50">
        <f t="shared" si="21"/>
        <v>0</v>
      </c>
      <c r="BP50">
        <f t="shared" si="21"/>
        <v>0</v>
      </c>
      <c r="BQ50">
        <f t="shared" si="21"/>
        <v>0</v>
      </c>
      <c r="BR50">
        <f t="shared" si="19"/>
        <v>0</v>
      </c>
      <c r="BS50">
        <f t="shared" si="19"/>
        <v>0</v>
      </c>
      <c r="BT50">
        <f t="shared" si="19"/>
        <v>0</v>
      </c>
      <c r="BU50">
        <f t="shared" si="19"/>
        <v>0</v>
      </c>
      <c r="BV50">
        <f t="shared" si="19"/>
        <v>0</v>
      </c>
      <c r="BW50">
        <f t="shared" si="19"/>
        <v>0</v>
      </c>
      <c r="BX50">
        <f t="shared" si="19"/>
        <v>0</v>
      </c>
      <c r="BY50">
        <f t="shared" si="19"/>
        <v>0</v>
      </c>
      <c r="BZ50">
        <f t="shared" si="19"/>
        <v>0</v>
      </c>
      <c r="CA50">
        <f t="shared" si="19"/>
        <v>0</v>
      </c>
      <c r="CB50">
        <f t="shared" si="19"/>
        <v>0</v>
      </c>
      <c r="CC50">
        <f t="shared" si="19"/>
        <v>0</v>
      </c>
      <c r="CD50">
        <f t="shared" si="19"/>
        <v>0</v>
      </c>
      <c r="CE50">
        <f t="shared" si="19"/>
        <v>0</v>
      </c>
      <c r="CF50">
        <f t="shared" si="19"/>
        <v>0</v>
      </c>
      <c r="CG50">
        <f t="shared" si="19"/>
        <v>0</v>
      </c>
      <c r="CH50">
        <f t="shared" si="19"/>
        <v>0</v>
      </c>
      <c r="CI50">
        <f t="shared" si="19"/>
        <v>0</v>
      </c>
      <c r="CJ50">
        <f t="shared" si="19"/>
        <v>0</v>
      </c>
      <c r="CK50">
        <f t="shared" si="19"/>
        <v>0</v>
      </c>
      <c r="CL50">
        <f t="shared" si="19"/>
        <v>0</v>
      </c>
      <c r="CM50">
        <f t="shared" si="19"/>
        <v>0</v>
      </c>
      <c r="CN50">
        <f t="shared" si="19"/>
        <v>0</v>
      </c>
      <c r="CO50">
        <f t="shared" si="19"/>
        <v>0</v>
      </c>
      <c r="CP50">
        <f t="shared" si="19"/>
        <v>0</v>
      </c>
      <c r="CQ50">
        <f t="shared" si="19"/>
        <v>0</v>
      </c>
      <c r="CR50">
        <f t="shared" si="19"/>
        <v>0</v>
      </c>
      <c r="CS50">
        <f t="shared" si="19"/>
        <v>0</v>
      </c>
      <c r="CT50">
        <f t="shared" si="19"/>
        <v>0</v>
      </c>
      <c r="CU50">
        <f t="shared" si="19"/>
        <v>0</v>
      </c>
      <c r="CV50">
        <f t="shared" si="19"/>
        <v>0</v>
      </c>
      <c r="CW50">
        <f t="shared" si="19"/>
        <v>0</v>
      </c>
      <c r="CX50">
        <f t="shared" si="19"/>
        <v>0</v>
      </c>
      <c r="CY50">
        <f t="shared" si="19"/>
        <v>0</v>
      </c>
      <c r="CZ50">
        <f t="shared" si="19"/>
        <v>0</v>
      </c>
      <c r="DA50">
        <f t="shared" si="19"/>
        <v>0</v>
      </c>
      <c r="DB50">
        <f t="shared" si="19"/>
        <v>0</v>
      </c>
      <c r="DC50">
        <f t="shared" si="19"/>
        <v>0</v>
      </c>
      <c r="DD50">
        <f t="shared" si="19"/>
        <v>0</v>
      </c>
      <c r="DE50">
        <f t="shared" si="19"/>
        <v>0</v>
      </c>
      <c r="DF50">
        <f t="shared" si="19"/>
        <v>0</v>
      </c>
      <c r="DG50">
        <f t="shared" si="19"/>
        <v>0</v>
      </c>
      <c r="DH50">
        <f t="shared" si="19"/>
        <v>0</v>
      </c>
      <c r="DI50">
        <f t="shared" si="19"/>
        <v>0</v>
      </c>
      <c r="DJ50">
        <f t="shared" si="19"/>
        <v>0</v>
      </c>
      <c r="DK50">
        <f t="shared" si="19"/>
        <v>0</v>
      </c>
      <c r="DL50">
        <f t="shared" si="19"/>
        <v>0</v>
      </c>
      <c r="DM50">
        <f t="shared" si="19"/>
        <v>0</v>
      </c>
      <c r="DN50">
        <f t="shared" si="19"/>
        <v>0</v>
      </c>
      <c r="DO50">
        <f t="shared" si="19"/>
        <v>0</v>
      </c>
      <c r="DP50">
        <f t="shared" si="19"/>
        <v>0</v>
      </c>
      <c r="DQ50">
        <f t="shared" si="19"/>
        <v>0</v>
      </c>
      <c r="DR50">
        <f t="shared" si="19"/>
        <v>0</v>
      </c>
      <c r="DS50">
        <f t="shared" si="19"/>
        <v>0</v>
      </c>
      <c r="DT50">
        <f t="shared" si="19"/>
        <v>0</v>
      </c>
      <c r="DU50">
        <f t="shared" si="19"/>
        <v>0</v>
      </c>
      <c r="DV50">
        <f t="shared" si="19"/>
        <v>0</v>
      </c>
      <c r="DW50">
        <f t="shared" si="19"/>
        <v>0</v>
      </c>
      <c r="DX50">
        <f t="shared" si="19"/>
        <v>0</v>
      </c>
      <c r="DY50">
        <f t="shared" si="19"/>
        <v>0</v>
      </c>
      <c r="DZ50">
        <f t="shared" si="19"/>
        <v>0</v>
      </c>
      <c r="EA50">
        <f t="shared" si="19"/>
        <v>0</v>
      </c>
      <c r="EB50">
        <f t="shared" si="19"/>
        <v>0</v>
      </c>
      <c r="EC50">
        <f t="shared" si="17"/>
        <v>0</v>
      </c>
      <c r="ED50">
        <f t="shared" si="15"/>
        <v>0</v>
      </c>
      <c r="EE50">
        <f t="shared" si="15"/>
        <v>0</v>
      </c>
      <c r="EF50">
        <f t="shared" si="15"/>
        <v>0</v>
      </c>
      <c r="EG50">
        <f t="shared" si="15"/>
        <v>0</v>
      </c>
      <c r="EH50">
        <f t="shared" si="15"/>
        <v>0</v>
      </c>
      <c r="EI50">
        <f t="shared" si="15"/>
        <v>0</v>
      </c>
      <c r="EJ50">
        <f t="shared" si="15"/>
        <v>0</v>
      </c>
      <c r="EK50">
        <f t="shared" si="15"/>
        <v>0</v>
      </c>
      <c r="EL50">
        <f t="shared" si="15"/>
        <v>0</v>
      </c>
      <c r="EM50">
        <f t="shared" si="15"/>
        <v>0</v>
      </c>
      <c r="EN50">
        <f t="shared" si="15"/>
        <v>0</v>
      </c>
      <c r="EO50">
        <f t="shared" si="15"/>
        <v>0</v>
      </c>
      <c r="EP50">
        <f t="shared" si="15"/>
        <v>0</v>
      </c>
      <c r="EQ50">
        <f t="shared" si="15"/>
        <v>0</v>
      </c>
      <c r="ER50">
        <f t="shared" si="15"/>
        <v>0</v>
      </c>
      <c r="ES50">
        <f t="shared" si="15"/>
        <v>0</v>
      </c>
      <c r="ET50">
        <f t="shared" si="15"/>
        <v>0</v>
      </c>
      <c r="EU50">
        <f t="shared" si="15"/>
        <v>0</v>
      </c>
      <c r="EV50">
        <f t="shared" si="15"/>
        <v>0</v>
      </c>
      <c r="EW50">
        <f t="shared" si="15"/>
        <v>0</v>
      </c>
      <c r="EX50">
        <f t="shared" si="15"/>
        <v>0</v>
      </c>
      <c r="EY50">
        <f t="shared" si="15"/>
        <v>0</v>
      </c>
      <c r="EZ50">
        <f t="shared" si="15"/>
        <v>0</v>
      </c>
      <c r="FA50">
        <f t="shared" si="15"/>
        <v>0</v>
      </c>
      <c r="FB50">
        <f t="shared" si="15"/>
        <v>0</v>
      </c>
      <c r="FC50">
        <f t="shared" si="15"/>
        <v>0</v>
      </c>
      <c r="FD50">
        <f t="shared" si="15"/>
        <v>0</v>
      </c>
      <c r="FE50">
        <f t="shared" si="15"/>
        <v>0</v>
      </c>
      <c r="FF50">
        <f t="shared" si="15"/>
        <v>0</v>
      </c>
      <c r="FG50">
        <f t="shared" si="15"/>
        <v>0</v>
      </c>
      <c r="FH50">
        <f t="shared" si="15"/>
        <v>0</v>
      </c>
      <c r="FI50">
        <f t="shared" si="15"/>
        <v>0</v>
      </c>
      <c r="FJ50">
        <f t="shared" si="15"/>
        <v>0</v>
      </c>
      <c r="FK50">
        <f t="shared" si="15"/>
        <v>0</v>
      </c>
      <c r="FL50">
        <f t="shared" si="15"/>
        <v>0</v>
      </c>
      <c r="FM50">
        <f t="shared" si="15"/>
        <v>0</v>
      </c>
      <c r="FN50">
        <f t="shared" si="15"/>
        <v>0</v>
      </c>
      <c r="FO50">
        <f t="shared" si="15"/>
        <v>0</v>
      </c>
      <c r="FP50">
        <f t="shared" si="15"/>
        <v>0</v>
      </c>
      <c r="FQ50">
        <f t="shared" si="15"/>
        <v>0</v>
      </c>
      <c r="FR50">
        <f t="shared" si="15"/>
        <v>0</v>
      </c>
      <c r="FS50">
        <f t="shared" si="15"/>
        <v>0</v>
      </c>
      <c r="FT50">
        <f t="shared" si="15"/>
        <v>0</v>
      </c>
      <c r="FU50">
        <f t="shared" si="15"/>
        <v>0</v>
      </c>
    </row>
    <row r="51" spans="1:177" x14ac:dyDescent="0.25">
      <c r="A51" t="str">
        <f t="shared" ref="A51:D51" si="22">A11</f>
        <v>Glock-18</v>
      </c>
      <c r="B51" t="str">
        <f t="shared" si="22"/>
        <v>StatTrak Weasel FT</v>
      </c>
      <c r="C51" t="str">
        <f t="shared" si="22"/>
        <v>Pistol</v>
      </c>
      <c r="D51" t="str">
        <f t="shared" si="22"/>
        <v>Gamma 2</v>
      </c>
      <c r="E51">
        <f t="shared" si="11"/>
        <v>1.3</v>
      </c>
      <c r="F51">
        <f t="shared" si="21"/>
        <v>1.28</v>
      </c>
      <c r="G51">
        <f t="shared" si="21"/>
        <v>1.1499999999999999</v>
      </c>
      <c r="H51">
        <f t="shared" si="21"/>
        <v>1.25</v>
      </c>
      <c r="I51">
        <f t="shared" si="21"/>
        <v>1.25</v>
      </c>
      <c r="J51">
        <f t="shared" si="21"/>
        <v>1.26</v>
      </c>
      <c r="K51">
        <f t="shared" si="21"/>
        <v>1.2</v>
      </c>
      <c r="L51">
        <f t="shared" si="21"/>
        <v>1.22</v>
      </c>
      <c r="M51">
        <f t="shared" si="21"/>
        <v>1.1399999999999999</v>
      </c>
      <c r="N51">
        <f t="shared" si="21"/>
        <v>1.22</v>
      </c>
      <c r="O51">
        <f t="shared" si="21"/>
        <v>1.1599999999999999</v>
      </c>
      <c r="P51">
        <f t="shared" si="21"/>
        <v>1.1499999999999999</v>
      </c>
      <c r="Q51">
        <f t="shared" si="21"/>
        <v>1.1399999999999999</v>
      </c>
      <c r="R51">
        <f t="shared" si="21"/>
        <v>1.08</v>
      </c>
      <c r="S51">
        <f t="shared" si="21"/>
        <v>1.1399999999999999</v>
      </c>
      <c r="T51">
        <f t="shared" si="21"/>
        <v>1.1399999999999999</v>
      </c>
      <c r="U51">
        <f t="shared" si="21"/>
        <v>1.07</v>
      </c>
      <c r="V51">
        <f t="shared" si="21"/>
        <v>1.1300000000000001</v>
      </c>
      <c r="W51">
        <f t="shared" si="21"/>
        <v>1.1399999999999999</v>
      </c>
      <c r="X51">
        <f t="shared" si="21"/>
        <v>1.02</v>
      </c>
      <c r="Y51">
        <f t="shared" si="21"/>
        <v>1.1200000000000001</v>
      </c>
      <c r="Z51">
        <f t="shared" si="21"/>
        <v>0</v>
      </c>
      <c r="AA51">
        <f t="shared" si="21"/>
        <v>0</v>
      </c>
      <c r="AB51">
        <f t="shared" si="21"/>
        <v>0</v>
      </c>
      <c r="AC51">
        <f t="shared" si="21"/>
        <v>0</v>
      </c>
      <c r="AD51">
        <f t="shared" si="21"/>
        <v>0</v>
      </c>
      <c r="AE51">
        <f t="shared" si="21"/>
        <v>0</v>
      </c>
      <c r="AF51">
        <f t="shared" si="21"/>
        <v>0</v>
      </c>
      <c r="AG51">
        <f t="shared" si="21"/>
        <v>0</v>
      </c>
      <c r="AH51">
        <f t="shared" si="21"/>
        <v>0</v>
      </c>
      <c r="AI51">
        <f t="shared" si="21"/>
        <v>0</v>
      </c>
      <c r="AJ51">
        <f t="shared" si="21"/>
        <v>0</v>
      </c>
      <c r="AK51">
        <f t="shared" si="21"/>
        <v>0</v>
      </c>
      <c r="AL51">
        <f t="shared" si="21"/>
        <v>0</v>
      </c>
      <c r="AM51">
        <f t="shared" si="21"/>
        <v>0</v>
      </c>
      <c r="AN51">
        <f t="shared" si="21"/>
        <v>0</v>
      </c>
      <c r="AO51">
        <f t="shared" si="21"/>
        <v>0</v>
      </c>
      <c r="AP51">
        <f t="shared" si="21"/>
        <v>0</v>
      </c>
      <c r="AQ51">
        <f t="shared" si="21"/>
        <v>0</v>
      </c>
      <c r="AR51">
        <f t="shared" si="21"/>
        <v>0</v>
      </c>
      <c r="AS51">
        <f t="shared" si="21"/>
        <v>0</v>
      </c>
      <c r="AT51">
        <f t="shared" si="21"/>
        <v>0</v>
      </c>
      <c r="AU51">
        <f t="shared" si="21"/>
        <v>0</v>
      </c>
      <c r="AV51">
        <f t="shared" si="21"/>
        <v>0</v>
      </c>
      <c r="AW51">
        <f t="shared" si="21"/>
        <v>0</v>
      </c>
      <c r="AX51">
        <f t="shared" si="21"/>
        <v>0</v>
      </c>
      <c r="AY51">
        <f t="shared" si="21"/>
        <v>0</v>
      </c>
      <c r="AZ51">
        <f t="shared" si="21"/>
        <v>0</v>
      </c>
      <c r="BA51">
        <f t="shared" si="21"/>
        <v>0</v>
      </c>
      <c r="BB51">
        <f t="shared" si="21"/>
        <v>0</v>
      </c>
      <c r="BC51">
        <f t="shared" si="21"/>
        <v>0</v>
      </c>
      <c r="BD51">
        <f t="shared" si="21"/>
        <v>0</v>
      </c>
      <c r="BE51">
        <f t="shared" si="21"/>
        <v>0</v>
      </c>
      <c r="BF51">
        <f t="shared" si="21"/>
        <v>0</v>
      </c>
      <c r="BG51">
        <f t="shared" si="21"/>
        <v>0</v>
      </c>
      <c r="BH51">
        <f t="shared" si="21"/>
        <v>0</v>
      </c>
      <c r="BI51">
        <f t="shared" si="21"/>
        <v>0</v>
      </c>
      <c r="BJ51">
        <f t="shared" si="21"/>
        <v>0</v>
      </c>
      <c r="BK51">
        <f t="shared" si="21"/>
        <v>0</v>
      </c>
      <c r="BL51">
        <f t="shared" si="21"/>
        <v>0</v>
      </c>
      <c r="BM51">
        <f t="shared" si="21"/>
        <v>0</v>
      </c>
      <c r="BN51">
        <f t="shared" si="21"/>
        <v>0</v>
      </c>
      <c r="BO51">
        <f t="shared" si="21"/>
        <v>0</v>
      </c>
      <c r="BP51">
        <f t="shared" si="21"/>
        <v>0</v>
      </c>
      <c r="BQ51">
        <f t="shared" si="21"/>
        <v>0</v>
      </c>
      <c r="BR51">
        <f t="shared" si="19"/>
        <v>0</v>
      </c>
      <c r="BS51">
        <f t="shared" si="19"/>
        <v>0</v>
      </c>
      <c r="BT51">
        <f t="shared" si="19"/>
        <v>0</v>
      </c>
      <c r="BU51">
        <f t="shared" si="19"/>
        <v>0</v>
      </c>
      <c r="BV51">
        <f t="shared" si="19"/>
        <v>0</v>
      </c>
      <c r="BW51">
        <f t="shared" si="19"/>
        <v>0</v>
      </c>
      <c r="BX51">
        <f t="shared" si="19"/>
        <v>0</v>
      </c>
      <c r="BY51">
        <f t="shared" si="19"/>
        <v>0</v>
      </c>
      <c r="BZ51">
        <f t="shared" si="19"/>
        <v>0</v>
      </c>
      <c r="CA51">
        <f t="shared" si="19"/>
        <v>0</v>
      </c>
      <c r="CB51">
        <f t="shared" si="19"/>
        <v>0</v>
      </c>
      <c r="CC51">
        <f t="shared" si="19"/>
        <v>0</v>
      </c>
      <c r="CD51">
        <f t="shared" si="19"/>
        <v>0</v>
      </c>
      <c r="CE51">
        <f t="shared" si="19"/>
        <v>0</v>
      </c>
      <c r="CF51">
        <f t="shared" si="19"/>
        <v>0</v>
      </c>
      <c r="CG51">
        <f t="shared" si="19"/>
        <v>0</v>
      </c>
      <c r="CH51">
        <f t="shared" si="19"/>
        <v>0</v>
      </c>
      <c r="CI51">
        <f t="shared" si="19"/>
        <v>0</v>
      </c>
      <c r="CJ51">
        <f t="shared" si="19"/>
        <v>0</v>
      </c>
      <c r="CK51">
        <f t="shared" si="19"/>
        <v>0</v>
      </c>
      <c r="CL51">
        <f t="shared" si="19"/>
        <v>0</v>
      </c>
      <c r="CM51">
        <f t="shared" si="19"/>
        <v>0</v>
      </c>
      <c r="CN51">
        <f t="shared" si="19"/>
        <v>0</v>
      </c>
      <c r="CO51">
        <f t="shared" si="19"/>
        <v>0</v>
      </c>
      <c r="CP51">
        <f t="shared" si="19"/>
        <v>0</v>
      </c>
      <c r="CQ51">
        <f t="shared" si="19"/>
        <v>0</v>
      </c>
      <c r="CR51">
        <f t="shared" si="19"/>
        <v>0</v>
      </c>
      <c r="CS51">
        <f t="shared" si="19"/>
        <v>0</v>
      </c>
      <c r="CT51">
        <f t="shared" si="19"/>
        <v>0</v>
      </c>
      <c r="CU51">
        <f t="shared" si="19"/>
        <v>0</v>
      </c>
      <c r="CV51">
        <f t="shared" si="19"/>
        <v>0</v>
      </c>
      <c r="CW51">
        <f t="shared" si="19"/>
        <v>0</v>
      </c>
      <c r="CX51">
        <f t="shared" si="19"/>
        <v>0</v>
      </c>
      <c r="CY51">
        <f t="shared" si="19"/>
        <v>0</v>
      </c>
      <c r="CZ51">
        <f t="shared" si="19"/>
        <v>0</v>
      </c>
      <c r="DA51">
        <f t="shared" si="19"/>
        <v>0</v>
      </c>
      <c r="DB51">
        <f t="shared" si="19"/>
        <v>0</v>
      </c>
      <c r="DC51">
        <f t="shared" si="19"/>
        <v>0</v>
      </c>
      <c r="DD51">
        <f t="shared" si="19"/>
        <v>0</v>
      </c>
      <c r="DE51">
        <f t="shared" si="19"/>
        <v>0</v>
      </c>
      <c r="DF51">
        <f t="shared" si="19"/>
        <v>0</v>
      </c>
      <c r="DG51">
        <f t="shared" si="19"/>
        <v>0</v>
      </c>
      <c r="DH51">
        <f t="shared" si="19"/>
        <v>0</v>
      </c>
      <c r="DI51">
        <f t="shared" si="19"/>
        <v>0</v>
      </c>
      <c r="DJ51">
        <f t="shared" si="19"/>
        <v>0</v>
      </c>
      <c r="DK51">
        <f t="shared" si="19"/>
        <v>0</v>
      </c>
      <c r="DL51">
        <f t="shared" si="19"/>
        <v>0</v>
      </c>
      <c r="DM51">
        <f t="shared" si="19"/>
        <v>0</v>
      </c>
      <c r="DN51">
        <f t="shared" si="19"/>
        <v>0</v>
      </c>
      <c r="DO51">
        <f t="shared" si="19"/>
        <v>0</v>
      </c>
      <c r="DP51">
        <f t="shared" si="19"/>
        <v>0</v>
      </c>
      <c r="DQ51">
        <f t="shared" si="19"/>
        <v>0</v>
      </c>
      <c r="DR51">
        <f t="shared" si="19"/>
        <v>0</v>
      </c>
      <c r="DS51">
        <f t="shared" si="19"/>
        <v>0</v>
      </c>
      <c r="DT51">
        <f t="shared" si="19"/>
        <v>0</v>
      </c>
      <c r="DU51">
        <f t="shared" si="19"/>
        <v>0</v>
      </c>
      <c r="DV51">
        <f t="shared" si="19"/>
        <v>0</v>
      </c>
      <c r="DW51">
        <f t="shared" si="19"/>
        <v>0</v>
      </c>
      <c r="DX51">
        <f t="shared" si="19"/>
        <v>0</v>
      </c>
      <c r="DY51">
        <f t="shared" si="19"/>
        <v>0</v>
      </c>
      <c r="DZ51">
        <f t="shared" si="19"/>
        <v>0</v>
      </c>
      <c r="EA51">
        <f t="shared" si="19"/>
        <v>0</v>
      </c>
      <c r="EB51">
        <f t="shared" si="19"/>
        <v>0</v>
      </c>
      <c r="EC51">
        <f t="shared" si="17"/>
        <v>0</v>
      </c>
      <c r="ED51">
        <f t="shared" si="15"/>
        <v>0</v>
      </c>
      <c r="EE51">
        <f t="shared" si="15"/>
        <v>0</v>
      </c>
      <c r="EF51">
        <f t="shared" si="15"/>
        <v>0</v>
      </c>
      <c r="EG51">
        <f t="shared" si="15"/>
        <v>0</v>
      </c>
      <c r="EH51">
        <f t="shared" si="15"/>
        <v>0</v>
      </c>
      <c r="EI51">
        <f t="shared" si="15"/>
        <v>0</v>
      </c>
      <c r="EJ51">
        <f t="shared" si="15"/>
        <v>0</v>
      </c>
      <c r="EK51">
        <f t="shared" si="15"/>
        <v>0</v>
      </c>
      <c r="EL51">
        <f t="shared" si="15"/>
        <v>0</v>
      </c>
      <c r="EM51">
        <f t="shared" si="15"/>
        <v>0</v>
      </c>
      <c r="EN51">
        <f t="shared" si="15"/>
        <v>0</v>
      </c>
      <c r="EO51">
        <f t="shared" si="15"/>
        <v>0</v>
      </c>
      <c r="EP51">
        <f t="shared" si="15"/>
        <v>0</v>
      </c>
      <c r="EQ51">
        <f t="shared" si="15"/>
        <v>0</v>
      </c>
      <c r="ER51">
        <f t="shared" si="15"/>
        <v>0</v>
      </c>
      <c r="ES51">
        <f t="shared" si="15"/>
        <v>0</v>
      </c>
      <c r="ET51">
        <f t="shared" si="15"/>
        <v>0</v>
      </c>
      <c r="EU51">
        <f t="shared" si="15"/>
        <v>0</v>
      </c>
      <c r="EV51">
        <f t="shared" si="15"/>
        <v>0</v>
      </c>
      <c r="EW51">
        <f t="shared" si="15"/>
        <v>0</v>
      </c>
      <c r="EX51">
        <f t="shared" si="15"/>
        <v>0</v>
      </c>
      <c r="EY51">
        <f t="shared" si="15"/>
        <v>0</v>
      </c>
      <c r="EZ51">
        <f t="shared" si="15"/>
        <v>0</v>
      </c>
      <c r="FA51">
        <f t="shared" si="15"/>
        <v>0</v>
      </c>
      <c r="FB51">
        <f t="shared" si="15"/>
        <v>0</v>
      </c>
      <c r="FC51">
        <f t="shared" si="15"/>
        <v>0</v>
      </c>
      <c r="FD51">
        <f t="shared" si="15"/>
        <v>0</v>
      </c>
      <c r="FE51">
        <f t="shared" si="15"/>
        <v>0</v>
      </c>
      <c r="FF51">
        <f t="shared" si="15"/>
        <v>0</v>
      </c>
      <c r="FG51">
        <f t="shared" si="15"/>
        <v>0</v>
      </c>
      <c r="FH51">
        <f t="shared" si="15"/>
        <v>0</v>
      </c>
      <c r="FI51">
        <f t="shared" si="15"/>
        <v>0</v>
      </c>
      <c r="FJ51">
        <f t="shared" si="15"/>
        <v>0</v>
      </c>
      <c r="FK51">
        <f t="shared" si="15"/>
        <v>0</v>
      </c>
      <c r="FL51">
        <f t="shared" si="15"/>
        <v>0</v>
      </c>
      <c r="FM51">
        <f t="shared" si="15"/>
        <v>0</v>
      </c>
      <c r="FN51">
        <f t="shared" si="15"/>
        <v>0</v>
      </c>
      <c r="FO51">
        <f t="shared" si="15"/>
        <v>0</v>
      </c>
      <c r="FP51">
        <f t="shared" si="15"/>
        <v>0</v>
      </c>
      <c r="FQ51">
        <f t="shared" si="15"/>
        <v>0</v>
      </c>
      <c r="FR51">
        <f t="shared" si="15"/>
        <v>0</v>
      </c>
      <c r="FS51">
        <f t="shared" si="15"/>
        <v>0</v>
      </c>
      <c r="FT51">
        <f t="shared" si="15"/>
        <v>0</v>
      </c>
      <c r="FU51">
        <f t="shared" si="15"/>
        <v>0</v>
      </c>
    </row>
    <row r="52" spans="1:177" x14ac:dyDescent="0.25">
      <c r="A52" t="str">
        <f t="shared" ref="A52:D52" si="23">A12</f>
        <v>Desert Eagle</v>
      </c>
      <c r="B52" t="str">
        <f t="shared" si="23"/>
        <v>Code Red MW</v>
      </c>
      <c r="C52" t="str">
        <f t="shared" si="23"/>
        <v>Pistol</v>
      </c>
      <c r="D52" t="str">
        <f t="shared" si="23"/>
        <v>Horizon</v>
      </c>
      <c r="E52">
        <f t="shared" si="11"/>
        <v>29.96</v>
      </c>
      <c r="F52">
        <f t="shared" si="21"/>
        <v>28.42</v>
      </c>
      <c r="G52">
        <f t="shared" si="21"/>
        <v>28.42</v>
      </c>
      <c r="H52">
        <f t="shared" si="21"/>
        <v>30.46</v>
      </c>
      <c r="I52">
        <f t="shared" si="21"/>
        <v>29.240000000000002</v>
      </c>
      <c r="J52">
        <f t="shared" si="21"/>
        <v>28.349999999999998</v>
      </c>
      <c r="K52">
        <f t="shared" si="21"/>
        <v>29.52</v>
      </c>
      <c r="L52">
        <f t="shared" si="21"/>
        <v>30.35</v>
      </c>
      <c r="M52">
        <f t="shared" si="21"/>
        <v>30.29</v>
      </c>
      <c r="N52">
        <f t="shared" si="21"/>
        <v>29.97</v>
      </c>
      <c r="O52">
        <f t="shared" si="21"/>
        <v>28.44</v>
      </c>
      <c r="P52">
        <f t="shared" si="21"/>
        <v>29.2</v>
      </c>
      <c r="Q52">
        <f t="shared" si="21"/>
        <v>27.629999999999995</v>
      </c>
      <c r="R52">
        <f t="shared" si="21"/>
        <v>28.33</v>
      </c>
      <c r="S52">
        <f t="shared" si="21"/>
        <v>28.67</v>
      </c>
      <c r="T52">
        <f t="shared" si="21"/>
        <v>27.86</v>
      </c>
      <c r="U52">
        <f t="shared" si="21"/>
        <v>30.760000000000005</v>
      </c>
      <c r="V52">
        <f t="shared" si="21"/>
        <v>30.810000000000002</v>
      </c>
      <c r="W52">
        <f t="shared" si="21"/>
        <v>28.19</v>
      </c>
      <c r="X52">
        <f t="shared" si="21"/>
        <v>29.4</v>
      </c>
      <c r="Y52">
        <f t="shared" si="21"/>
        <v>30.67</v>
      </c>
      <c r="Z52">
        <f t="shared" si="21"/>
        <v>0</v>
      </c>
      <c r="AA52">
        <f t="shared" si="21"/>
        <v>0</v>
      </c>
      <c r="AB52">
        <f t="shared" si="21"/>
        <v>0</v>
      </c>
      <c r="AC52">
        <f t="shared" si="21"/>
        <v>0</v>
      </c>
      <c r="AD52">
        <f t="shared" si="21"/>
        <v>0</v>
      </c>
      <c r="AE52">
        <f t="shared" si="21"/>
        <v>0</v>
      </c>
      <c r="AF52">
        <f t="shared" si="21"/>
        <v>0</v>
      </c>
      <c r="AG52">
        <f t="shared" si="21"/>
        <v>0</v>
      </c>
      <c r="AH52">
        <f t="shared" si="21"/>
        <v>0</v>
      </c>
      <c r="AI52">
        <f t="shared" si="21"/>
        <v>0</v>
      </c>
      <c r="AJ52">
        <f t="shared" si="21"/>
        <v>0</v>
      </c>
      <c r="AK52">
        <f t="shared" si="21"/>
        <v>0</v>
      </c>
      <c r="AL52">
        <f t="shared" si="21"/>
        <v>0</v>
      </c>
      <c r="AM52">
        <f t="shared" si="21"/>
        <v>0</v>
      </c>
      <c r="AN52">
        <f t="shared" si="21"/>
        <v>0</v>
      </c>
      <c r="AO52">
        <f t="shared" si="21"/>
        <v>0</v>
      </c>
      <c r="AP52">
        <f t="shared" si="21"/>
        <v>0</v>
      </c>
      <c r="AQ52">
        <f t="shared" si="21"/>
        <v>0</v>
      </c>
      <c r="AR52">
        <f t="shared" si="21"/>
        <v>0</v>
      </c>
      <c r="AS52">
        <f t="shared" si="21"/>
        <v>0</v>
      </c>
      <c r="AT52">
        <f t="shared" si="21"/>
        <v>0</v>
      </c>
      <c r="AU52">
        <f t="shared" si="21"/>
        <v>0</v>
      </c>
      <c r="AV52">
        <f t="shared" si="21"/>
        <v>0</v>
      </c>
      <c r="AW52">
        <f t="shared" si="21"/>
        <v>0</v>
      </c>
      <c r="AX52">
        <f t="shared" si="21"/>
        <v>0</v>
      </c>
      <c r="AY52">
        <f t="shared" si="21"/>
        <v>0</v>
      </c>
      <c r="AZ52">
        <f t="shared" si="21"/>
        <v>0</v>
      </c>
      <c r="BA52">
        <f t="shared" si="21"/>
        <v>0</v>
      </c>
      <c r="BB52">
        <f t="shared" si="21"/>
        <v>0</v>
      </c>
      <c r="BC52">
        <f t="shared" si="21"/>
        <v>0</v>
      </c>
      <c r="BD52">
        <f t="shared" si="21"/>
        <v>0</v>
      </c>
      <c r="BE52">
        <f t="shared" si="21"/>
        <v>0</v>
      </c>
      <c r="BF52">
        <f t="shared" si="21"/>
        <v>0</v>
      </c>
      <c r="BG52">
        <f t="shared" si="21"/>
        <v>0</v>
      </c>
      <c r="BH52">
        <f t="shared" si="21"/>
        <v>0</v>
      </c>
      <c r="BI52">
        <f t="shared" si="21"/>
        <v>0</v>
      </c>
      <c r="BJ52">
        <f t="shared" si="21"/>
        <v>0</v>
      </c>
      <c r="BK52">
        <f t="shared" si="21"/>
        <v>0</v>
      </c>
      <c r="BL52">
        <f t="shared" si="21"/>
        <v>0</v>
      </c>
      <c r="BM52">
        <f t="shared" si="21"/>
        <v>0</v>
      </c>
      <c r="BN52">
        <f t="shared" si="21"/>
        <v>0</v>
      </c>
      <c r="BO52">
        <f t="shared" si="21"/>
        <v>0</v>
      </c>
      <c r="BP52">
        <f t="shared" si="21"/>
        <v>0</v>
      </c>
      <c r="BQ52">
        <f t="shared" si="21"/>
        <v>0</v>
      </c>
      <c r="BR52">
        <f t="shared" si="19"/>
        <v>0</v>
      </c>
      <c r="BS52">
        <f t="shared" si="19"/>
        <v>0</v>
      </c>
      <c r="BT52">
        <f t="shared" si="19"/>
        <v>0</v>
      </c>
      <c r="BU52">
        <f t="shared" si="19"/>
        <v>0</v>
      </c>
      <c r="BV52">
        <f t="shared" si="19"/>
        <v>0</v>
      </c>
      <c r="BW52">
        <f t="shared" si="19"/>
        <v>0</v>
      </c>
      <c r="BX52">
        <f t="shared" si="19"/>
        <v>0</v>
      </c>
      <c r="BY52">
        <f t="shared" si="19"/>
        <v>0</v>
      </c>
      <c r="BZ52">
        <f t="shared" si="19"/>
        <v>0</v>
      </c>
      <c r="CA52">
        <f t="shared" si="19"/>
        <v>0</v>
      </c>
      <c r="CB52">
        <f t="shared" si="19"/>
        <v>0</v>
      </c>
      <c r="CC52">
        <f t="shared" si="19"/>
        <v>0</v>
      </c>
      <c r="CD52">
        <f t="shared" si="19"/>
        <v>0</v>
      </c>
      <c r="CE52">
        <f t="shared" si="19"/>
        <v>0</v>
      </c>
      <c r="CF52">
        <f t="shared" si="19"/>
        <v>0</v>
      </c>
      <c r="CG52">
        <f t="shared" si="19"/>
        <v>0</v>
      </c>
      <c r="CH52">
        <f t="shared" si="19"/>
        <v>0</v>
      </c>
      <c r="CI52">
        <f t="shared" si="19"/>
        <v>0</v>
      </c>
      <c r="CJ52">
        <f t="shared" si="19"/>
        <v>0</v>
      </c>
      <c r="CK52">
        <f t="shared" si="19"/>
        <v>0</v>
      </c>
      <c r="CL52">
        <f t="shared" si="19"/>
        <v>0</v>
      </c>
      <c r="CM52">
        <f t="shared" si="19"/>
        <v>0</v>
      </c>
      <c r="CN52">
        <f t="shared" si="19"/>
        <v>0</v>
      </c>
      <c r="CO52">
        <f t="shared" si="19"/>
        <v>0</v>
      </c>
      <c r="CP52">
        <f t="shared" si="19"/>
        <v>0</v>
      </c>
      <c r="CQ52">
        <f t="shared" si="19"/>
        <v>0</v>
      </c>
      <c r="CR52">
        <f t="shared" si="19"/>
        <v>0</v>
      </c>
      <c r="CS52">
        <f t="shared" si="19"/>
        <v>0</v>
      </c>
      <c r="CT52">
        <f t="shared" si="19"/>
        <v>0</v>
      </c>
      <c r="CU52">
        <f t="shared" si="19"/>
        <v>0</v>
      </c>
      <c r="CV52">
        <f t="shared" si="19"/>
        <v>0</v>
      </c>
      <c r="CW52">
        <f t="shared" si="19"/>
        <v>0</v>
      </c>
      <c r="CX52">
        <f t="shared" si="19"/>
        <v>0</v>
      </c>
      <c r="CY52">
        <f t="shared" si="19"/>
        <v>0</v>
      </c>
      <c r="CZ52">
        <f t="shared" si="19"/>
        <v>0</v>
      </c>
      <c r="DA52">
        <f t="shared" si="19"/>
        <v>0</v>
      </c>
      <c r="DB52">
        <f t="shared" si="19"/>
        <v>0</v>
      </c>
      <c r="DC52">
        <f t="shared" si="19"/>
        <v>0</v>
      </c>
      <c r="DD52">
        <f t="shared" si="19"/>
        <v>0</v>
      </c>
      <c r="DE52">
        <f t="shared" si="19"/>
        <v>0</v>
      </c>
      <c r="DF52">
        <f t="shared" si="19"/>
        <v>0</v>
      </c>
      <c r="DG52">
        <f t="shared" si="19"/>
        <v>0</v>
      </c>
      <c r="DH52">
        <f t="shared" si="19"/>
        <v>0</v>
      </c>
      <c r="DI52">
        <f t="shared" si="19"/>
        <v>0</v>
      </c>
      <c r="DJ52">
        <f t="shared" si="19"/>
        <v>0</v>
      </c>
      <c r="DK52">
        <f t="shared" si="19"/>
        <v>0</v>
      </c>
      <c r="DL52">
        <f t="shared" si="19"/>
        <v>0</v>
      </c>
      <c r="DM52">
        <f t="shared" si="19"/>
        <v>0</v>
      </c>
      <c r="DN52">
        <f t="shared" si="19"/>
        <v>0</v>
      </c>
      <c r="DO52">
        <f t="shared" si="19"/>
        <v>0</v>
      </c>
      <c r="DP52">
        <f t="shared" si="19"/>
        <v>0</v>
      </c>
      <c r="DQ52">
        <f t="shared" si="19"/>
        <v>0</v>
      </c>
      <c r="DR52">
        <f t="shared" si="19"/>
        <v>0</v>
      </c>
      <c r="DS52">
        <f t="shared" si="19"/>
        <v>0</v>
      </c>
      <c r="DT52">
        <f t="shared" si="19"/>
        <v>0</v>
      </c>
      <c r="DU52">
        <f t="shared" si="19"/>
        <v>0</v>
      </c>
      <c r="DV52">
        <f t="shared" si="19"/>
        <v>0</v>
      </c>
      <c r="DW52">
        <f t="shared" si="19"/>
        <v>0</v>
      </c>
      <c r="DX52">
        <f t="shared" si="19"/>
        <v>0</v>
      </c>
      <c r="DY52">
        <f t="shared" si="19"/>
        <v>0</v>
      </c>
      <c r="DZ52">
        <f t="shared" si="19"/>
        <v>0</v>
      </c>
      <c r="EA52">
        <f t="shared" si="19"/>
        <v>0</v>
      </c>
      <c r="EB52">
        <f t="shared" si="19"/>
        <v>0</v>
      </c>
      <c r="EC52">
        <f t="shared" si="17"/>
        <v>0</v>
      </c>
      <c r="ED52">
        <f t="shared" si="15"/>
        <v>0</v>
      </c>
      <c r="EE52">
        <f t="shared" si="15"/>
        <v>0</v>
      </c>
      <c r="EF52">
        <f t="shared" si="15"/>
        <v>0</v>
      </c>
      <c r="EG52">
        <f t="shared" si="15"/>
        <v>0</v>
      </c>
      <c r="EH52">
        <f t="shared" si="15"/>
        <v>0</v>
      </c>
      <c r="EI52">
        <f t="shared" si="15"/>
        <v>0</v>
      </c>
      <c r="EJ52">
        <f t="shared" si="15"/>
        <v>0</v>
      </c>
      <c r="EK52">
        <f t="shared" si="15"/>
        <v>0</v>
      </c>
      <c r="EL52">
        <f t="shared" si="15"/>
        <v>0</v>
      </c>
      <c r="EM52">
        <f t="shared" si="15"/>
        <v>0</v>
      </c>
      <c r="EN52">
        <f t="shared" si="15"/>
        <v>0</v>
      </c>
      <c r="EO52">
        <f t="shared" si="15"/>
        <v>0</v>
      </c>
      <c r="EP52">
        <f t="shared" si="15"/>
        <v>0</v>
      </c>
      <c r="EQ52">
        <f t="shared" si="15"/>
        <v>0</v>
      </c>
      <c r="ER52">
        <f t="shared" si="15"/>
        <v>0</v>
      </c>
      <c r="ES52">
        <f t="shared" si="15"/>
        <v>0</v>
      </c>
      <c r="ET52">
        <f t="shared" si="15"/>
        <v>0</v>
      </c>
      <c r="EU52">
        <f t="shared" si="15"/>
        <v>0</v>
      </c>
      <c r="EV52">
        <f t="shared" si="15"/>
        <v>0</v>
      </c>
      <c r="EW52">
        <f t="shared" si="15"/>
        <v>0</v>
      </c>
      <c r="EX52">
        <f t="shared" si="15"/>
        <v>0</v>
      </c>
      <c r="EY52">
        <f t="shared" si="15"/>
        <v>0</v>
      </c>
      <c r="EZ52">
        <f t="shared" si="15"/>
        <v>0</v>
      </c>
      <c r="FA52">
        <f t="shared" si="15"/>
        <v>0</v>
      </c>
      <c r="FB52">
        <f t="shared" si="15"/>
        <v>0</v>
      </c>
      <c r="FC52">
        <f t="shared" si="15"/>
        <v>0</v>
      </c>
      <c r="FD52">
        <f t="shared" si="15"/>
        <v>0</v>
      </c>
      <c r="FE52">
        <f t="shared" si="15"/>
        <v>0</v>
      </c>
      <c r="FF52">
        <f t="shared" si="15"/>
        <v>0</v>
      </c>
      <c r="FG52">
        <f t="shared" si="15"/>
        <v>0</v>
      </c>
      <c r="FH52">
        <f t="shared" si="15"/>
        <v>0</v>
      </c>
      <c r="FI52">
        <f t="shared" si="15"/>
        <v>0</v>
      </c>
      <c r="FJ52">
        <f t="shared" si="15"/>
        <v>0</v>
      </c>
      <c r="FK52">
        <f t="shared" si="15"/>
        <v>0</v>
      </c>
      <c r="FL52">
        <f t="shared" ref="FL52:FU52" si="24">FL12-ROUNDUP(FL12*0.3,2)</f>
        <v>0</v>
      </c>
      <c r="FM52">
        <f t="shared" si="24"/>
        <v>0</v>
      </c>
      <c r="FN52">
        <f t="shared" si="24"/>
        <v>0</v>
      </c>
      <c r="FO52">
        <f t="shared" si="24"/>
        <v>0</v>
      </c>
      <c r="FP52">
        <f t="shared" si="24"/>
        <v>0</v>
      </c>
      <c r="FQ52">
        <f t="shared" si="24"/>
        <v>0</v>
      </c>
      <c r="FR52">
        <f t="shared" si="24"/>
        <v>0</v>
      </c>
      <c r="FS52">
        <f t="shared" si="24"/>
        <v>0</v>
      </c>
      <c r="FT52">
        <f t="shared" si="24"/>
        <v>0</v>
      </c>
      <c r="FU52">
        <f t="shared" si="24"/>
        <v>0</v>
      </c>
    </row>
    <row r="53" spans="1:177" x14ac:dyDescent="0.25">
      <c r="A53" t="str">
        <f t="shared" ref="A53:D53" si="25">A13</f>
        <v>Desert Eagle</v>
      </c>
      <c r="B53" t="str">
        <f t="shared" si="25"/>
        <v>Hypnotic FN</v>
      </c>
      <c r="C53" t="str">
        <f t="shared" si="25"/>
        <v>Pistol</v>
      </c>
      <c r="D53" t="str">
        <f t="shared" si="25"/>
        <v>Arms Deal</v>
      </c>
      <c r="E53">
        <f t="shared" si="11"/>
        <v>61.430000000000007</v>
      </c>
      <c r="F53">
        <f t="shared" si="21"/>
        <v>59.12</v>
      </c>
      <c r="G53">
        <f t="shared" si="21"/>
        <v>61.95</v>
      </c>
      <c r="H53">
        <f t="shared" si="21"/>
        <v>61.95</v>
      </c>
      <c r="I53">
        <f t="shared" si="21"/>
        <v>61.95</v>
      </c>
      <c r="J53">
        <f t="shared" si="21"/>
        <v>61.800000000000004</v>
      </c>
      <c r="K53">
        <f t="shared" si="21"/>
        <v>64.05</v>
      </c>
      <c r="L53">
        <f t="shared" si="21"/>
        <v>64.05</v>
      </c>
      <c r="M53">
        <f t="shared" si="21"/>
        <v>63.63000000000001</v>
      </c>
      <c r="N53">
        <f t="shared" si="21"/>
        <v>63.930000000000007</v>
      </c>
      <c r="O53">
        <f t="shared" si="21"/>
        <v>60.099999999999994</v>
      </c>
      <c r="P53">
        <f t="shared" si="21"/>
        <v>64.16</v>
      </c>
      <c r="Q53">
        <f t="shared" si="21"/>
        <v>61.430000000000007</v>
      </c>
      <c r="R53">
        <f t="shared" si="21"/>
        <v>64.19</v>
      </c>
      <c r="S53">
        <f t="shared" si="21"/>
        <v>63.230000000000004</v>
      </c>
      <c r="T53">
        <f t="shared" si="21"/>
        <v>66.389999999999986</v>
      </c>
      <c r="U53">
        <f t="shared" si="21"/>
        <v>68.69</v>
      </c>
      <c r="V53">
        <f t="shared" si="21"/>
        <v>66.7</v>
      </c>
      <c r="W53">
        <f t="shared" si="21"/>
        <v>67.010000000000005</v>
      </c>
      <c r="X53">
        <f t="shared" si="21"/>
        <v>82.22</v>
      </c>
      <c r="Y53">
        <f t="shared" si="21"/>
        <v>82.22</v>
      </c>
      <c r="Z53">
        <f t="shared" si="21"/>
        <v>0</v>
      </c>
      <c r="AA53">
        <f t="shared" si="21"/>
        <v>0</v>
      </c>
      <c r="AB53">
        <f t="shared" si="21"/>
        <v>0</v>
      </c>
      <c r="AC53">
        <f t="shared" si="21"/>
        <v>0</v>
      </c>
      <c r="AD53">
        <f t="shared" si="21"/>
        <v>0</v>
      </c>
      <c r="AE53">
        <f t="shared" si="21"/>
        <v>0</v>
      </c>
      <c r="AF53">
        <f t="shared" si="21"/>
        <v>0</v>
      </c>
      <c r="AG53">
        <f t="shared" si="21"/>
        <v>0</v>
      </c>
      <c r="AH53">
        <f t="shared" si="21"/>
        <v>0</v>
      </c>
      <c r="AI53">
        <f t="shared" si="21"/>
        <v>0</v>
      </c>
      <c r="AJ53">
        <f t="shared" si="21"/>
        <v>0</v>
      </c>
      <c r="AK53">
        <f t="shared" si="21"/>
        <v>0</v>
      </c>
      <c r="AL53">
        <f t="shared" si="21"/>
        <v>0</v>
      </c>
      <c r="AM53">
        <f t="shared" si="21"/>
        <v>0</v>
      </c>
      <c r="AN53">
        <f t="shared" si="21"/>
        <v>0</v>
      </c>
      <c r="AO53">
        <f t="shared" si="21"/>
        <v>0</v>
      </c>
      <c r="AP53">
        <f t="shared" si="21"/>
        <v>0</v>
      </c>
      <c r="AQ53">
        <f t="shared" si="21"/>
        <v>0</v>
      </c>
      <c r="AR53">
        <f t="shared" si="21"/>
        <v>0</v>
      </c>
      <c r="AS53">
        <f t="shared" si="21"/>
        <v>0</v>
      </c>
      <c r="AT53">
        <f t="shared" si="21"/>
        <v>0</v>
      </c>
      <c r="AU53">
        <f t="shared" si="21"/>
        <v>0</v>
      </c>
      <c r="AV53">
        <f t="shared" si="21"/>
        <v>0</v>
      </c>
      <c r="AW53">
        <f t="shared" si="21"/>
        <v>0</v>
      </c>
      <c r="AX53">
        <f t="shared" si="21"/>
        <v>0</v>
      </c>
      <c r="AY53">
        <f t="shared" si="21"/>
        <v>0</v>
      </c>
      <c r="AZ53">
        <f t="shared" si="21"/>
        <v>0</v>
      </c>
      <c r="BA53">
        <f t="shared" si="21"/>
        <v>0</v>
      </c>
      <c r="BB53">
        <f t="shared" si="21"/>
        <v>0</v>
      </c>
      <c r="BC53">
        <f t="shared" si="21"/>
        <v>0</v>
      </c>
      <c r="BD53">
        <f t="shared" si="21"/>
        <v>0</v>
      </c>
      <c r="BE53">
        <f t="shared" si="21"/>
        <v>0</v>
      </c>
      <c r="BF53">
        <f t="shared" si="21"/>
        <v>0</v>
      </c>
      <c r="BG53">
        <f t="shared" si="21"/>
        <v>0</v>
      </c>
      <c r="BH53">
        <f t="shared" si="21"/>
        <v>0</v>
      </c>
      <c r="BI53">
        <f t="shared" si="21"/>
        <v>0</v>
      </c>
      <c r="BJ53">
        <f t="shared" si="21"/>
        <v>0</v>
      </c>
      <c r="BK53">
        <f t="shared" si="21"/>
        <v>0</v>
      </c>
      <c r="BL53">
        <f t="shared" si="21"/>
        <v>0</v>
      </c>
      <c r="BM53">
        <f t="shared" si="21"/>
        <v>0</v>
      </c>
      <c r="BN53">
        <f t="shared" si="21"/>
        <v>0</v>
      </c>
      <c r="BO53">
        <f t="shared" si="21"/>
        <v>0</v>
      </c>
      <c r="BP53">
        <f t="shared" si="21"/>
        <v>0</v>
      </c>
      <c r="BQ53">
        <f t="shared" ref="BQ53:EB56" si="26">BQ13-ROUNDUP(BQ13*0.3,2)</f>
        <v>0</v>
      </c>
      <c r="BR53">
        <f t="shared" si="26"/>
        <v>0</v>
      </c>
      <c r="BS53">
        <f t="shared" si="26"/>
        <v>0</v>
      </c>
      <c r="BT53">
        <f t="shared" si="26"/>
        <v>0</v>
      </c>
      <c r="BU53">
        <f t="shared" si="26"/>
        <v>0</v>
      </c>
      <c r="BV53">
        <f t="shared" si="26"/>
        <v>0</v>
      </c>
      <c r="BW53">
        <f t="shared" si="26"/>
        <v>0</v>
      </c>
      <c r="BX53">
        <f t="shared" si="26"/>
        <v>0</v>
      </c>
      <c r="BY53">
        <f t="shared" si="26"/>
        <v>0</v>
      </c>
      <c r="BZ53">
        <f t="shared" si="26"/>
        <v>0</v>
      </c>
      <c r="CA53">
        <f t="shared" si="26"/>
        <v>0</v>
      </c>
      <c r="CB53">
        <f t="shared" si="26"/>
        <v>0</v>
      </c>
      <c r="CC53">
        <f t="shared" si="26"/>
        <v>0</v>
      </c>
      <c r="CD53">
        <f t="shared" si="26"/>
        <v>0</v>
      </c>
      <c r="CE53">
        <f t="shared" si="26"/>
        <v>0</v>
      </c>
      <c r="CF53">
        <f t="shared" si="26"/>
        <v>0</v>
      </c>
      <c r="CG53">
        <f t="shared" si="26"/>
        <v>0</v>
      </c>
      <c r="CH53">
        <f t="shared" si="26"/>
        <v>0</v>
      </c>
      <c r="CI53">
        <f t="shared" si="26"/>
        <v>0</v>
      </c>
      <c r="CJ53">
        <f t="shared" si="26"/>
        <v>0</v>
      </c>
      <c r="CK53">
        <f t="shared" si="26"/>
        <v>0</v>
      </c>
      <c r="CL53">
        <f t="shared" si="26"/>
        <v>0</v>
      </c>
      <c r="CM53">
        <f t="shared" si="26"/>
        <v>0</v>
      </c>
      <c r="CN53">
        <f t="shared" si="26"/>
        <v>0</v>
      </c>
      <c r="CO53">
        <f t="shared" si="26"/>
        <v>0</v>
      </c>
      <c r="CP53">
        <f t="shared" si="26"/>
        <v>0</v>
      </c>
      <c r="CQ53">
        <f t="shared" si="26"/>
        <v>0</v>
      </c>
      <c r="CR53">
        <f t="shared" si="26"/>
        <v>0</v>
      </c>
      <c r="CS53">
        <f t="shared" si="26"/>
        <v>0</v>
      </c>
      <c r="CT53">
        <f t="shared" si="26"/>
        <v>0</v>
      </c>
      <c r="CU53">
        <f t="shared" si="26"/>
        <v>0</v>
      </c>
      <c r="CV53">
        <f t="shared" si="26"/>
        <v>0</v>
      </c>
      <c r="CW53">
        <f t="shared" si="26"/>
        <v>0</v>
      </c>
      <c r="CX53">
        <f t="shared" si="26"/>
        <v>0</v>
      </c>
      <c r="CY53">
        <f t="shared" si="26"/>
        <v>0</v>
      </c>
      <c r="CZ53">
        <f t="shared" si="26"/>
        <v>0</v>
      </c>
      <c r="DA53">
        <f t="shared" si="26"/>
        <v>0</v>
      </c>
      <c r="DB53">
        <f t="shared" si="26"/>
        <v>0</v>
      </c>
      <c r="DC53">
        <f t="shared" si="26"/>
        <v>0</v>
      </c>
      <c r="DD53">
        <f t="shared" si="26"/>
        <v>0</v>
      </c>
      <c r="DE53">
        <f t="shared" si="26"/>
        <v>0</v>
      </c>
      <c r="DF53">
        <f t="shared" si="26"/>
        <v>0</v>
      </c>
      <c r="DG53">
        <f t="shared" si="26"/>
        <v>0</v>
      </c>
      <c r="DH53">
        <f t="shared" si="26"/>
        <v>0</v>
      </c>
      <c r="DI53">
        <f t="shared" si="26"/>
        <v>0</v>
      </c>
      <c r="DJ53">
        <f t="shared" si="26"/>
        <v>0</v>
      </c>
      <c r="DK53">
        <f t="shared" si="26"/>
        <v>0</v>
      </c>
      <c r="DL53">
        <f t="shared" si="26"/>
        <v>0</v>
      </c>
      <c r="DM53">
        <f t="shared" si="26"/>
        <v>0</v>
      </c>
      <c r="DN53">
        <f t="shared" si="26"/>
        <v>0</v>
      </c>
      <c r="DO53">
        <f t="shared" si="26"/>
        <v>0</v>
      </c>
      <c r="DP53">
        <f t="shared" si="26"/>
        <v>0</v>
      </c>
      <c r="DQ53">
        <f t="shared" si="26"/>
        <v>0</v>
      </c>
      <c r="DR53">
        <f t="shared" si="26"/>
        <v>0</v>
      </c>
      <c r="DS53">
        <f t="shared" si="26"/>
        <v>0</v>
      </c>
      <c r="DT53">
        <f t="shared" si="26"/>
        <v>0</v>
      </c>
      <c r="DU53">
        <f t="shared" si="26"/>
        <v>0</v>
      </c>
      <c r="DV53">
        <f t="shared" si="26"/>
        <v>0</v>
      </c>
      <c r="DW53">
        <f t="shared" si="26"/>
        <v>0</v>
      </c>
      <c r="DX53">
        <f t="shared" si="26"/>
        <v>0</v>
      </c>
      <c r="DY53">
        <f t="shared" si="26"/>
        <v>0</v>
      </c>
      <c r="DZ53">
        <f t="shared" si="26"/>
        <v>0</v>
      </c>
      <c r="EA53">
        <f t="shared" si="26"/>
        <v>0</v>
      </c>
      <c r="EB53">
        <f t="shared" si="26"/>
        <v>0</v>
      </c>
      <c r="EC53">
        <f t="shared" si="17"/>
        <v>0</v>
      </c>
      <c r="ED53">
        <f t="shared" ref="ED53:FU58" si="27">ED13-ROUNDUP(ED13*0.3,2)</f>
        <v>0</v>
      </c>
      <c r="EE53">
        <f t="shared" si="27"/>
        <v>0</v>
      </c>
      <c r="EF53">
        <f t="shared" si="27"/>
        <v>0</v>
      </c>
      <c r="EG53">
        <f t="shared" si="27"/>
        <v>0</v>
      </c>
      <c r="EH53">
        <f t="shared" si="27"/>
        <v>0</v>
      </c>
      <c r="EI53">
        <f t="shared" si="27"/>
        <v>0</v>
      </c>
      <c r="EJ53">
        <f t="shared" si="27"/>
        <v>0</v>
      </c>
      <c r="EK53">
        <f t="shared" si="27"/>
        <v>0</v>
      </c>
      <c r="EL53">
        <f t="shared" si="27"/>
        <v>0</v>
      </c>
      <c r="EM53">
        <f t="shared" si="27"/>
        <v>0</v>
      </c>
      <c r="EN53">
        <f t="shared" si="27"/>
        <v>0</v>
      </c>
      <c r="EO53">
        <f t="shared" si="27"/>
        <v>0</v>
      </c>
      <c r="EP53">
        <f t="shared" si="27"/>
        <v>0</v>
      </c>
      <c r="EQ53">
        <f t="shared" si="27"/>
        <v>0</v>
      </c>
      <c r="ER53">
        <f t="shared" si="27"/>
        <v>0</v>
      </c>
      <c r="ES53">
        <f t="shared" si="27"/>
        <v>0</v>
      </c>
      <c r="ET53">
        <f t="shared" si="27"/>
        <v>0</v>
      </c>
      <c r="EU53">
        <f t="shared" si="27"/>
        <v>0</v>
      </c>
      <c r="EV53">
        <f t="shared" si="27"/>
        <v>0</v>
      </c>
      <c r="EW53">
        <f t="shared" si="27"/>
        <v>0</v>
      </c>
      <c r="EX53">
        <f t="shared" si="27"/>
        <v>0</v>
      </c>
      <c r="EY53">
        <f t="shared" si="27"/>
        <v>0</v>
      </c>
      <c r="EZ53">
        <f t="shared" si="27"/>
        <v>0</v>
      </c>
      <c r="FA53">
        <f t="shared" si="27"/>
        <v>0</v>
      </c>
      <c r="FB53">
        <f t="shared" si="27"/>
        <v>0</v>
      </c>
      <c r="FC53">
        <f t="shared" si="27"/>
        <v>0</v>
      </c>
      <c r="FD53">
        <f t="shared" si="27"/>
        <v>0</v>
      </c>
      <c r="FE53">
        <f t="shared" si="27"/>
        <v>0</v>
      </c>
      <c r="FF53">
        <f t="shared" si="27"/>
        <v>0</v>
      </c>
      <c r="FG53">
        <f t="shared" si="27"/>
        <v>0</v>
      </c>
      <c r="FH53">
        <f t="shared" si="27"/>
        <v>0</v>
      </c>
      <c r="FI53">
        <f t="shared" si="27"/>
        <v>0</v>
      </c>
      <c r="FJ53">
        <f t="shared" si="27"/>
        <v>0</v>
      </c>
      <c r="FK53">
        <f t="shared" si="27"/>
        <v>0</v>
      </c>
      <c r="FL53">
        <f t="shared" si="27"/>
        <v>0</v>
      </c>
      <c r="FM53">
        <f t="shared" si="27"/>
        <v>0</v>
      </c>
      <c r="FN53">
        <f t="shared" si="27"/>
        <v>0</v>
      </c>
      <c r="FO53">
        <f t="shared" si="27"/>
        <v>0</v>
      </c>
      <c r="FP53">
        <f t="shared" si="27"/>
        <v>0</v>
      </c>
      <c r="FQ53">
        <f t="shared" si="27"/>
        <v>0</v>
      </c>
      <c r="FR53">
        <f t="shared" si="27"/>
        <v>0</v>
      </c>
      <c r="FS53">
        <f t="shared" si="27"/>
        <v>0</v>
      </c>
      <c r="FT53">
        <f t="shared" si="27"/>
        <v>0</v>
      </c>
      <c r="FU53">
        <f t="shared" si="27"/>
        <v>0</v>
      </c>
    </row>
    <row r="54" spans="1:177" x14ac:dyDescent="0.25">
      <c r="A54" t="str">
        <f t="shared" ref="A54:D54" si="28">A14</f>
        <v>Desert Eagle</v>
      </c>
      <c r="B54" t="str">
        <f t="shared" si="28"/>
        <v>Light Rail FN</v>
      </c>
      <c r="C54" t="str">
        <f t="shared" si="28"/>
        <v>Pistol</v>
      </c>
      <c r="D54" t="str">
        <f t="shared" si="28"/>
        <v>Prisma</v>
      </c>
      <c r="E54">
        <f t="shared" si="11"/>
        <v>2.7</v>
      </c>
      <c r="F54">
        <f t="shared" ref="F54:BQ57" si="29">F14-ROUNDUP(F14*0.3,2)</f>
        <v>2.5199999999999996</v>
      </c>
      <c r="G54">
        <f t="shared" si="29"/>
        <v>2.5300000000000002</v>
      </c>
      <c r="H54">
        <f t="shared" si="29"/>
        <v>2.5199999999999996</v>
      </c>
      <c r="I54">
        <f t="shared" si="29"/>
        <v>2.54</v>
      </c>
      <c r="J54">
        <f t="shared" si="29"/>
        <v>2.41</v>
      </c>
      <c r="K54">
        <f t="shared" si="29"/>
        <v>2.6100000000000003</v>
      </c>
      <c r="L54">
        <f t="shared" si="29"/>
        <v>2.46</v>
      </c>
      <c r="M54">
        <f t="shared" si="29"/>
        <v>2.4400000000000004</v>
      </c>
      <c r="N54">
        <f t="shared" si="29"/>
        <v>2.4699999999999998</v>
      </c>
      <c r="O54">
        <f t="shared" si="29"/>
        <v>2.54</v>
      </c>
      <c r="P54">
        <f t="shared" si="29"/>
        <v>2.5099999999999998</v>
      </c>
      <c r="Q54">
        <f t="shared" si="29"/>
        <v>2.42</v>
      </c>
      <c r="R54">
        <f t="shared" si="29"/>
        <v>2.4900000000000002</v>
      </c>
      <c r="S54">
        <f t="shared" si="29"/>
        <v>2.5499999999999998</v>
      </c>
      <c r="T54">
        <f t="shared" si="29"/>
        <v>2.67</v>
      </c>
      <c r="U54">
        <f t="shared" si="29"/>
        <v>2.5300000000000002</v>
      </c>
      <c r="V54">
        <f t="shared" si="29"/>
        <v>2.52</v>
      </c>
      <c r="W54">
        <f t="shared" si="29"/>
        <v>2.5199999999999996</v>
      </c>
      <c r="X54">
        <f t="shared" si="29"/>
        <v>2.4699999999999998</v>
      </c>
      <c r="Y54">
        <f t="shared" si="29"/>
        <v>2.61</v>
      </c>
      <c r="Z54">
        <f t="shared" si="29"/>
        <v>0</v>
      </c>
      <c r="AA54">
        <f t="shared" si="29"/>
        <v>0</v>
      </c>
      <c r="AB54">
        <f t="shared" si="29"/>
        <v>0</v>
      </c>
      <c r="AC54">
        <f t="shared" si="29"/>
        <v>0</v>
      </c>
      <c r="AD54">
        <f t="shared" si="29"/>
        <v>0</v>
      </c>
      <c r="AE54">
        <f t="shared" si="29"/>
        <v>0</v>
      </c>
      <c r="AF54">
        <f t="shared" si="29"/>
        <v>0</v>
      </c>
      <c r="AG54">
        <f t="shared" si="29"/>
        <v>0</v>
      </c>
      <c r="AH54">
        <f t="shared" si="29"/>
        <v>0</v>
      </c>
      <c r="AI54">
        <f t="shared" si="29"/>
        <v>0</v>
      </c>
      <c r="AJ54">
        <f t="shared" si="29"/>
        <v>0</v>
      </c>
      <c r="AK54">
        <f t="shared" si="29"/>
        <v>0</v>
      </c>
      <c r="AL54">
        <f t="shared" si="29"/>
        <v>0</v>
      </c>
      <c r="AM54">
        <f t="shared" si="29"/>
        <v>0</v>
      </c>
      <c r="AN54">
        <f t="shared" si="29"/>
        <v>0</v>
      </c>
      <c r="AO54">
        <f t="shared" si="29"/>
        <v>0</v>
      </c>
      <c r="AP54">
        <f t="shared" si="29"/>
        <v>0</v>
      </c>
      <c r="AQ54">
        <f t="shared" si="29"/>
        <v>0</v>
      </c>
      <c r="AR54">
        <f t="shared" si="29"/>
        <v>0</v>
      </c>
      <c r="AS54">
        <f t="shared" si="29"/>
        <v>0</v>
      </c>
      <c r="AT54">
        <f t="shared" si="29"/>
        <v>0</v>
      </c>
      <c r="AU54">
        <f t="shared" si="29"/>
        <v>0</v>
      </c>
      <c r="AV54">
        <f t="shared" si="29"/>
        <v>0</v>
      </c>
      <c r="AW54">
        <f t="shared" si="29"/>
        <v>0</v>
      </c>
      <c r="AX54">
        <f t="shared" si="29"/>
        <v>0</v>
      </c>
      <c r="AY54">
        <f t="shared" si="29"/>
        <v>0</v>
      </c>
      <c r="AZ54">
        <f t="shared" si="29"/>
        <v>0</v>
      </c>
      <c r="BA54">
        <f t="shared" si="29"/>
        <v>0</v>
      </c>
      <c r="BB54">
        <f t="shared" si="29"/>
        <v>0</v>
      </c>
      <c r="BC54">
        <f t="shared" si="29"/>
        <v>0</v>
      </c>
      <c r="BD54">
        <f t="shared" si="29"/>
        <v>0</v>
      </c>
      <c r="BE54">
        <f t="shared" si="29"/>
        <v>0</v>
      </c>
      <c r="BF54">
        <f t="shared" si="29"/>
        <v>0</v>
      </c>
      <c r="BG54">
        <f t="shared" si="29"/>
        <v>0</v>
      </c>
      <c r="BH54">
        <f t="shared" si="29"/>
        <v>0</v>
      </c>
      <c r="BI54">
        <f t="shared" si="29"/>
        <v>0</v>
      </c>
      <c r="BJ54">
        <f t="shared" si="29"/>
        <v>0</v>
      </c>
      <c r="BK54">
        <f t="shared" si="29"/>
        <v>0</v>
      </c>
      <c r="BL54">
        <f t="shared" si="29"/>
        <v>0</v>
      </c>
      <c r="BM54">
        <f t="shared" si="29"/>
        <v>0</v>
      </c>
      <c r="BN54">
        <f t="shared" si="29"/>
        <v>0</v>
      </c>
      <c r="BO54">
        <f t="shared" si="29"/>
        <v>0</v>
      </c>
      <c r="BP54">
        <f t="shared" si="29"/>
        <v>0</v>
      </c>
      <c r="BQ54">
        <f t="shared" si="29"/>
        <v>0</v>
      </c>
      <c r="BR54">
        <f t="shared" si="26"/>
        <v>0</v>
      </c>
      <c r="BS54">
        <f t="shared" si="26"/>
        <v>0</v>
      </c>
      <c r="BT54">
        <f t="shared" si="26"/>
        <v>0</v>
      </c>
      <c r="BU54">
        <f t="shared" si="26"/>
        <v>0</v>
      </c>
      <c r="BV54">
        <f t="shared" si="26"/>
        <v>0</v>
      </c>
      <c r="BW54">
        <f t="shared" si="26"/>
        <v>0</v>
      </c>
      <c r="BX54">
        <f t="shared" si="26"/>
        <v>0</v>
      </c>
      <c r="BY54">
        <f t="shared" si="26"/>
        <v>0</v>
      </c>
      <c r="BZ54">
        <f t="shared" si="26"/>
        <v>0</v>
      </c>
      <c r="CA54">
        <f t="shared" si="26"/>
        <v>0</v>
      </c>
      <c r="CB54">
        <f t="shared" si="26"/>
        <v>0</v>
      </c>
      <c r="CC54">
        <f t="shared" si="26"/>
        <v>0</v>
      </c>
      <c r="CD54">
        <f t="shared" si="26"/>
        <v>0</v>
      </c>
      <c r="CE54">
        <f t="shared" si="26"/>
        <v>0</v>
      </c>
      <c r="CF54">
        <f t="shared" si="26"/>
        <v>0</v>
      </c>
      <c r="CG54">
        <f t="shared" si="26"/>
        <v>0</v>
      </c>
      <c r="CH54">
        <f t="shared" si="26"/>
        <v>0</v>
      </c>
      <c r="CI54">
        <f t="shared" si="26"/>
        <v>0</v>
      </c>
      <c r="CJ54">
        <f t="shared" si="26"/>
        <v>0</v>
      </c>
      <c r="CK54">
        <f t="shared" si="26"/>
        <v>0</v>
      </c>
      <c r="CL54">
        <f t="shared" si="26"/>
        <v>0</v>
      </c>
      <c r="CM54">
        <f t="shared" si="26"/>
        <v>0</v>
      </c>
      <c r="CN54">
        <f t="shared" si="26"/>
        <v>0</v>
      </c>
      <c r="CO54">
        <f t="shared" si="26"/>
        <v>0</v>
      </c>
      <c r="CP54">
        <f t="shared" si="26"/>
        <v>0</v>
      </c>
      <c r="CQ54">
        <f t="shared" si="26"/>
        <v>0</v>
      </c>
      <c r="CR54">
        <f t="shared" si="26"/>
        <v>0</v>
      </c>
      <c r="CS54">
        <f t="shared" si="26"/>
        <v>0</v>
      </c>
      <c r="CT54">
        <f t="shared" si="26"/>
        <v>0</v>
      </c>
      <c r="CU54">
        <f t="shared" si="26"/>
        <v>0</v>
      </c>
      <c r="CV54">
        <f t="shared" si="26"/>
        <v>0</v>
      </c>
      <c r="CW54">
        <f t="shared" si="26"/>
        <v>0</v>
      </c>
      <c r="CX54">
        <f t="shared" si="26"/>
        <v>0</v>
      </c>
      <c r="CY54">
        <f t="shared" si="26"/>
        <v>0</v>
      </c>
      <c r="CZ54">
        <f t="shared" si="26"/>
        <v>0</v>
      </c>
      <c r="DA54">
        <f t="shared" si="26"/>
        <v>0</v>
      </c>
      <c r="DB54">
        <f t="shared" si="26"/>
        <v>0</v>
      </c>
      <c r="DC54">
        <f t="shared" si="26"/>
        <v>0</v>
      </c>
      <c r="DD54">
        <f t="shared" si="26"/>
        <v>0</v>
      </c>
      <c r="DE54">
        <f t="shared" si="26"/>
        <v>0</v>
      </c>
      <c r="DF54">
        <f t="shared" si="26"/>
        <v>0</v>
      </c>
      <c r="DG54">
        <f t="shared" si="26"/>
        <v>0</v>
      </c>
      <c r="DH54">
        <f t="shared" si="26"/>
        <v>0</v>
      </c>
      <c r="DI54">
        <f t="shared" si="26"/>
        <v>0</v>
      </c>
      <c r="DJ54">
        <f t="shared" si="26"/>
        <v>0</v>
      </c>
      <c r="DK54">
        <f t="shared" si="26"/>
        <v>0</v>
      </c>
      <c r="DL54">
        <f t="shared" si="26"/>
        <v>0</v>
      </c>
      <c r="DM54">
        <f t="shared" si="26"/>
        <v>0</v>
      </c>
      <c r="DN54">
        <f t="shared" si="26"/>
        <v>0</v>
      </c>
      <c r="DO54">
        <f t="shared" si="26"/>
        <v>0</v>
      </c>
      <c r="DP54">
        <f t="shared" si="26"/>
        <v>0</v>
      </c>
      <c r="DQ54">
        <f t="shared" si="26"/>
        <v>0</v>
      </c>
      <c r="DR54">
        <f t="shared" si="26"/>
        <v>0</v>
      </c>
      <c r="DS54">
        <f t="shared" si="26"/>
        <v>0</v>
      </c>
      <c r="DT54">
        <f t="shared" si="26"/>
        <v>0</v>
      </c>
      <c r="DU54">
        <f t="shared" si="26"/>
        <v>0</v>
      </c>
      <c r="DV54">
        <f t="shared" si="26"/>
        <v>0</v>
      </c>
      <c r="DW54">
        <f t="shared" si="26"/>
        <v>0</v>
      </c>
      <c r="DX54">
        <f t="shared" si="26"/>
        <v>0</v>
      </c>
      <c r="DY54">
        <f t="shared" si="26"/>
        <v>0</v>
      </c>
      <c r="DZ54">
        <f t="shared" si="26"/>
        <v>0</v>
      </c>
      <c r="EA54">
        <f t="shared" si="26"/>
        <v>0</v>
      </c>
      <c r="EB54">
        <f t="shared" si="26"/>
        <v>0</v>
      </c>
      <c r="EC54">
        <f t="shared" si="17"/>
        <v>0</v>
      </c>
      <c r="ED54">
        <f t="shared" si="27"/>
        <v>0</v>
      </c>
      <c r="EE54">
        <f t="shared" si="27"/>
        <v>0</v>
      </c>
      <c r="EF54">
        <f t="shared" si="27"/>
        <v>0</v>
      </c>
      <c r="EG54">
        <f t="shared" si="27"/>
        <v>0</v>
      </c>
      <c r="EH54">
        <f t="shared" si="27"/>
        <v>0</v>
      </c>
      <c r="EI54">
        <f t="shared" si="27"/>
        <v>0</v>
      </c>
      <c r="EJ54">
        <f t="shared" si="27"/>
        <v>0</v>
      </c>
      <c r="EK54">
        <f t="shared" si="27"/>
        <v>0</v>
      </c>
      <c r="EL54">
        <f t="shared" si="27"/>
        <v>0</v>
      </c>
      <c r="EM54">
        <f t="shared" si="27"/>
        <v>0</v>
      </c>
      <c r="EN54">
        <f t="shared" si="27"/>
        <v>0</v>
      </c>
      <c r="EO54">
        <f t="shared" si="27"/>
        <v>0</v>
      </c>
      <c r="EP54">
        <f t="shared" si="27"/>
        <v>0</v>
      </c>
      <c r="EQ54">
        <f t="shared" si="27"/>
        <v>0</v>
      </c>
      <c r="ER54">
        <f t="shared" si="27"/>
        <v>0</v>
      </c>
      <c r="ES54">
        <f t="shared" si="27"/>
        <v>0</v>
      </c>
      <c r="ET54">
        <f t="shared" si="27"/>
        <v>0</v>
      </c>
      <c r="EU54">
        <f t="shared" si="27"/>
        <v>0</v>
      </c>
      <c r="EV54">
        <f t="shared" si="27"/>
        <v>0</v>
      </c>
      <c r="EW54">
        <f t="shared" si="27"/>
        <v>0</v>
      </c>
      <c r="EX54">
        <f t="shared" si="27"/>
        <v>0</v>
      </c>
      <c r="EY54">
        <f t="shared" si="27"/>
        <v>0</v>
      </c>
      <c r="EZ54">
        <f t="shared" si="27"/>
        <v>0</v>
      </c>
      <c r="FA54">
        <f t="shared" si="27"/>
        <v>0</v>
      </c>
      <c r="FB54">
        <f t="shared" si="27"/>
        <v>0</v>
      </c>
      <c r="FC54">
        <f t="shared" si="27"/>
        <v>0</v>
      </c>
      <c r="FD54">
        <f t="shared" si="27"/>
        <v>0</v>
      </c>
      <c r="FE54">
        <f t="shared" si="27"/>
        <v>0</v>
      </c>
      <c r="FF54">
        <f t="shared" si="27"/>
        <v>0</v>
      </c>
      <c r="FG54">
        <f t="shared" si="27"/>
        <v>0</v>
      </c>
      <c r="FH54">
        <f t="shared" si="27"/>
        <v>0</v>
      </c>
      <c r="FI54">
        <f t="shared" si="27"/>
        <v>0</v>
      </c>
      <c r="FJ54">
        <f t="shared" si="27"/>
        <v>0</v>
      </c>
      <c r="FK54">
        <f t="shared" si="27"/>
        <v>0</v>
      </c>
      <c r="FL54">
        <f t="shared" si="27"/>
        <v>0</v>
      </c>
      <c r="FM54">
        <f t="shared" si="27"/>
        <v>0</v>
      </c>
      <c r="FN54">
        <f t="shared" si="27"/>
        <v>0</v>
      </c>
      <c r="FO54">
        <f t="shared" si="27"/>
        <v>0</v>
      </c>
      <c r="FP54">
        <f t="shared" si="27"/>
        <v>0</v>
      </c>
      <c r="FQ54">
        <f t="shared" si="27"/>
        <v>0</v>
      </c>
      <c r="FR54">
        <f t="shared" si="27"/>
        <v>0</v>
      </c>
      <c r="FS54">
        <f t="shared" si="27"/>
        <v>0</v>
      </c>
      <c r="FT54">
        <f t="shared" si="27"/>
        <v>0</v>
      </c>
      <c r="FU54">
        <f t="shared" si="27"/>
        <v>0</v>
      </c>
    </row>
    <row r="55" spans="1:177" x14ac:dyDescent="0.25">
      <c r="A55" t="str">
        <f t="shared" ref="A55:D55" si="30">A15</f>
        <v>Five-SeveN</v>
      </c>
      <c r="B55" t="str">
        <f t="shared" si="30"/>
        <v>Hyper Beast MW</v>
      </c>
      <c r="C55" t="str">
        <f t="shared" si="30"/>
        <v>Pistol</v>
      </c>
      <c r="D55" t="str">
        <f t="shared" si="30"/>
        <v>Hydra</v>
      </c>
      <c r="E55">
        <f t="shared" si="11"/>
        <v>19.64</v>
      </c>
      <c r="F55">
        <f t="shared" si="29"/>
        <v>20.82</v>
      </c>
      <c r="G55">
        <f t="shared" si="29"/>
        <v>19.5</v>
      </c>
      <c r="H55">
        <f t="shared" si="29"/>
        <v>21.67</v>
      </c>
      <c r="I55">
        <f t="shared" si="29"/>
        <v>21.36</v>
      </c>
      <c r="J55">
        <f t="shared" si="29"/>
        <v>21.35</v>
      </c>
      <c r="K55">
        <f t="shared" si="29"/>
        <v>21.650000000000002</v>
      </c>
      <c r="L55">
        <f t="shared" si="29"/>
        <v>19.53</v>
      </c>
      <c r="M55">
        <f t="shared" si="29"/>
        <v>21.33</v>
      </c>
      <c r="N55">
        <f t="shared" si="29"/>
        <v>20.45</v>
      </c>
      <c r="O55">
        <f t="shared" si="29"/>
        <v>20.86</v>
      </c>
      <c r="P55">
        <f t="shared" si="29"/>
        <v>21.11</v>
      </c>
      <c r="Q55">
        <f t="shared" si="29"/>
        <v>21.14</v>
      </c>
      <c r="R55">
        <f t="shared" si="29"/>
        <v>20.96</v>
      </c>
      <c r="S55">
        <f t="shared" si="29"/>
        <v>18.730000000000004</v>
      </c>
      <c r="T55">
        <f t="shared" si="29"/>
        <v>21.490000000000002</v>
      </c>
      <c r="U55">
        <f t="shared" si="29"/>
        <v>20.56</v>
      </c>
      <c r="V55">
        <f t="shared" si="29"/>
        <v>20.67</v>
      </c>
      <c r="W55">
        <f t="shared" si="29"/>
        <v>20.300000000000004</v>
      </c>
      <c r="X55">
        <f t="shared" si="29"/>
        <v>20.16</v>
      </c>
      <c r="Y55">
        <f t="shared" si="29"/>
        <v>20.549999999999997</v>
      </c>
      <c r="Z55">
        <f t="shared" si="29"/>
        <v>0</v>
      </c>
      <c r="AA55">
        <f t="shared" si="29"/>
        <v>0</v>
      </c>
      <c r="AB55">
        <f t="shared" si="29"/>
        <v>0</v>
      </c>
      <c r="AC55">
        <f t="shared" si="29"/>
        <v>0</v>
      </c>
      <c r="AD55">
        <f t="shared" si="29"/>
        <v>0</v>
      </c>
      <c r="AE55">
        <f t="shared" si="29"/>
        <v>0</v>
      </c>
      <c r="AF55">
        <f t="shared" si="29"/>
        <v>0</v>
      </c>
      <c r="AG55">
        <f t="shared" si="29"/>
        <v>0</v>
      </c>
      <c r="AH55">
        <f t="shared" si="29"/>
        <v>0</v>
      </c>
      <c r="AI55">
        <f t="shared" si="29"/>
        <v>0</v>
      </c>
      <c r="AJ55">
        <f t="shared" si="29"/>
        <v>0</v>
      </c>
      <c r="AK55">
        <f t="shared" si="29"/>
        <v>0</v>
      </c>
      <c r="AL55">
        <f t="shared" si="29"/>
        <v>0</v>
      </c>
      <c r="AM55">
        <f t="shared" si="29"/>
        <v>0</v>
      </c>
      <c r="AN55">
        <f t="shared" si="29"/>
        <v>0</v>
      </c>
      <c r="AO55">
        <f t="shared" si="29"/>
        <v>0</v>
      </c>
      <c r="AP55">
        <f t="shared" si="29"/>
        <v>0</v>
      </c>
      <c r="AQ55">
        <f t="shared" si="29"/>
        <v>0</v>
      </c>
      <c r="AR55">
        <f t="shared" si="29"/>
        <v>0</v>
      </c>
      <c r="AS55">
        <f t="shared" si="29"/>
        <v>0</v>
      </c>
      <c r="AT55">
        <f t="shared" si="29"/>
        <v>0</v>
      </c>
      <c r="AU55">
        <f t="shared" si="29"/>
        <v>0</v>
      </c>
      <c r="AV55">
        <f t="shared" si="29"/>
        <v>0</v>
      </c>
      <c r="AW55">
        <f t="shared" si="29"/>
        <v>0</v>
      </c>
      <c r="AX55">
        <f t="shared" si="29"/>
        <v>0</v>
      </c>
      <c r="AY55">
        <f t="shared" si="29"/>
        <v>0</v>
      </c>
      <c r="AZ55">
        <f t="shared" si="29"/>
        <v>0</v>
      </c>
      <c r="BA55">
        <f t="shared" si="29"/>
        <v>0</v>
      </c>
      <c r="BB55">
        <f t="shared" si="29"/>
        <v>0</v>
      </c>
      <c r="BC55">
        <f t="shared" si="29"/>
        <v>0</v>
      </c>
      <c r="BD55">
        <f t="shared" si="29"/>
        <v>0</v>
      </c>
      <c r="BE55">
        <f t="shared" si="29"/>
        <v>0</v>
      </c>
      <c r="BF55">
        <f t="shared" si="29"/>
        <v>0</v>
      </c>
      <c r="BG55">
        <f t="shared" si="29"/>
        <v>0</v>
      </c>
      <c r="BH55">
        <f t="shared" si="29"/>
        <v>0</v>
      </c>
      <c r="BI55">
        <f t="shared" si="29"/>
        <v>0</v>
      </c>
      <c r="BJ55">
        <f t="shared" si="29"/>
        <v>0</v>
      </c>
      <c r="BK55">
        <f t="shared" si="29"/>
        <v>0</v>
      </c>
      <c r="BL55">
        <f t="shared" si="29"/>
        <v>0</v>
      </c>
      <c r="BM55">
        <f t="shared" si="29"/>
        <v>0</v>
      </c>
      <c r="BN55">
        <f t="shared" si="29"/>
        <v>0</v>
      </c>
      <c r="BO55">
        <f t="shared" si="29"/>
        <v>0</v>
      </c>
      <c r="BP55">
        <f t="shared" si="29"/>
        <v>0</v>
      </c>
      <c r="BQ55">
        <f t="shared" si="29"/>
        <v>0</v>
      </c>
      <c r="BR55">
        <f t="shared" si="26"/>
        <v>0</v>
      </c>
      <c r="BS55">
        <f t="shared" si="26"/>
        <v>0</v>
      </c>
      <c r="BT55">
        <f t="shared" si="26"/>
        <v>0</v>
      </c>
      <c r="BU55">
        <f t="shared" si="26"/>
        <v>0</v>
      </c>
      <c r="BV55">
        <f t="shared" si="26"/>
        <v>0</v>
      </c>
      <c r="BW55">
        <f t="shared" si="26"/>
        <v>0</v>
      </c>
      <c r="BX55">
        <f t="shared" si="26"/>
        <v>0</v>
      </c>
      <c r="BY55">
        <f t="shared" si="26"/>
        <v>0</v>
      </c>
      <c r="BZ55">
        <f t="shared" si="26"/>
        <v>0</v>
      </c>
      <c r="CA55">
        <f t="shared" si="26"/>
        <v>0</v>
      </c>
      <c r="CB55">
        <f t="shared" si="26"/>
        <v>0</v>
      </c>
      <c r="CC55">
        <f t="shared" si="26"/>
        <v>0</v>
      </c>
      <c r="CD55">
        <f t="shared" si="26"/>
        <v>0</v>
      </c>
      <c r="CE55">
        <f t="shared" si="26"/>
        <v>0</v>
      </c>
      <c r="CF55">
        <f t="shared" si="26"/>
        <v>0</v>
      </c>
      <c r="CG55">
        <f t="shared" si="26"/>
        <v>0</v>
      </c>
      <c r="CH55">
        <f t="shared" si="26"/>
        <v>0</v>
      </c>
      <c r="CI55">
        <f t="shared" si="26"/>
        <v>0</v>
      </c>
      <c r="CJ55">
        <f t="shared" si="26"/>
        <v>0</v>
      </c>
      <c r="CK55">
        <f t="shared" si="26"/>
        <v>0</v>
      </c>
      <c r="CL55">
        <f t="shared" si="26"/>
        <v>0</v>
      </c>
      <c r="CM55">
        <f t="shared" si="26"/>
        <v>0</v>
      </c>
      <c r="CN55">
        <f t="shared" si="26"/>
        <v>0</v>
      </c>
      <c r="CO55">
        <f t="shared" si="26"/>
        <v>0</v>
      </c>
      <c r="CP55">
        <f t="shared" si="26"/>
        <v>0</v>
      </c>
      <c r="CQ55">
        <f t="shared" si="26"/>
        <v>0</v>
      </c>
      <c r="CR55">
        <f t="shared" si="26"/>
        <v>0</v>
      </c>
      <c r="CS55">
        <f t="shared" si="26"/>
        <v>0</v>
      </c>
      <c r="CT55">
        <f t="shared" si="26"/>
        <v>0</v>
      </c>
      <c r="CU55">
        <f t="shared" si="26"/>
        <v>0</v>
      </c>
      <c r="CV55">
        <f t="shared" si="26"/>
        <v>0</v>
      </c>
      <c r="CW55">
        <f t="shared" si="26"/>
        <v>0</v>
      </c>
      <c r="CX55">
        <f t="shared" si="26"/>
        <v>0</v>
      </c>
      <c r="CY55">
        <f t="shared" si="26"/>
        <v>0</v>
      </c>
      <c r="CZ55">
        <f t="shared" si="26"/>
        <v>0</v>
      </c>
      <c r="DA55">
        <f t="shared" si="26"/>
        <v>0</v>
      </c>
      <c r="DB55">
        <f t="shared" si="26"/>
        <v>0</v>
      </c>
      <c r="DC55">
        <f t="shared" si="26"/>
        <v>0</v>
      </c>
      <c r="DD55">
        <f t="shared" si="26"/>
        <v>0</v>
      </c>
      <c r="DE55">
        <f t="shared" si="26"/>
        <v>0</v>
      </c>
      <c r="DF55">
        <f t="shared" si="26"/>
        <v>0</v>
      </c>
      <c r="DG55">
        <f t="shared" si="26"/>
        <v>0</v>
      </c>
      <c r="DH55">
        <f t="shared" si="26"/>
        <v>0</v>
      </c>
      <c r="DI55">
        <f t="shared" si="26"/>
        <v>0</v>
      </c>
      <c r="DJ55">
        <f t="shared" si="26"/>
        <v>0</v>
      </c>
      <c r="DK55">
        <f t="shared" si="26"/>
        <v>0</v>
      </c>
      <c r="DL55">
        <f t="shared" si="26"/>
        <v>0</v>
      </c>
      <c r="DM55">
        <f t="shared" si="26"/>
        <v>0</v>
      </c>
      <c r="DN55">
        <f t="shared" si="26"/>
        <v>0</v>
      </c>
      <c r="DO55">
        <f t="shared" si="26"/>
        <v>0</v>
      </c>
      <c r="DP55">
        <f t="shared" si="26"/>
        <v>0</v>
      </c>
      <c r="DQ55">
        <f t="shared" si="26"/>
        <v>0</v>
      </c>
      <c r="DR55">
        <f t="shared" si="26"/>
        <v>0</v>
      </c>
      <c r="DS55">
        <f t="shared" si="26"/>
        <v>0</v>
      </c>
      <c r="DT55">
        <f t="shared" si="26"/>
        <v>0</v>
      </c>
      <c r="DU55">
        <f t="shared" si="26"/>
        <v>0</v>
      </c>
      <c r="DV55">
        <f t="shared" si="26"/>
        <v>0</v>
      </c>
      <c r="DW55">
        <f t="shared" si="26"/>
        <v>0</v>
      </c>
      <c r="DX55">
        <f t="shared" si="26"/>
        <v>0</v>
      </c>
      <c r="DY55">
        <f t="shared" si="26"/>
        <v>0</v>
      </c>
      <c r="DZ55">
        <f t="shared" si="26"/>
        <v>0</v>
      </c>
      <c r="EA55">
        <f t="shared" si="26"/>
        <v>0</v>
      </c>
      <c r="EB55">
        <f t="shared" si="26"/>
        <v>0</v>
      </c>
      <c r="EC55">
        <f t="shared" si="17"/>
        <v>0</v>
      </c>
      <c r="ED55">
        <f t="shared" si="27"/>
        <v>0</v>
      </c>
      <c r="EE55">
        <f t="shared" si="27"/>
        <v>0</v>
      </c>
      <c r="EF55">
        <f t="shared" si="27"/>
        <v>0</v>
      </c>
      <c r="EG55">
        <f t="shared" si="27"/>
        <v>0</v>
      </c>
      <c r="EH55">
        <f t="shared" si="27"/>
        <v>0</v>
      </c>
      <c r="EI55">
        <f t="shared" si="27"/>
        <v>0</v>
      </c>
      <c r="EJ55">
        <f t="shared" si="27"/>
        <v>0</v>
      </c>
      <c r="EK55">
        <f t="shared" si="27"/>
        <v>0</v>
      </c>
      <c r="EL55">
        <f t="shared" si="27"/>
        <v>0</v>
      </c>
      <c r="EM55">
        <f t="shared" si="27"/>
        <v>0</v>
      </c>
      <c r="EN55">
        <f t="shared" si="27"/>
        <v>0</v>
      </c>
      <c r="EO55">
        <f t="shared" si="27"/>
        <v>0</v>
      </c>
      <c r="EP55">
        <f t="shared" si="27"/>
        <v>0</v>
      </c>
      <c r="EQ55">
        <f t="shared" si="27"/>
        <v>0</v>
      </c>
      <c r="ER55">
        <f t="shared" si="27"/>
        <v>0</v>
      </c>
      <c r="ES55">
        <f t="shared" si="27"/>
        <v>0</v>
      </c>
      <c r="ET55">
        <f t="shared" si="27"/>
        <v>0</v>
      </c>
      <c r="EU55">
        <f t="shared" si="27"/>
        <v>0</v>
      </c>
      <c r="EV55">
        <f t="shared" si="27"/>
        <v>0</v>
      </c>
      <c r="EW55">
        <f t="shared" si="27"/>
        <v>0</v>
      </c>
      <c r="EX55">
        <f t="shared" si="27"/>
        <v>0</v>
      </c>
      <c r="EY55">
        <f t="shared" si="27"/>
        <v>0</v>
      </c>
      <c r="EZ55">
        <f t="shared" si="27"/>
        <v>0</v>
      </c>
      <c r="FA55">
        <f t="shared" si="27"/>
        <v>0</v>
      </c>
      <c r="FB55">
        <f t="shared" si="27"/>
        <v>0</v>
      </c>
      <c r="FC55">
        <f t="shared" si="27"/>
        <v>0</v>
      </c>
      <c r="FD55">
        <f t="shared" si="27"/>
        <v>0</v>
      </c>
      <c r="FE55">
        <f t="shared" si="27"/>
        <v>0</v>
      </c>
      <c r="FF55">
        <f t="shared" si="27"/>
        <v>0</v>
      </c>
      <c r="FG55">
        <f t="shared" si="27"/>
        <v>0</v>
      </c>
      <c r="FH55">
        <f t="shared" si="27"/>
        <v>0</v>
      </c>
      <c r="FI55">
        <f t="shared" si="27"/>
        <v>0</v>
      </c>
      <c r="FJ55">
        <f t="shared" si="27"/>
        <v>0</v>
      </c>
      <c r="FK55">
        <f t="shared" si="27"/>
        <v>0</v>
      </c>
      <c r="FL55">
        <f t="shared" si="27"/>
        <v>0</v>
      </c>
      <c r="FM55">
        <f t="shared" si="27"/>
        <v>0</v>
      </c>
      <c r="FN55">
        <f t="shared" si="27"/>
        <v>0</v>
      </c>
      <c r="FO55">
        <f t="shared" si="27"/>
        <v>0</v>
      </c>
      <c r="FP55">
        <f t="shared" si="27"/>
        <v>0</v>
      </c>
      <c r="FQ55">
        <f t="shared" si="27"/>
        <v>0</v>
      </c>
      <c r="FR55">
        <f t="shared" si="27"/>
        <v>0</v>
      </c>
      <c r="FS55">
        <f t="shared" si="27"/>
        <v>0</v>
      </c>
      <c r="FT55">
        <f t="shared" si="27"/>
        <v>0</v>
      </c>
      <c r="FU55">
        <f t="shared" si="27"/>
        <v>0</v>
      </c>
    </row>
    <row r="56" spans="1:177" x14ac:dyDescent="0.25">
      <c r="A56" t="str">
        <f t="shared" ref="A56:D56" si="31">A16</f>
        <v>Five-SeveN</v>
      </c>
      <c r="B56" t="str">
        <f t="shared" si="31"/>
        <v>Angry Mob MW</v>
      </c>
      <c r="C56" t="str">
        <f t="shared" si="31"/>
        <v>Pistol</v>
      </c>
      <c r="D56" t="str">
        <f t="shared" si="31"/>
        <v>Prisma</v>
      </c>
      <c r="E56">
        <f t="shared" si="11"/>
        <v>3.99</v>
      </c>
      <c r="F56">
        <f t="shared" si="29"/>
        <v>3.8</v>
      </c>
      <c r="G56">
        <f t="shared" si="29"/>
        <v>3.8100000000000005</v>
      </c>
      <c r="H56">
        <f t="shared" si="29"/>
        <v>3.59</v>
      </c>
      <c r="I56">
        <f t="shared" si="29"/>
        <v>3.6499999999999995</v>
      </c>
      <c r="J56">
        <f t="shared" si="29"/>
        <v>3.8300000000000005</v>
      </c>
      <c r="K56">
        <f t="shared" si="29"/>
        <v>3.75</v>
      </c>
      <c r="L56">
        <f t="shared" si="29"/>
        <v>3.59</v>
      </c>
      <c r="M56">
        <f t="shared" si="29"/>
        <v>3.5599999999999996</v>
      </c>
      <c r="N56">
        <f t="shared" si="29"/>
        <v>3.51</v>
      </c>
      <c r="O56">
        <f t="shared" si="29"/>
        <v>3.7299999999999995</v>
      </c>
      <c r="P56">
        <f t="shared" si="29"/>
        <v>3.6499999999999995</v>
      </c>
      <c r="Q56">
        <f t="shared" si="29"/>
        <v>3.64</v>
      </c>
      <c r="R56">
        <f t="shared" si="29"/>
        <v>3.58</v>
      </c>
      <c r="S56">
        <f t="shared" si="29"/>
        <v>3.75</v>
      </c>
      <c r="T56">
        <f t="shared" si="29"/>
        <v>3.75</v>
      </c>
      <c r="U56">
        <f t="shared" si="29"/>
        <v>3.67</v>
      </c>
      <c r="V56">
        <f t="shared" si="29"/>
        <v>3.66</v>
      </c>
      <c r="W56">
        <f t="shared" si="29"/>
        <v>3.61</v>
      </c>
      <c r="X56">
        <f t="shared" si="29"/>
        <v>3.51</v>
      </c>
      <c r="Y56">
        <f t="shared" si="29"/>
        <v>3.7299999999999995</v>
      </c>
      <c r="Z56">
        <f t="shared" si="29"/>
        <v>0</v>
      </c>
      <c r="AA56">
        <f t="shared" si="29"/>
        <v>0</v>
      </c>
      <c r="AB56">
        <f t="shared" si="29"/>
        <v>0</v>
      </c>
      <c r="AC56">
        <f t="shared" si="29"/>
        <v>0</v>
      </c>
      <c r="AD56">
        <f t="shared" si="29"/>
        <v>0</v>
      </c>
      <c r="AE56">
        <f t="shared" si="29"/>
        <v>0</v>
      </c>
      <c r="AF56">
        <f t="shared" si="29"/>
        <v>0</v>
      </c>
      <c r="AG56">
        <f t="shared" si="29"/>
        <v>0</v>
      </c>
      <c r="AH56">
        <f t="shared" si="29"/>
        <v>0</v>
      </c>
      <c r="AI56">
        <f t="shared" si="29"/>
        <v>0</v>
      </c>
      <c r="AJ56">
        <f t="shared" si="29"/>
        <v>0</v>
      </c>
      <c r="AK56">
        <f t="shared" si="29"/>
        <v>0</v>
      </c>
      <c r="AL56">
        <f t="shared" si="29"/>
        <v>0</v>
      </c>
      <c r="AM56">
        <f t="shared" si="29"/>
        <v>0</v>
      </c>
      <c r="AN56">
        <f t="shared" si="29"/>
        <v>0</v>
      </c>
      <c r="AO56">
        <f t="shared" si="29"/>
        <v>0</v>
      </c>
      <c r="AP56">
        <f t="shared" si="29"/>
        <v>0</v>
      </c>
      <c r="AQ56">
        <f t="shared" si="29"/>
        <v>0</v>
      </c>
      <c r="AR56">
        <f t="shared" si="29"/>
        <v>0</v>
      </c>
      <c r="AS56">
        <f t="shared" si="29"/>
        <v>0</v>
      </c>
      <c r="AT56">
        <f t="shared" si="29"/>
        <v>0</v>
      </c>
      <c r="AU56">
        <f t="shared" si="29"/>
        <v>0</v>
      </c>
      <c r="AV56">
        <f t="shared" si="29"/>
        <v>0</v>
      </c>
      <c r="AW56">
        <f t="shared" si="29"/>
        <v>0</v>
      </c>
      <c r="AX56">
        <f t="shared" si="29"/>
        <v>0</v>
      </c>
      <c r="AY56">
        <f t="shared" si="29"/>
        <v>0</v>
      </c>
      <c r="AZ56">
        <f t="shared" si="29"/>
        <v>0</v>
      </c>
      <c r="BA56">
        <f t="shared" si="29"/>
        <v>0</v>
      </c>
      <c r="BB56">
        <f t="shared" si="29"/>
        <v>0</v>
      </c>
      <c r="BC56">
        <f t="shared" si="29"/>
        <v>0</v>
      </c>
      <c r="BD56">
        <f t="shared" si="29"/>
        <v>0</v>
      </c>
      <c r="BE56">
        <f t="shared" si="29"/>
        <v>0</v>
      </c>
      <c r="BF56">
        <f t="shared" si="29"/>
        <v>0</v>
      </c>
      <c r="BG56">
        <f t="shared" si="29"/>
        <v>0</v>
      </c>
      <c r="BH56">
        <f t="shared" si="29"/>
        <v>0</v>
      </c>
      <c r="BI56">
        <f t="shared" si="29"/>
        <v>0</v>
      </c>
      <c r="BJ56">
        <f t="shared" si="29"/>
        <v>0</v>
      </c>
      <c r="BK56">
        <f t="shared" si="29"/>
        <v>0</v>
      </c>
      <c r="BL56">
        <f t="shared" si="29"/>
        <v>0</v>
      </c>
      <c r="BM56">
        <f t="shared" si="29"/>
        <v>0</v>
      </c>
      <c r="BN56">
        <f t="shared" si="29"/>
        <v>0</v>
      </c>
      <c r="BO56">
        <f t="shared" si="29"/>
        <v>0</v>
      </c>
      <c r="BP56">
        <f t="shared" si="29"/>
        <v>0</v>
      </c>
      <c r="BQ56">
        <f t="shared" si="29"/>
        <v>0</v>
      </c>
      <c r="BR56">
        <f t="shared" si="26"/>
        <v>0</v>
      </c>
      <c r="BS56">
        <f t="shared" si="26"/>
        <v>0</v>
      </c>
      <c r="BT56">
        <f t="shared" si="26"/>
        <v>0</v>
      </c>
      <c r="BU56">
        <f t="shared" si="26"/>
        <v>0</v>
      </c>
      <c r="BV56">
        <f t="shared" si="26"/>
        <v>0</v>
      </c>
      <c r="BW56">
        <f t="shared" si="26"/>
        <v>0</v>
      </c>
      <c r="BX56">
        <f t="shared" si="26"/>
        <v>0</v>
      </c>
      <c r="BY56">
        <f t="shared" si="26"/>
        <v>0</v>
      </c>
      <c r="BZ56">
        <f t="shared" si="26"/>
        <v>0</v>
      </c>
      <c r="CA56">
        <f t="shared" si="26"/>
        <v>0</v>
      </c>
      <c r="CB56">
        <f t="shared" si="26"/>
        <v>0</v>
      </c>
      <c r="CC56">
        <f t="shared" si="26"/>
        <v>0</v>
      </c>
      <c r="CD56">
        <f t="shared" si="26"/>
        <v>0</v>
      </c>
      <c r="CE56">
        <f t="shared" si="26"/>
        <v>0</v>
      </c>
      <c r="CF56">
        <f t="shared" si="26"/>
        <v>0</v>
      </c>
      <c r="CG56">
        <f t="shared" si="26"/>
        <v>0</v>
      </c>
      <c r="CH56">
        <f t="shared" si="26"/>
        <v>0</v>
      </c>
      <c r="CI56">
        <f t="shared" si="26"/>
        <v>0</v>
      </c>
      <c r="CJ56">
        <f t="shared" si="26"/>
        <v>0</v>
      </c>
      <c r="CK56">
        <f t="shared" si="26"/>
        <v>0</v>
      </c>
      <c r="CL56">
        <f t="shared" si="26"/>
        <v>0</v>
      </c>
      <c r="CM56">
        <f t="shared" si="26"/>
        <v>0</v>
      </c>
      <c r="CN56">
        <f t="shared" si="26"/>
        <v>0</v>
      </c>
      <c r="CO56">
        <f t="shared" si="26"/>
        <v>0</v>
      </c>
      <c r="CP56">
        <f t="shared" si="26"/>
        <v>0</v>
      </c>
      <c r="CQ56">
        <f t="shared" si="26"/>
        <v>0</v>
      </c>
      <c r="CR56">
        <f t="shared" si="26"/>
        <v>0</v>
      </c>
      <c r="CS56">
        <f t="shared" si="26"/>
        <v>0</v>
      </c>
      <c r="CT56">
        <f t="shared" si="26"/>
        <v>0</v>
      </c>
      <c r="CU56">
        <f t="shared" si="26"/>
        <v>0</v>
      </c>
      <c r="CV56">
        <f t="shared" si="26"/>
        <v>0</v>
      </c>
      <c r="CW56">
        <f t="shared" si="26"/>
        <v>0</v>
      </c>
      <c r="CX56">
        <f t="shared" si="26"/>
        <v>0</v>
      </c>
      <c r="CY56">
        <f t="shared" si="26"/>
        <v>0</v>
      </c>
      <c r="CZ56">
        <f t="shared" si="26"/>
        <v>0</v>
      </c>
      <c r="DA56">
        <f t="shared" si="26"/>
        <v>0</v>
      </c>
      <c r="DB56">
        <f t="shared" si="26"/>
        <v>0</v>
      </c>
      <c r="DC56">
        <f t="shared" si="26"/>
        <v>0</v>
      </c>
      <c r="DD56">
        <f t="shared" si="26"/>
        <v>0</v>
      </c>
      <c r="DE56">
        <f t="shared" si="26"/>
        <v>0</v>
      </c>
      <c r="DF56">
        <f t="shared" si="26"/>
        <v>0</v>
      </c>
      <c r="DG56">
        <f t="shared" si="26"/>
        <v>0</v>
      </c>
      <c r="DH56">
        <f t="shared" si="26"/>
        <v>0</v>
      </c>
      <c r="DI56">
        <f t="shared" si="26"/>
        <v>0</v>
      </c>
      <c r="DJ56">
        <f t="shared" si="26"/>
        <v>0</v>
      </c>
      <c r="DK56">
        <f t="shared" si="26"/>
        <v>0</v>
      </c>
      <c r="DL56">
        <f t="shared" si="26"/>
        <v>0</v>
      </c>
      <c r="DM56">
        <f t="shared" si="26"/>
        <v>0</v>
      </c>
      <c r="DN56">
        <f t="shared" si="26"/>
        <v>0</v>
      </c>
      <c r="DO56">
        <f t="shared" si="26"/>
        <v>0</v>
      </c>
      <c r="DP56">
        <f t="shared" si="26"/>
        <v>0</v>
      </c>
      <c r="DQ56">
        <f t="shared" si="26"/>
        <v>0</v>
      </c>
      <c r="DR56">
        <f t="shared" si="26"/>
        <v>0</v>
      </c>
      <c r="DS56">
        <f t="shared" si="26"/>
        <v>0</v>
      </c>
      <c r="DT56">
        <f t="shared" si="26"/>
        <v>0</v>
      </c>
      <c r="DU56">
        <f t="shared" si="26"/>
        <v>0</v>
      </c>
      <c r="DV56">
        <f t="shared" si="26"/>
        <v>0</v>
      </c>
      <c r="DW56">
        <f t="shared" si="26"/>
        <v>0</v>
      </c>
      <c r="DX56">
        <f t="shared" si="26"/>
        <v>0</v>
      </c>
      <c r="DY56">
        <f t="shared" si="26"/>
        <v>0</v>
      </c>
      <c r="DZ56">
        <f t="shared" si="26"/>
        <v>0</v>
      </c>
      <c r="EA56">
        <f t="shared" si="26"/>
        <v>0</v>
      </c>
      <c r="EB56">
        <f t="shared" si="26"/>
        <v>0</v>
      </c>
      <c r="EC56">
        <f t="shared" si="17"/>
        <v>0</v>
      </c>
      <c r="ED56">
        <f t="shared" si="27"/>
        <v>0</v>
      </c>
      <c r="EE56">
        <f t="shared" si="27"/>
        <v>0</v>
      </c>
      <c r="EF56">
        <f t="shared" si="27"/>
        <v>0</v>
      </c>
      <c r="EG56">
        <f t="shared" si="27"/>
        <v>0</v>
      </c>
      <c r="EH56">
        <f t="shared" si="27"/>
        <v>0</v>
      </c>
      <c r="EI56">
        <f t="shared" si="27"/>
        <v>0</v>
      </c>
      <c r="EJ56">
        <f t="shared" si="27"/>
        <v>0</v>
      </c>
      <c r="EK56">
        <f t="shared" si="27"/>
        <v>0</v>
      </c>
      <c r="EL56">
        <f t="shared" si="27"/>
        <v>0</v>
      </c>
      <c r="EM56">
        <f t="shared" si="27"/>
        <v>0</v>
      </c>
      <c r="EN56">
        <f t="shared" si="27"/>
        <v>0</v>
      </c>
      <c r="EO56">
        <f t="shared" si="27"/>
        <v>0</v>
      </c>
      <c r="EP56">
        <f t="shared" si="27"/>
        <v>0</v>
      </c>
      <c r="EQ56">
        <f t="shared" si="27"/>
        <v>0</v>
      </c>
      <c r="ER56">
        <f t="shared" si="27"/>
        <v>0</v>
      </c>
      <c r="ES56">
        <f t="shared" si="27"/>
        <v>0</v>
      </c>
      <c r="ET56">
        <f t="shared" si="27"/>
        <v>0</v>
      </c>
      <c r="EU56">
        <f t="shared" si="27"/>
        <v>0</v>
      </c>
      <c r="EV56">
        <f t="shared" si="27"/>
        <v>0</v>
      </c>
      <c r="EW56">
        <f t="shared" si="27"/>
        <v>0</v>
      </c>
      <c r="EX56">
        <f t="shared" si="27"/>
        <v>0</v>
      </c>
      <c r="EY56">
        <f t="shared" si="27"/>
        <v>0</v>
      </c>
      <c r="EZ56">
        <f t="shared" si="27"/>
        <v>0</v>
      </c>
      <c r="FA56">
        <f t="shared" si="27"/>
        <v>0</v>
      </c>
      <c r="FB56">
        <f t="shared" si="27"/>
        <v>0</v>
      </c>
      <c r="FC56">
        <f t="shared" si="27"/>
        <v>0</v>
      </c>
      <c r="FD56">
        <f t="shared" si="27"/>
        <v>0</v>
      </c>
      <c r="FE56">
        <f t="shared" si="27"/>
        <v>0</v>
      </c>
      <c r="FF56">
        <f t="shared" si="27"/>
        <v>0</v>
      </c>
      <c r="FG56">
        <f t="shared" si="27"/>
        <v>0</v>
      </c>
      <c r="FH56">
        <f t="shared" si="27"/>
        <v>0</v>
      </c>
      <c r="FI56">
        <f t="shared" si="27"/>
        <v>0</v>
      </c>
      <c r="FJ56">
        <f t="shared" si="27"/>
        <v>0</v>
      </c>
      <c r="FK56">
        <f t="shared" si="27"/>
        <v>0</v>
      </c>
      <c r="FL56">
        <f t="shared" si="27"/>
        <v>0</v>
      </c>
      <c r="FM56">
        <f t="shared" si="27"/>
        <v>0</v>
      </c>
      <c r="FN56">
        <f t="shared" si="27"/>
        <v>0</v>
      </c>
      <c r="FO56">
        <f t="shared" si="27"/>
        <v>0</v>
      </c>
      <c r="FP56">
        <f t="shared" si="27"/>
        <v>0</v>
      </c>
      <c r="FQ56">
        <f t="shared" si="27"/>
        <v>0</v>
      </c>
      <c r="FR56">
        <f t="shared" si="27"/>
        <v>0</v>
      </c>
      <c r="FS56">
        <f t="shared" si="27"/>
        <v>0</v>
      </c>
      <c r="FT56">
        <f t="shared" si="27"/>
        <v>0</v>
      </c>
      <c r="FU56">
        <f t="shared" si="27"/>
        <v>0</v>
      </c>
    </row>
    <row r="57" spans="1:177" x14ac:dyDescent="0.25">
      <c r="A57" t="str">
        <f t="shared" ref="A57:D57" si="32">A17</f>
        <v>P250</v>
      </c>
      <c r="B57" t="str">
        <f t="shared" si="32"/>
        <v>See Ya Later MW</v>
      </c>
      <c r="C57" t="str">
        <f t="shared" si="32"/>
        <v>Pistol</v>
      </c>
      <c r="D57" t="str">
        <f t="shared" si="32"/>
        <v>Spectrum 2</v>
      </c>
      <c r="E57">
        <f t="shared" si="11"/>
        <v>4.5999999999999996</v>
      </c>
      <c r="F57">
        <f t="shared" si="29"/>
        <v>4.4000000000000004</v>
      </c>
      <c r="G57">
        <f t="shared" si="29"/>
        <v>4.04</v>
      </c>
      <c r="H57">
        <f t="shared" si="29"/>
        <v>4.4800000000000004</v>
      </c>
      <c r="I57">
        <f t="shared" si="29"/>
        <v>4.07</v>
      </c>
      <c r="J57">
        <f t="shared" si="29"/>
        <v>4.41</v>
      </c>
      <c r="K57">
        <f t="shared" si="29"/>
        <v>4.54</v>
      </c>
      <c r="L57">
        <f t="shared" si="29"/>
        <v>4.28</v>
      </c>
      <c r="M57">
        <f t="shared" si="29"/>
        <v>4.41</v>
      </c>
      <c r="N57">
        <f t="shared" si="29"/>
        <v>3.94</v>
      </c>
      <c r="O57">
        <f t="shared" si="29"/>
        <v>4.2200000000000006</v>
      </c>
      <c r="P57">
        <f t="shared" si="29"/>
        <v>4.05</v>
      </c>
      <c r="Q57">
        <f t="shared" si="29"/>
        <v>4.1000000000000005</v>
      </c>
      <c r="R57">
        <f t="shared" si="29"/>
        <v>4.05</v>
      </c>
      <c r="S57">
        <f t="shared" si="29"/>
        <v>4.1900000000000004</v>
      </c>
      <c r="T57">
        <f t="shared" si="29"/>
        <v>4.43</v>
      </c>
      <c r="U57">
        <f t="shared" si="29"/>
        <v>4.2899999999999991</v>
      </c>
      <c r="V57">
        <f t="shared" si="29"/>
        <v>4.1300000000000008</v>
      </c>
      <c r="W57">
        <f t="shared" si="29"/>
        <v>4.42</v>
      </c>
      <c r="X57">
        <f t="shared" si="29"/>
        <v>3.87</v>
      </c>
      <c r="Y57">
        <f t="shared" si="29"/>
        <v>4.1800000000000006</v>
      </c>
      <c r="Z57">
        <f t="shared" si="29"/>
        <v>0</v>
      </c>
      <c r="AA57">
        <f t="shared" si="29"/>
        <v>0</v>
      </c>
      <c r="AB57">
        <f t="shared" si="29"/>
        <v>0</v>
      </c>
      <c r="AC57">
        <f t="shared" si="29"/>
        <v>0</v>
      </c>
      <c r="AD57">
        <f t="shared" si="29"/>
        <v>0</v>
      </c>
      <c r="AE57">
        <f t="shared" si="29"/>
        <v>0</v>
      </c>
      <c r="AF57">
        <f t="shared" si="29"/>
        <v>0</v>
      </c>
      <c r="AG57">
        <f t="shared" si="29"/>
        <v>0</v>
      </c>
      <c r="AH57">
        <f t="shared" si="29"/>
        <v>0</v>
      </c>
      <c r="AI57">
        <f t="shared" si="29"/>
        <v>0</v>
      </c>
      <c r="AJ57">
        <f t="shared" si="29"/>
        <v>0</v>
      </c>
      <c r="AK57">
        <f t="shared" si="29"/>
        <v>0</v>
      </c>
      <c r="AL57">
        <f t="shared" si="29"/>
        <v>0</v>
      </c>
      <c r="AM57">
        <f t="shared" si="29"/>
        <v>0</v>
      </c>
      <c r="AN57">
        <f t="shared" si="29"/>
        <v>0</v>
      </c>
      <c r="AO57">
        <f t="shared" si="29"/>
        <v>0</v>
      </c>
      <c r="AP57">
        <f t="shared" si="29"/>
        <v>0</v>
      </c>
      <c r="AQ57">
        <f t="shared" si="29"/>
        <v>0</v>
      </c>
      <c r="AR57">
        <f t="shared" si="29"/>
        <v>0</v>
      </c>
      <c r="AS57">
        <f t="shared" si="29"/>
        <v>0</v>
      </c>
      <c r="AT57">
        <f t="shared" si="29"/>
        <v>0</v>
      </c>
      <c r="AU57">
        <f t="shared" si="29"/>
        <v>0</v>
      </c>
      <c r="AV57">
        <f t="shared" si="29"/>
        <v>0</v>
      </c>
      <c r="AW57">
        <f t="shared" si="29"/>
        <v>0</v>
      </c>
      <c r="AX57">
        <f t="shared" si="29"/>
        <v>0</v>
      </c>
      <c r="AY57">
        <f t="shared" si="29"/>
        <v>0</v>
      </c>
      <c r="AZ57">
        <f t="shared" si="29"/>
        <v>0</v>
      </c>
      <c r="BA57">
        <f t="shared" si="29"/>
        <v>0</v>
      </c>
      <c r="BB57">
        <f t="shared" si="29"/>
        <v>0</v>
      </c>
      <c r="BC57">
        <f t="shared" si="29"/>
        <v>0</v>
      </c>
      <c r="BD57">
        <f t="shared" si="29"/>
        <v>0</v>
      </c>
      <c r="BE57">
        <f t="shared" si="29"/>
        <v>0</v>
      </c>
      <c r="BF57">
        <f t="shared" si="29"/>
        <v>0</v>
      </c>
      <c r="BG57">
        <f t="shared" si="29"/>
        <v>0</v>
      </c>
      <c r="BH57">
        <f t="shared" si="29"/>
        <v>0</v>
      </c>
      <c r="BI57">
        <f t="shared" si="29"/>
        <v>0</v>
      </c>
      <c r="BJ57">
        <f t="shared" si="29"/>
        <v>0</v>
      </c>
      <c r="BK57">
        <f t="shared" si="29"/>
        <v>0</v>
      </c>
      <c r="BL57">
        <f t="shared" si="29"/>
        <v>0</v>
      </c>
      <c r="BM57">
        <f t="shared" si="29"/>
        <v>0</v>
      </c>
      <c r="BN57">
        <f t="shared" si="29"/>
        <v>0</v>
      </c>
      <c r="BO57">
        <f t="shared" si="29"/>
        <v>0</v>
      </c>
      <c r="BP57">
        <f t="shared" si="29"/>
        <v>0</v>
      </c>
      <c r="BQ57">
        <f t="shared" ref="BQ57:EB60" si="33">BQ17-ROUNDUP(BQ17*0.3,2)</f>
        <v>0</v>
      </c>
      <c r="BR57">
        <f t="shared" si="33"/>
        <v>0</v>
      </c>
      <c r="BS57">
        <f t="shared" si="33"/>
        <v>0</v>
      </c>
      <c r="BT57">
        <f t="shared" si="33"/>
        <v>0</v>
      </c>
      <c r="BU57">
        <f t="shared" si="33"/>
        <v>0</v>
      </c>
      <c r="BV57">
        <f t="shared" si="33"/>
        <v>0</v>
      </c>
      <c r="BW57">
        <f t="shared" si="33"/>
        <v>0</v>
      </c>
      <c r="BX57">
        <f t="shared" si="33"/>
        <v>0</v>
      </c>
      <c r="BY57">
        <f t="shared" si="33"/>
        <v>0</v>
      </c>
      <c r="BZ57">
        <f t="shared" si="33"/>
        <v>0</v>
      </c>
      <c r="CA57">
        <f t="shared" si="33"/>
        <v>0</v>
      </c>
      <c r="CB57">
        <f t="shared" si="33"/>
        <v>0</v>
      </c>
      <c r="CC57">
        <f t="shared" si="33"/>
        <v>0</v>
      </c>
      <c r="CD57">
        <f t="shared" si="33"/>
        <v>0</v>
      </c>
      <c r="CE57">
        <f t="shared" si="33"/>
        <v>0</v>
      </c>
      <c r="CF57">
        <f t="shared" si="33"/>
        <v>0</v>
      </c>
      <c r="CG57">
        <f t="shared" si="33"/>
        <v>0</v>
      </c>
      <c r="CH57">
        <f t="shared" si="33"/>
        <v>0</v>
      </c>
      <c r="CI57">
        <f t="shared" si="33"/>
        <v>0</v>
      </c>
      <c r="CJ57">
        <f t="shared" si="33"/>
        <v>0</v>
      </c>
      <c r="CK57">
        <f t="shared" si="33"/>
        <v>0</v>
      </c>
      <c r="CL57">
        <f t="shared" si="33"/>
        <v>0</v>
      </c>
      <c r="CM57">
        <f t="shared" si="33"/>
        <v>0</v>
      </c>
      <c r="CN57">
        <f t="shared" si="33"/>
        <v>0</v>
      </c>
      <c r="CO57">
        <f t="shared" si="33"/>
        <v>0</v>
      </c>
      <c r="CP57">
        <f t="shared" si="33"/>
        <v>0</v>
      </c>
      <c r="CQ57">
        <f t="shared" si="33"/>
        <v>0</v>
      </c>
      <c r="CR57">
        <f t="shared" si="33"/>
        <v>0</v>
      </c>
      <c r="CS57">
        <f t="shared" si="33"/>
        <v>0</v>
      </c>
      <c r="CT57">
        <f t="shared" si="33"/>
        <v>0</v>
      </c>
      <c r="CU57">
        <f t="shared" si="33"/>
        <v>0</v>
      </c>
      <c r="CV57">
        <f t="shared" si="33"/>
        <v>0</v>
      </c>
      <c r="CW57">
        <f t="shared" si="33"/>
        <v>0</v>
      </c>
      <c r="CX57">
        <f t="shared" si="33"/>
        <v>0</v>
      </c>
      <c r="CY57">
        <f t="shared" si="33"/>
        <v>0</v>
      </c>
      <c r="CZ57">
        <f t="shared" si="33"/>
        <v>0</v>
      </c>
      <c r="DA57">
        <f t="shared" si="33"/>
        <v>0</v>
      </c>
      <c r="DB57">
        <f t="shared" si="33"/>
        <v>0</v>
      </c>
      <c r="DC57">
        <f t="shared" si="33"/>
        <v>0</v>
      </c>
      <c r="DD57">
        <f t="shared" si="33"/>
        <v>0</v>
      </c>
      <c r="DE57">
        <f t="shared" si="33"/>
        <v>0</v>
      </c>
      <c r="DF57">
        <f t="shared" si="33"/>
        <v>0</v>
      </c>
      <c r="DG57">
        <f t="shared" si="33"/>
        <v>0</v>
      </c>
      <c r="DH57">
        <f t="shared" si="33"/>
        <v>0</v>
      </c>
      <c r="DI57">
        <f t="shared" si="33"/>
        <v>0</v>
      </c>
      <c r="DJ57">
        <f t="shared" si="33"/>
        <v>0</v>
      </c>
      <c r="DK57">
        <f t="shared" si="33"/>
        <v>0</v>
      </c>
      <c r="DL57">
        <f t="shared" si="33"/>
        <v>0</v>
      </c>
      <c r="DM57">
        <f t="shared" si="33"/>
        <v>0</v>
      </c>
      <c r="DN57">
        <f t="shared" si="33"/>
        <v>0</v>
      </c>
      <c r="DO57">
        <f t="shared" si="33"/>
        <v>0</v>
      </c>
      <c r="DP57">
        <f t="shared" si="33"/>
        <v>0</v>
      </c>
      <c r="DQ57">
        <f t="shared" si="33"/>
        <v>0</v>
      </c>
      <c r="DR57">
        <f t="shared" si="33"/>
        <v>0</v>
      </c>
      <c r="DS57">
        <f t="shared" si="33"/>
        <v>0</v>
      </c>
      <c r="DT57">
        <f t="shared" si="33"/>
        <v>0</v>
      </c>
      <c r="DU57">
        <f t="shared" si="33"/>
        <v>0</v>
      </c>
      <c r="DV57">
        <f t="shared" si="33"/>
        <v>0</v>
      </c>
      <c r="DW57">
        <f t="shared" si="33"/>
        <v>0</v>
      </c>
      <c r="DX57">
        <f t="shared" si="33"/>
        <v>0</v>
      </c>
      <c r="DY57">
        <f t="shared" si="33"/>
        <v>0</v>
      </c>
      <c r="DZ57">
        <f t="shared" si="33"/>
        <v>0</v>
      </c>
      <c r="EA57">
        <f t="shared" si="33"/>
        <v>0</v>
      </c>
      <c r="EB57">
        <f t="shared" si="33"/>
        <v>0</v>
      </c>
      <c r="EC57">
        <f t="shared" si="17"/>
        <v>0</v>
      </c>
      <c r="ED57">
        <f t="shared" si="27"/>
        <v>0</v>
      </c>
      <c r="EE57">
        <f t="shared" si="27"/>
        <v>0</v>
      </c>
      <c r="EF57">
        <f t="shared" si="27"/>
        <v>0</v>
      </c>
      <c r="EG57">
        <f t="shared" si="27"/>
        <v>0</v>
      </c>
      <c r="EH57">
        <f t="shared" si="27"/>
        <v>0</v>
      </c>
      <c r="EI57">
        <f t="shared" si="27"/>
        <v>0</v>
      </c>
      <c r="EJ57">
        <f t="shared" si="27"/>
        <v>0</v>
      </c>
      <c r="EK57">
        <f t="shared" si="27"/>
        <v>0</v>
      </c>
      <c r="EL57">
        <f t="shared" si="27"/>
        <v>0</v>
      </c>
      <c r="EM57">
        <f t="shared" si="27"/>
        <v>0</v>
      </c>
      <c r="EN57">
        <f t="shared" si="27"/>
        <v>0</v>
      </c>
      <c r="EO57">
        <f t="shared" si="27"/>
        <v>0</v>
      </c>
      <c r="EP57">
        <f t="shared" si="27"/>
        <v>0</v>
      </c>
      <c r="EQ57">
        <f t="shared" si="27"/>
        <v>0</v>
      </c>
      <c r="ER57">
        <f t="shared" si="27"/>
        <v>0</v>
      </c>
      <c r="ES57">
        <f t="shared" si="27"/>
        <v>0</v>
      </c>
      <c r="ET57">
        <f t="shared" si="27"/>
        <v>0</v>
      </c>
      <c r="EU57">
        <f t="shared" si="27"/>
        <v>0</v>
      </c>
      <c r="EV57">
        <f t="shared" si="27"/>
        <v>0</v>
      </c>
      <c r="EW57">
        <f t="shared" si="27"/>
        <v>0</v>
      </c>
      <c r="EX57">
        <f t="shared" si="27"/>
        <v>0</v>
      </c>
      <c r="EY57">
        <f t="shared" si="27"/>
        <v>0</v>
      </c>
      <c r="EZ57">
        <f t="shared" si="27"/>
        <v>0</v>
      </c>
      <c r="FA57">
        <f t="shared" si="27"/>
        <v>0</v>
      </c>
      <c r="FB57">
        <f t="shared" si="27"/>
        <v>0</v>
      </c>
      <c r="FC57">
        <f t="shared" si="27"/>
        <v>0</v>
      </c>
      <c r="FD57">
        <f t="shared" si="27"/>
        <v>0</v>
      </c>
      <c r="FE57">
        <f t="shared" si="27"/>
        <v>0</v>
      </c>
      <c r="FF57">
        <f t="shared" si="27"/>
        <v>0</v>
      </c>
      <c r="FG57">
        <f t="shared" si="27"/>
        <v>0</v>
      </c>
      <c r="FH57">
        <f t="shared" si="27"/>
        <v>0</v>
      </c>
      <c r="FI57">
        <f t="shared" si="27"/>
        <v>0</v>
      </c>
      <c r="FJ57">
        <f t="shared" si="27"/>
        <v>0</v>
      </c>
      <c r="FK57">
        <f t="shared" si="27"/>
        <v>0</v>
      </c>
      <c r="FL57">
        <f t="shared" si="27"/>
        <v>0</v>
      </c>
      <c r="FM57">
        <f t="shared" si="27"/>
        <v>0</v>
      </c>
      <c r="FN57">
        <f t="shared" si="27"/>
        <v>0</v>
      </c>
      <c r="FO57">
        <f t="shared" si="27"/>
        <v>0</v>
      </c>
      <c r="FP57">
        <f t="shared" si="27"/>
        <v>0</v>
      </c>
      <c r="FQ57">
        <f t="shared" si="27"/>
        <v>0</v>
      </c>
      <c r="FR57">
        <f t="shared" si="27"/>
        <v>0</v>
      </c>
      <c r="FS57">
        <f t="shared" si="27"/>
        <v>0</v>
      </c>
      <c r="FT57">
        <f t="shared" si="27"/>
        <v>0</v>
      </c>
      <c r="FU57">
        <f t="shared" si="27"/>
        <v>0</v>
      </c>
    </row>
    <row r="58" spans="1:177" x14ac:dyDescent="0.25">
      <c r="A58" t="str">
        <f t="shared" ref="A58:D58" si="34">A18</f>
        <v>Glock-18</v>
      </c>
      <c r="B58" t="str">
        <f t="shared" si="34"/>
        <v>Wasteland Rebel MW</v>
      </c>
      <c r="C58" t="str">
        <f t="shared" si="34"/>
        <v>Pistol</v>
      </c>
      <c r="D58" t="str">
        <f t="shared" si="34"/>
        <v>Gamma</v>
      </c>
      <c r="E58">
        <f t="shared" si="11"/>
        <v>4.5199999999999996</v>
      </c>
      <c r="F58">
        <f t="shared" ref="F58:BQ61" si="35">F18-ROUNDUP(F18*0.3,2)</f>
        <v>4.5999999999999996</v>
      </c>
      <c r="G58">
        <f t="shared" si="35"/>
        <v>4.53</v>
      </c>
      <c r="H58">
        <f t="shared" si="35"/>
        <v>4.42</v>
      </c>
      <c r="I58">
        <f t="shared" si="35"/>
        <v>4.3600000000000003</v>
      </c>
      <c r="J58">
        <f t="shared" si="35"/>
        <v>4.3600000000000003</v>
      </c>
      <c r="K58">
        <f t="shared" si="35"/>
        <v>4.0299999999999994</v>
      </c>
      <c r="L58">
        <f t="shared" si="35"/>
        <v>4.3600000000000003</v>
      </c>
      <c r="M58">
        <f t="shared" si="35"/>
        <v>4.1999999999999993</v>
      </c>
      <c r="N58">
        <f t="shared" si="35"/>
        <v>4.1900000000000004</v>
      </c>
      <c r="O58">
        <f t="shared" si="35"/>
        <v>4.2200000000000006</v>
      </c>
      <c r="P58">
        <f t="shared" si="35"/>
        <v>3.8899999999999997</v>
      </c>
      <c r="Q58">
        <f t="shared" si="35"/>
        <v>3.9200000000000004</v>
      </c>
      <c r="R58">
        <f t="shared" si="35"/>
        <v>3.94</v>
      </c>
      <c r="S58">
        <f t="shared" si="35"/>
        <v>4.08</v>
      </c>
      <c r="T58">
        <f t="shared" si="35"/>
        <v>4.13</v>
      </c>
      <c r="U58">
        <f t="shared" si="35"/>
        <v>4.1300000000000008</v>
      </c>
      <c r="V58">
        <f t="shared" si="35"/>
        <v>4.1000000000000005</v>
      </c>
      <c r="W58">
        <f t="shared" si="35"/>
        <v>4.04</v>
      </c>
      <c r="X58">
        <f t="shared" si="35"/>
        <v>4.1000000000000005</v>
      </c>
      <c r="Y58">
        <f t="shared" si="35"/>
        <v>4.1099999999999994</v>
      </c>
      <c r="Z58">
        <f t="shared" si="35"/>
        <v>0</v>
      </c>
      <c r="AA58">
        <f t="shared" si="35"/>
        <v>0</v>
      </c>
      <c r="AB58">
        <f t="shared" si="35"/>
        <v>0</v>
      </c>
      <c r="AC58">
        <f t="shared" si="35"/>
        <v>0</v>
      </c>
      <c r="AD58">
        <f t="shared" si="35"/>
        <v>0</v>
      </c>
      <c r="AE58">
        <f t="shared" si="35"/>
        <v>0</v>
      </c>
      <c r="AF58">
        <f t="shared" si="35"/>
        <v>0</v>
      </c>
      <c r="AG58">
        <f t="shared" si="35"/>
        <v>0</v>
      </c>
      <c r="AH58">
        <f t="shared" si="35"/>
        <v>0</v>
      </c>
      <c r="AI58">
        <f t="shared" si="35"/>
        <v>0</v>
      </c>
      <c r="AJ58">
        <f t="shared" si="35"/>
        <v>0</v>
      </c>
      <c r="AK58">
        <f t="shared" si="35"/>
        <v>0</v>
      </c>
      <c r="AL58">
        <f t="shared" si="35"/>
        <v>0</v>
      </c>
      <c r="AM58">
        <f t="shared" si="35"/>
        <v>0</v>
      </c>
      <c r="AN58">
        <f t="shared" si="35"/>
        <v>0</v>
      </c>
      <c r="AO58">
        <f t="shared" si="35"/>
        <v>0</v>
      </c>
      <c r="AP58">
        <f t="shared" si="35"/>
        <v>0</v>
      </c>
      <c r="AQ58">
        <f t="shared" si="35"/>
        <v>0</v>
      </c>
      <c r="AR58">
        <f t="shared" si="35"/>
        <v>0</v>
      </c>
      <c r="AS58">
        <f t="shared" si="35"/>
        <v>0</v>
      </c>
      <c r="AT58">
        <f t="shared" si="35"/>
        <v>0</v>
      </c>
      <c r="AU58">
        <f t="shared" si="35"/>
        <v>0</v>
      </c>
      <c r="AV58">
        <f t="shared" si="35"/>
        <v>0</v>
      </c>
      <c r="AW58">
        <f t="shared" si="35"/>
        <v>0</v>
      </c>
      <c r="AX58">
        <f t="shared" si="35"/>
        <v>0</v>
      </c>
      <c r="AY58">
        <f t="shared" si="35"/>
        <v>0</v>
      </c>
      <c r="AZ58">
        <f t="shared" si="35"/>
        <v>0</v>
      </c>
      <c r="BA58">
        <f t="shared" si="35"/>
        <v>0</v>
      </c>
      <c r="BB58">
        <f t="shared" si="35"/>
        <v>0</v>
      </c>
      <c r="BC58">
        <f t="shared" si="35"/>
        <v>0</v>
      </c>
      <c r="BD58">
        <f t="shared" si="35"/>
        <v>0</v>
      </c>
      <c r="BE58">
        <f t="shared" si="35"/>
        <v>0</v>
      </c>
      <c r="BF58">
        <f t="shared" si="35"/>
        <v>0</v>
      </c>
      <c r="BG58">
        <f t="shared" si="35"/>
        <v>0</v>
      </c>
      <c r="BH58">
        <f t="shared" si="35"/>
        <v>0</v>
      </c>
      <c r="BI58">
        <f t="shared" si="35"/>
        <v>0</v>
      </c>
      <c r="BJ58">
        <f t="shared" si="35"/>
        <v>0</v>
      </c>
      <c r="BK58">
        <f t="shared" si="35"/>
        <v>0</v>
      </c>
      <c r="BL58">
        <f t="shared" si="35"/>
        <v>0</v>
      </c>
      <c r="BM58">
        <f t="shared" si="35"/>
        <v>0</v>
      </c>
      <c r="BN58">
        <f t="shared" si="35"/>
        <v>0</v>
      </c>
      <c r="BO58">
        <f t="shared" si="35"/>
        <v>0</v>
      </c>
      <c r="BP58">
        <f t="shared" si="35"/>
        <v>0</v>
      </c>
      <c r="BQ58">
        <f t="shared" si="35"/>
        <v>0</v>
      </c>
      <c r="BR58">
        <f t="shared" si="33"/>
        <v>0</v>
      </c>
      <c r="BS58">
        <f t="shared" si="33"/>
        <v>0</v>
      </c>
      <c r="BT58">
        <f t="shared" si="33"/>
        <v>0</v>
      </c>
      <c r="BU58">
        <f t="shared" si="33"/>
        <v>0</v>
      </c>
      <c r="BV58">
        <f t="shared" si="33"/>
        <v>0</v>
      </c>
      <c r="BW58">
        <f t="shared" si="33"/>
        <v>0</v>
      </c>
      <c r="BX58">
        <f t="shared" si="33"/>
        <v>0</v>
      </c>
      <c r="BY58">
        <f t="shared" si="33"/>
        <v>0</v>
      </c>
      <c r="BZ58">
        <f t="shared" si="33"/>
        <v>0</v>
      </c>
      <c r="CA58">
        <f t="shared" si="33"/>
        <v>0</v>
      </c>
      <c r="CB58">
        <f t="shared" si="33"/>
        <v>0</v>
      </c>
      <c r="CC58">
        <f t="shared" si="33"/>
        <v>0</v>
      </c>
      <c r="CD58">
        <f t="shared" si="33"/>
        <v>0</v>
      </c>
      <c r="CE58">
        <f t="shared" si="33"/>
        <v>0</v>
      </c>
      <c r="CF58">
        <f t="shared" si="33"/>
        <v>0</v>
      </c>
      <c r="CG58">
        <f t="shared" si="33"/>
        <v>0</v>
      </c>
      <c r="CH58">
        <f t="shared" si="33"/>
        <v>0</v>
      </c>
      <c r="CI58">
        <f t="shared" si="33"/>
        <v>0</v>
      </c>
      <c r="CJ58">
        <f t="shared" si="33"/>
        <v>0</v>
      </c>
      <c r="CK58">
        <f t="shared" si="33"/>
        <v>0</v>
      </c>
      <c r="CL58">
        <f t="shared" si="33"/>
        <v>0</v>
      </c>
      <c r="CM58">
        <f t="shared" si="33"/>
        <v>0</v>
      </c>
      <c r="CN58">
        <f t="shared" si="33"/>
        <v>0</v>
      </c>
      <c r="CO58">
        <f t="shared" si="33"/>
        <v>0</v>
      </c>
      <c r="CP58">
        <f t="shared" si="33"/>
        <v>0</v>
      </c>
      <c r="CQ58">
        <f t="shared" si="33"/>
        <v>0</v>
      </c>
      <c r="CR58">
        <f t="shared" si="33"/>
        <v>0</v>
      </c>
      <c r="CS58">
        <f t="shared" si="33"/>
        <v>0</v>
      </c>
      <c r="CT58">
        <f t="shared" si="33"/>
        <v>0</v>
      </c>
      <c r="CU58">
        <f t="shared" si="33"/>
        <v>0</v>
      </c>
      <c r="CV58">
        <f t="shared" si="33"/>
        <v>0</v>
      </c>
      <c r="CW58">
        <f t="shared" si="33"/>
        <v>0</v>
      </c>
      <c r="CX58">
        <f t="shared" si="33"/>
        <v>0</v>
      </c>
      <c r="CY58">
        <f t="shared" si="33"/>
        <v>0</v>
      </c>
      <c r="CZ58">
        <f t="shared" si="33"/>
        <v>0</v>
      </c>
      <c r="DA58">
        <f t="shared" si="33"/>
        <v>0</v>
      </c>
      <c r="DB58">
        <f t="shared" si="33"/>
        <v>0</v>
      </c>
      <c r="DC58">
        <f t="shared" si="33"/>
        <v>0</v>
      </c>
      <c r="DD58">
        <f t="shared" si="33"/>
        <v>0</v>
      </c>
      <c r="DE58">
        <f t="shared" si="33"/>
        <v>0</v>
      </c>
      <c r="DF58">
        <f t="shared" si="33"/>
        <v>0</v>
      </c>
      <c r="DG58">
        <f t="shared" si="33"/>
        <v>0</v>
      </c>
      <c r="DH58">
        <f t="shared" si="33"/>
        <v>0</v>
      </c>
      <c r="DI58">
        <f t="shared" si="33"/>
        <v>0</v>
      </c>
      <c r="DJ58">
        <f t="shared" si="33"/>
        <v>0</v>
      </c>
      <c r="DK58">
        <f t="shared" si="33"/>
        <v>0</v>
      </c>
      <c r="DL58">
        <f t="shared" si="33"/>
        <v>0</v>
      </c>
      <c r="DM58">
        <f t="shared" si="33"/>
        <v>0</v>
      </c>
      <c r="DN58">
        <f t="shared" si="33"/>
        <v>0</v>
      </c>
      <c r="DO58">
        <f t="shared" si="33"/>
        <v>0</v>
      </c>
      <c r="DP58">
        <f t="shared" si="33"/>
        <v>0</v>
      </c>
      <c r="DQ58">
        <f t="shared" si="33"/>
        <v>0</v>
      </c>
      <c r="DR58">
        <f t="shared" si="33"/>
        <v>0</v>
      </c>
      <c r="DS58">
        <f t="shared" si="33"/>
        <v>0</v>
      </c>
      <c r="DT58">
        <f t="shared" si="33"/>
        <v>0</v>
      </c>
      <c r="DU58">
        <f t="shared" si="33"/>
        <v>0</v>
      </c>
      <c r="DV58">
        <f t="shared" si="33"/>
        <v>0</v>
      </c>
      <c r="DW58">
        <f t="shared" si="33"/>
        <v>0</v>
      </c>
      <c r="DX58">
        <f t="shared" si="33"/>
        <v>0</v>
      </c>
      <c r="DY58">
        <f t="shared" si="33"/>
        <v>0</v>
      </c>
      <c r="DZ58">
        <f t="shared" si="33"/>
        <v>0</v>
      </c>
      <c r="EA58">
        <f t="shared" si="33"/>
        <v>0</v>
      </c>
      <c r="EB58">
        <f t="shared" si="33"/>
        <v>0</v>
      </c>
      <c r="EC58">
        <f t="shared" si="17"/>
        <v>0</v>
      </c>
      <c r="ED58">
        <f t="shared" si="27"/>
        <v>0</v>
      </c>
      <c r="EE58">
        <f t="shared" si="27"/>
        <v>0</v>
      </c>
      <c r="EF58">
        <f t="shared" si="27"/>
        <v>0</v>
      </c>
      <c r="EG58">
        <f t="shared" si="27"/>
        <v>0</v>
      </c>
      <c r="EH58">
        <f t="shared" si="27"/>
        <v>0</v>
      </c>
      <c r="EI58">
        <f t="shared" si="27"/>
        <v>0</v>
      </c>
      <c r="EJ58">
        <f t="shared" si="27"/>
        <v>0</v>
      </c>
      <c r="EK58">
        <f t="shared" si="27"/>
        <v>0</v>
      </c>
      <c r="EL58">
        <f t="shared" si="27"/>
        <v>0</v>
      </c>
      <c r="EM58">
        <f t="shared" si="27"/>
        <v>0</v>
      </c>
      <c r="EN58">
        <f t="shared" si="27"/>
        <v>0</v>
      </c>
      <c r="EO58">
        <f t="shared" si="27"/>
        <v>0</v>
      </c>
      <c r="EP58">
        <f t="shared" si="27"/>
        <v>0</v>
      </c>
      <c r="EQ58">
        <f t="shared" si="27"/>
        <v>0</v>
      </c>
      <c r="ER58">
        <f t="shared" si="27"/>
        <v>0</v>
      </c>
      <c r="ES58">
        <f t="shared" si="27"/>
        <v>0</v>
      </c>
      <c r="ET58">
        <f t="shared" si="27"/>
        <v>0</v>
      </c>
      <c r="EU58">
        <f t="shared" si="27"/>
        <v>0</v>
      </c>
      <c r="EV58">
        <f t="shared" si="27"/>
        <v>0</v>
      </c>
      <c r="EW58">
        <f t="shared" si="27"/>
        <v>0</v>
      </c>
      <c r="EX58">
        <f t="shared" si="27"/>
        <v>0</v>
      </c>
      <c r="EY58">
        <f t="shared" si="27"/>
        <v>0</v>
      </c>
      <c r="EZ58">
        <f t="shared" si="27"/>
        <v>0</v>
      </c>
      <c r="FA58">
        <f t="shared" si="27"/>
        <v>0</v>
      </c>
      <c r="FB58">
        <f t="shared" si="27"/>
        <v>0</v>
      </c>
      <c r="FC58">
        <f t="shared" si="27"/>
        <v>0</v>
      </c>
      <c r="FD58">
        <f t="shared" si="27"/>
        <v>0</v>
      </c>
      <c r="FE58">
        <f t="shared" si="27"/>
        <v>0</v>
      </c>
      <c r="FF58">
        <f t="shared" si="27"/>
        <v>0</v>
      </c>
      <c r="FG58">
        <f t="shared" si="27"/>
        <v>0</v>
      </c>
      <c r="FH58">
        <f t="shared" si="27"/>
        <v>0</v>
      </c>
      <c r="FI58">
        <f t="shared" si="27"/>
        <v>0</v>
      </c>
      <c r="FJ58">
        <f t="shared" si="27"/>
        <v>0</v>
      </c>
      <c r="FK58">
        <f t="shared" si="27"/>
        <v>0</v>
      </c>
      <c r="FL58">
        <f t="shared" si="27"/>
        <v>0</v>
      </c>
      <c r="FM58">
        <f t="shared" ref="FM58:FU58" si="36">FM18-ROUNDUP(FM18*0.3,2)</f>
        <v>0</v>
      </c>
      <c r="FN58">
        <f t="shared" si="36"/>
        <v>0</v>
      </c>
      <c r="FO58">
        <f t="shared" si="36"/>
        <v>0</v>
      </c>
      <c r="FP58">
        <f t="shared" si="36"/>
        <v>0</v>
      </c>
      <c r="FQ58">
        <f t="shared" si="36"/>
        <v>0</v>
      </c>
      <c r="FR58">
        <f t="shared" si="36"/>
        <v>0</v>
      </c>
      <c r="FS58">
        <f t="shared" si="36"/>
        <v>0</v>
      </c>
      <c r="FT58">
        <f t="shared" si="36"/>
        <v>0</v>
      </c>
      <c r="FU58">
        <f t="shared" si="36"/>
        <v>0</v>
      </c>
    </row>
    <row r="59" spans="1:177" x14ac:dyDescent="0.25">
      <c r="A59" t="str">
        <f t="shared" ref="A59:D59" si="37">A19</f>
        <v>Desert Eagle</v>
      </c>
      <c r="B59" t="str">
        <f t="shared" si="37"/>
        <v>StatTrak Conspiracy MW</v>
      </c>
      <c r="C59" t="str">
        <f t="shared" si="37"/>
        <v>Pistol</v>
      </c>
      <c r="D59" t="str">
        <f t="shared" si="37"/>
        <v>Breakout</v>
      </c>
      <c r="E59">
        <f t="shared" si="11"/>
        <v>12.270000000000001</v>
      </c>
      <c r="F59">
        <f t="shared" si="35"/>
        <v>11.459999999999999</v>
      </c>
      <c r="G59">
        <f t="shared" si="35"/>
        <v>12.349999999999998</v>
      </c>
      <c r="H59">
        <f t="shared" si="35"/>
        <v>12.18</v>
      </c>
      <c r="I59">
        <f t="shared" si="35"/>
        <v>11.989999999999998</v>
      </c>
      <c r="J59">
        <f t="shared" si="35"/>
        <v>11.709999999999999</v>
      </c>
      <c r="K59">
        <f t="shared" si="35"/>
        <v>10.540000000000001</v>
      </c>
      <c r="L59">
        <f t="shared" si="35"/>
        <v>10.39</v>
      </c>
      <c r="M59">
        <f t="shared" si="35"/>
        <v>11.450000000000001</v>
      </c>
      <c r="N59">
        <f t="shared" si="35"/>
        <v>12.36</v>
      </c>
      <c r="O59">
        <f t="shared" si="35"/>
        <v>11.51</v>
      </c>
      <c r="P59">
        <f t="shared" si="35"/>
        <v>11.95</v>
      </c>
      <c r="Q59">
        <f t="shared" si="35"/>
        <v>11.379999999999999</v>
      </c>
      <c r="R59">
        <f t="shared" si="35"/>
        <v>11.520000000000001</v>
      </c>
      <c r="S59">
        <f t="shared" si="35"/>
        <v>11.520000000000001</v>
      </c>
      <c r="T59">
        <f t="shared" si="35"/>
        <v>11.95</v>
      </c>
      <c r="U59">
        <f t="shared" si="35"/>
        <v>11.59</v>
      </c>
      <c r="V59">
        <f t="shared" si="35"/>
        <v>10.780000000000001</v>
      </c>
      <c r="W59">
        <f t="shared" si="35"/>
        <v>10.45</v>
      </c>
      <c r="X59">
        <f t="shared" si="35"/>
        <v>11.829999999999998</v>
      </c>
      <c r="Y59">
        <f t="shared" si="35"/>
        <v>11.530000000000001</v>
      </c>
      <c r="Z59">
        <f t="shared" si="35"/>
        <v>0</v>
      </c>
      <c r="AA59">
        <f t="shared" si="35"/>
        <v>0</v>
      </c>
      <c r="AB59">
        <f t="shared" si="35"/>
        <v>0</v>
      </c>
      <c r="AC59">
        <f t="shared" si="35"/>
        <v>0</v>
      </c>
      <c r="AD59">
        <f t="shared" si="35"/>
        <v>0</v>
      </c>
      <c r="AE59">
        <f t="shared" si="35"/>
        <v>0</v>
      </c>
      <c r="AF59">
        <f t="shared" si="35"/>
        <v>0</v>
      </c>
      <c r="AG59">
        <f t="shared" si="35"/>
        <v>0</v>
      </c>
      <c r="AH59">
        <f t="shared" si="35"/>
        <v>0</v>
      </c>
      <c r="AI59">
        <f t="shared" si="35"/>
        <v>0</v>
      </c>
      <c r="AJ59">
        <f t="shared" si="35"/>
        <v>0</v>
      </c>
      <c r="AK59">
        <f t="shared" si="35"/>
        <v>0</v>
      </c>
      <c r="AL59">
        <f t="shared" si="35"/>
        <v>0</v>
      </c>
      <c r="AM59">
        <f t="shared" si="35"/>
        <v>0</v>
      </c>
      <c r="AN59">
        <f t="shared" si="35"/>
        <v>0</v>
      </c>
      <c r="AO59">
        <f t="shared" si="35"/>
        <v>0</v>
      </c>
      <c r="AP59">
        <f t="shared" si="35"/>
        <v>0</v>
      </c>
      <c r="AQ59">
        <f t="shared" si="35"/>
        <v>0</v>
      </c>
      <c r="AR59">
        <f t="shared" si="35"/>
        <v>0</v>
      </c>
      <c r="AS59">
        <f t="shared" si="35"/>
        <v>0</v>
      </c>
      <c r="AT59">
        <f t="shared" si="35"/>
        <v>0</v>
      </c>
      <c r="AU59">
        <f t="shared" si="35"/>
        <v>0</v>
      </c>
      <c r="AV59">
        <f t="shared" si="35"/>
        <v>0</v>
      </c>
      <c r="AW59">
        <f t="shared" si="35"/>
        <v>0</v>
      </c>
      <c r="AX59">
        <f t="shared" si="35"/>
        <v>0</v>
      </c>
      <c r="AY59">
        <f t="shared" si="35"/>
        <v>0</v>
      </c>
      <c r="AZ59">
        <f t="shared" si="35"/>
        <v>0</v>
      </c>
      <c r="BA59">
        <f t="shared" si="35"/>
        <v>0</v>
      </c>
      <c r="BB59">
        <f t="shared" si="35"/>
        <v>0</v>
      </c>
      <c r="BC59">
        <f t="shared" si="35"/>
        <v>0</v>
      </c>
      <c r="BD59">
        <f t="shared" si="35"/>
        <v>0</v>
      </c>
      <c r="BE59">
        <f t="shared" si="35"/>
        <v>0</v>
      </c>
      <c r="BF59">
        <f t="shared" si="35"/>
        <v>0</v>
      </c>
      <c r="BG59">
        <f t="shared" si="35"/>
        <v>0</v>
      </c>
      <c r="BH59">
        <f t="shared" si="35"/>
        <v>0</v>
      </c>
      <c r="BI59">
        <f t="shared" si="35"/>
        <v>0</v>
      </c>
      <c r="BJ59">
        <f t="shared" si="35"/>
        <v>0</v>
      </c>
      <c r="BK59">
        <f t="shared" si="35"/>
        <v>0</v>
      </c>
      <c r="BL59">
        <f t="shared" si="35"/>
        <v>0</v>
      </c>
      <c r="BM59">
        <f t="shared" si="35"/>
        <v>0</v>
      </c>
      <c r="BN59">
        <f t="shared" si="35"/>
        <v>0</v>
      </c>
      <c r="BO59">
        <f t="shared" si="35"/>
        <v>0</v>
      </c>
      <c r="BP59">
        <f t="shared" si="35"/>
        <v>0</v>
      </c>
      <c r="BQ59">
        <f t="shared" si="35"/>
        <v>0</v>
      </c>
      <c r="BR59">
        <f t="shared" si="33"/>
        <v>0</v>
      </c>
      <c r="BS59">
        <f t="shared" si="33"/>
        <v>0</v>
      </c>
      <c r="BT59">
        <f t="shared" si="33"/>
        <v>0</v>
      </c>
      <c r="BU59">
        <f t="shared" si="33"/>
        <v>0</v>
      </c>
      <c r="BV59">
        <f t="shared" si="33"/>
        <v>0</v>
      </c>
      <c r="BW59">
        <f t="shared" si="33"/>
        <v>0</v>
      </c>
      <c r="BX59">
        <f t="shared" si="33"/>
        <v>0</v>
      </c>
      <c r="BY59">
        <f t="shared" si="33"/>
        <v>0</v>
      </c>
      <c r="BZ59">
        <f t="shared" si="33"/>
        <v>0</v>
      </c>
      <c r="CA59">
        <f t="shared" si="33"/>
        <v>0</v>
      </c>
      <c r="CB59">
        <f t="shared" si="33"/>
        <v>0</v>
      </c>
      <c r="CC59">
        <f t="shared" si="33"/>
        <v>0</v>
      </c>
      <c r="CD59">
        <f t="shared" si="33"/>
        <v>0</v>
      </c>
      <c r="CE59">
        <f t="shared" si="33"/>
        <v>0</v>
      </c>
      <c r="CF59">
        <f t="shared" si="33"/>
        <v>0</v>
      </c>
      <c r="CG59">
        <f t="shared" si="33"/>
        <v>0</v>
      </c>
      <c r="CH59">
        <f t="shared" si="33"/>
        <v>0</v>
      </c>
      <c r="CI59">
        <f t="shared" si="33"/>
        <v>0</v>
      </c>
      <c r="CJ59">
        <f t="shared" si="33"/>
        <v>0</v>
      </c>
      <c r="CK59">
        <f t="shared" si="33"/>
        <v>0</v>
      </c>
      <c r="CL59">
        <f t="shared" si="33"/>
        <v>0</v>
      </c>
      <c r="CM59">
        <f t="shared" si="33"/>
        <v>0</v>
      </c>
      <c r="CN59">
        <f t="shared" si="33"/>
        <v>0</v>
      </c>
      <c r="CO59">
        <f t="shared" si="33"/>
        <v>0</v>
      </c>
      <c r="CP59">
        <f t="shared" si="33"/>
        <v>0</v>
      </c>
      <c r="CQ59">
        <f t="shared" si="33"/>
        <v>0</v>
      </c>
      <c r="CR59">
        <f t="shared" si="33"/>
        <v>0</v>
      </c>
      <c r="CS59">
        <f t="shared" si="33"/>
        <v>0</v>
      </c>
      <c r="CT59">
        <f t="shared" si="33"/>
        <v>0</v>
      </c>
      <c r="CU59">
        <f t="shared" si="33"/>
        <v>0</v>
      </c>
      <c r="CV59">
        <f t="shared" si="33"/>
        <v>0</v>
      </c>
      <c r="CW59">
        <f t="shared" si="33"/>
        <v>0</v>
      </c>
      <c r="CX59">
        <f t="shared" si="33"/>
        <v>0</v>
      </c>
      <c r="CY59">
        <f t="shared" si="33"/>
        <v>0</v>
      </c>
      <c r="CZ59">
        <f t="shared" si="33"/>
        <v>0</v>
      </c>
      <c r="DA59">
        <f t="shared" si="33"/>
        <v>0</v>
      </c>
      <c r="DB59">
        <f t="shared" si="33"/>
        <v>0</v>
      </c>
      <c r="DC59">
        <f t="shared" si="33"/>
        <v>0</v>
      </c>
      <c r="DD59">
        <f t="shared" si="33"/>
        <v>0</v>
      </c>
      <c r="DE59">
        <f t="shared" si="33"/>
        <v>0</v>
      </c>
      <c r="DF59">
        <f t="shared" si="33"/>
        <v>0</v>
      </c>
      <c r="DG59">
        <f t="shared" si="33"/>
        <v>0</v>
      </c>
      <c r="DH59">
        <f t="shared" si="33"/>
        <v>0</v>
      </c>
      <c r="DI59">
        <f t="shared" si="33"/>
        <v>0</v>
      </c>
      <c r="DJ59">
        <f t="shared" si="33"/>
        <v>0</v>
      </c>
      <c r="DK59">
        <f t="shared" si="33"/>
        <v>0</v>
      </c>
      <c r="DL59">
        <f t="shared" si="33"/>
        <v>0</v>
      </c>
      <c r="DM59">
        <f t="shared" si="33"/>
        <v>0</v>
      </c>
      <c r="DN59">
        <f t="shared" si="33"/>
        <v>0</v>
      </c>
      <c r="DO59">
        <f t="shared" si="33"/>
        <v>0</v>
      </c>
      <c r="DP59">
        <f t="shared" si="33"/>
        <v>0</v>
      </c>
      <c r="DQ59">
        <f t="shared" si="33"/>
        <v>0</v>
      </c>
      <c r="DR59">
        <f t="shared" si="33"/>
        <v>0</v>
      </c>
      <c r="DS59">
        <f t="shared" si="33"/>
        <v>0</v>
      </c>
      <c r="DT59">
        <f t="shared" si="33"/>
        <v>0</v>
      </c>
      <c r="DU59">
        <f t="shared" si="33"/>
        <v>0</v>
      </c>
      <c r="DV59">
        <f t="shared" si="33"/>
        <v>0</v>
      </c>
      <c r="DW59">
        <f t="shared" si="33"/>
        <v>0</v>
      </c>
      <c r="DX59">
        <f t="shared" si="33"/>
        <v>0</v>
      </c>
      <c r="DY59">
        <f t="shared" si="33"/>
        <v>0</v>
      </c>
      <c r="DZ59">
        <f t="shared" si="33"/>
        <v>0</v>
      </c>
      <c r="EA59">
        <f t="shared" si="33"/>
        <v>0</v>
      </c>
      <c r="EB59">
        <f t="shared" si="33"/>
        <v>0</v>
      </c>
      <c r="EC59">
        <f t="shared" si="17"/>
        <v>0</v>
      </c>
      <c r="ED59">
        <f t="shared" ref="ED59:FU63" si="38">ED19-ROUNDUP(ED19*0.3,2)</f>
        <v>0</v>
      </c>
      <c r="EE59">
        <f t="shared" si="38"/>
        <v>0</v>
      </c>
      <c r="EF59">
        <f t="shared" si="38"/>
        <v>0</v>
      </c>
      <c r="EG59">
        <f t="shared" si="38"/>
        <v>0</v>
      </c>
      <c r="EH59">
        <f t="shared" si="38"/>
        <v>0</v>
      </c>
      <c r="EI59">
        <f t="shared" si="38"/>
        <v>0</v>
      </c>
      <c r="EJ59">
        <f t="shared" si="38"/>
        <v>0</v>
      </c>
      <c r="EK59">
        <f t="shared" si="38"/>
        <v>0</v>
      </c>
      <c r="EL59">
        <f t="shared" si="38"/>
        <v>0</v>
      </c>
      <c r="EM59">
        <f t="shared" si="38"/>
        <v>0</v>
      </c>
      <c r="EN59">
        <f t="shared" si="38"/>
        <v>0</v>
      </c>
      <c r="EO59">
        <f t="shared" si="38"/>
        <v>0</v>
      </c>
      <c r="EP59">
        <f t="shared" si="38"/>
        <v>0</v>
      </c>
      <c r="EQ59">
        <f t="shared" si="38"/>
        <v>0</v>
      </c>
      <c r="ER59">
        <f t="shared" si="38"/>
        <v>0</v>
      </c>
      <c r="ES59">
        <f t="shared" si="38"/>
        <v>0</v>
      </c>
      <c r="ET59">
        <f t="shared" si="38"/>
        <v>0</v>
      </c>
      <c r="EU59">
        <f t="shared" si="38"/>
        <v>0</v>
      </c>
      <c r="EV59">
        <f t="shared" si="38"/>
        <v>0</v>
      </c>
      <c r="EW59">
        <f t="shared" si="38"/>
        <v>0</v>
      </c>
      <c r="EX59">
        <f t="shared" si="38"/>
        <v>0</v>
      </c>
      <c r="EY59">
        <f t="shared" si="38"/>
        <v>0</v>
      </c>
      <c r="EZ59">
        <f t="shared" si="38"/>
        <v>0</v>
      </c>
      <c r="FA59">
        <f t="shared" si="38"/>
        <v>0</v>
      </c>
      <c r="FB59">
        <f t="shared" si="38"/>
        <v>0</v>
      </c>
      <c r="FC59">
        <f t="shared" si="38"/>
        <v>0</v>
      </c>
      <c r="FD59">
        <f t="shared" si="38"/>
        <v>0</v>
      </c>
      <c r="FE59">
        <f t="shared" si="38"/>
        <v>0</v>
      </c>
      <c r="FF59">
        <f t="shared" si="38"/>
        <v>0</v>
      </c>
      <c r="FG59">
        <f t="shared" si="38"/>
        <v>0</v>
      </c>
      <c r="FH59">
        <f t="shared" si="38"/>
        <v>0</v>
      </c>
      <c r="FI59">
        <f t="shared" si="38"/>
        <v>0</v>
      </c>
      <c r="FJ59">
        <f t="shared" si="38"/>
        <v>0</v>
      </c>
      <c r="FK59">
        <f t="shared" si="38"/>
        <v>0</v>
      </c>
      <c r="FL59">
        <f t="shared" si="38"/>
        <v>0</v>
      </c>
      <c r="FM59">
        <f t="shared" si="38"/>
        <v>0</v>
      </c>
      <c r="FN59">
        <f t="shared" si="38"/>
        <v>0</v>
      </c>
      <c r="FO59">
        <f t="shared" si="38"/>
        <v>0</v>
      </c>
      <c r="FP59">
        <f t="shared" si="38"/>
        <v>0</v>
      </c>
      <c r="FQ59">
        <f t="shared" si="38"/>
        <v>0</v>
      </c>
      <c r="FR59">
        <f t="shared" si="38"/>
        <v>0</v>
      </c>
      <c r="FS59">
        <f t="shared" si="38"/>
        <v>0</v>
      </c>
      <c r="FT59">
        <f t="shared" si="38"/>
        <v>0</v>
      </c>
      <c r="FU59">
        <f t="shared" si="38"/>
        <v>0</v>
      </c>
    </row>
    <row r="60" spans="1:177" x14ac:dyDescent="0.25">
      <c r="A60" t="str">
        <f t="shared" ref="A60:D60" si="39">A20</f>
        <v>Glock-18</v>
      </c>
      <c r="B60" t="str">
        <f t="shared" si="39"/>
        <v>Candy Apple MW</v>
      </c>
      <c r="C60" t="str">
        <f t="shared" si="39"/>
        <v>Pistol</v>
      </c>
      <c r="D60" t="str">
        <f t="shared" si="39"/>
        <v>Italy</v>
      </c>
      <c r="E60">
        <f t="shared" si="11"/>
        <v>0.9</v>
      </c>
      <c r="F60">
        <f t="shared" si="35"/>
        <v>0.83</v>
      </c>
      <c r="G60">
        <f t="shared" si="35"/>
        <v>0.77</v>
      </c>
      <c r="H60">
        <f t="shared" si="35"/>
        <v>0.77</v>
      </c>
      <c r="I60">
        <f t="shared" si="35"/>
        <v>0.75</v>
      </c>
      <c r="J60">
        <f t="shared" si="35"/>
        <v>0.77</v>
      </c>
      <c r="K60">
        <f t="shared" si="35"/>
        <v>0.75</v>
      </c>
      <c r="L60">
        <f t="shared" si="35"/>
        <v>0.73</v>
      </c>
      <c r="M60">
        <f t="shared" si="35"/>
        <v>0.77</v>
      </c>
      <c r="N60">
        <f t="shared" si="35"/>
        <v>0.78</v>
      </c>
      <c r="O60">
        <f t="shared" si="35"/>
        <v>0.83</v>
      </c>
      <c r="P60">
        <f t="shared" si="35"/>
        <v>0.89</v>
      </c>
      <c r="Q60">
        <f t="shared" si="35"/>
        <v>0.88</v>
      </c>
      <c r="R60">
        <f t="shared" si="35"/>
        <v>0.86</v>
      </c>
      <c r="S60">
        <f t="shared" si="35"/>
        <v>0.80999999999999983</v>
      </c>
      <c r="T60">
        <f t="shared" si="35"/>
        <v>0.80999999999999994</v>
      </c>
      <c r="U60">
        <f t="shared" si="35"/>
        <v>0.83</v>
      </c>
      <c r="V60">
        <f t="shared" si="35"/>
        <v>0.77</v>
      </c>
      <c r="W60">
        <f t="shared" si="35"/>
        <v>0.66999999999999993</v>
      </c>
      <c r="X60">
        <f t="shared" si="35"/>
        <v>0.72</v>
      </c>
      <c r="Y60">
        <f t="shared" si="35"/>
        <v>0.72</v>
      </c>
      <c r="Z60">
        <f t="shared" si="35"/>
        <v>0</v>
      </c>
      <c r="AA60">
        <f t="shared" si="35"/>
        <v>0</v>
      </c>
      <c r="AB60">
        <f t="shared" si="35"/>
        <v>0</v>
      </c>
      <c r="AC60">
        <f t="shared" si="35"/>
        <v>0</v>
      </c>
      <c r="AD60">
        <f t="shared" si="35"/>
        <v>0</v>
      </c>
      <c r="AE60">
        <f t="shared" si="35"/>
        <v>0</v>
      </c>
      <c r="AF60">
        <f t="shared" si="35"/>
        <v>0</v>
      </c>
      <c r="AG60">
        <f t="shared" si="35"/>
        <v>0</v>
      </c>
      <c r="AH60">
        <f t="shared" si="35"/>
        <v>0</v>
      </c>
      <c r="AI60">
        <f t="shared" si="35"/>
        <v>0</v>
      </c>
      <c r="AJ60">
        <f t="shared" si="35"/>
        <v>0</v>
      </c>
      <c r="AK60">
        <f t="shared" si="35"/>
        <v>0</v>
      </c>
      <c r="AL60">
        <f t="shared" si="35"/>
        <v>0</v>
      </c>
      <c r="AM60">
        <f t="shared" si="35"/>
        <v>0</v>
      </c>
      <c r="AN60">
        <f t="shared" si="35"/>
        <v>0</v>
      </c>
      <c r="AO60">
        <f t="shared" si="35"/>
        <v>0</v>
      </c>
      <c r="AP60">
        <f t="shared" si="35"/>
        <v>0</v>
      </c>
      <c r="AQ60">
        <f t="shared" si="35"/>
        <v>0</v>
      </c>
      <c r="AR60">
        <f t="shared" si="35"/>
        <v>0</v>
      </c>
      <c r="AS60">
        <f t="shared" si="35"/>
        <v>0</v>
      </c>
      <c r="AT60">
        <f t="shared" si="35"/>
        <v>0</v>
      </c>
      <c r="AU60">
        <f t="shared" si="35"/>
        <v>0</v>
      </c>
      <c r="AV60">
        <f t="shared" si="35"/>
        <v>0</v>
      </c>
      <c r="AW60">
        <f t="shared" si="35"/>
        <v>0</v>
      </c>
      <c r="AX60">
        <f t="shared" si="35"/>
        <v>0</v>
      </c>
      <c r="AY60">
        <f t="shared" si="35"/>
        <v>0</v>
      </c>
      <c r="AZ60">
        <f t="shared" si="35"/>
        <v>0</v>
      </c>
      <c r="BA60">
        <f t="shared" si="35"/>
        <v>0</v>
      </c>
      <c r="BB60">
        <f t="shared" si="35"/>
        <v>0</v>
      </c>
      <c r="BC60">
        <f t="shared" si="35"/>
        <v>0</v>
      </c>
      <c r="BD60">
        <f t="shared" si="35"/>
        <v>0</v>
      </c>
      <c r="BE60">
        <f t="shared" si="35"/>
        <v>0</v>
      </c>
      <c r="BF60">
        <f t="shared" si="35"/>
        <v>0</v>
      </c>
      <c r="BG60">
        <f t="shared" si="35"/>
        <v>0</v>
      </c>
      <c r="BH60">
        <f t="shared" si="35"/>
        <v>0</v>
      </c>
      <c r="BI60">
        <f t="shared" si="35"/>
        <v>0</v>
      </c>
      <c r="BJ60">
        <f t="shared" si="35"/>
        <v>0</v>
      </c>
      <c r="BK60">
        <f t="shared" si="35"/>
        <v>0</v>
      </c>
      <c r="BL60">
        <f t="shared" si="35"/>
        <v>0</v>
      </c>
      <c r="BM60">
        <f t="shared" si="35"/>
        <v>0</v>
      </c>
      <c r="BN60">
        <f t="shared" si="35"/>
        <v>0</v>
      </c>
      <c r="BO60">
        <f t="shared" si="35"/>
        <v>0</v>
      </c>
      <c r="BP60">
        <f t="shared" si="35"/>
        <v>0</v>
      </c>
      <c r="BQ60">
        <f t="shared" si="35"/>
        <v>0</v>
      </c>
      <c r="BR60">
        <f t="shared" si="33"/>
        <v>0</v>
      </c>
      <c r="BS60">
        <f t="shared" si="33"/>
        <v>0</v>
      </c>
      <c r="BT60">
        <f t="shared" si="33"/>
        <v>0</v>
      </c>
      <c r="BU60">
        <f t="shared" si="33"/>
        <v>0</v>
      </c>
      <c r="BV60">
        <f t="shared" si="33"/>
        <v>0</v>
      </c>
      <c r="BW60">
        <f t="shared" si="33"/>
        <v>0</v>
      </c>
      <c r="BX60">
        <f t="shared" si="33"/>
        <v>0</v>
      </c>
      <c r="BY60">
        <f t="shared" si="33"/>
        <v>0</v>
      </c>
      <c r="BZ60">
        <f t="shared" si="33"/>
        <v>0</v>
      </c>
      <c r="CA60">
        <f t="shared" si="33"/>
        <v>0</v>
      </c>
      <c r="CB60">
        <f t="shared" si="33"/>
        <v>0</v>
      </c>
      <c r="CC60">
        <f t="shared" si="33"/>
        <v>0</v>
      </c>
      <c r="CD60">
        <f t="shared" si="33"/>
        <v>0</v>
      </c>
      <c r="CE60">
        <f t="shared" si="33"/>
        <v>0</v>
      </c>
      <c r="CF60">
        <f t="shared" si="33"/>
        <v>0</v>
      </c>
      <c r="CG60">
        <f t="shared" si="33"/>
        <v>0</v>
      </c>
      <c r="CH60">
        <f t="shared" si="33"/>
        <v>0</v>
      </c>
      <c r="CI60">
        <f t="shared" si="33"/>
        <v>0</v>
      </c>
      <c r="CJ60">
        <f t="shared" si="33"/>
        <v>0</v>
      </c>
      <c r="CK60">
        <f t="shared" si="33"/>
        <v>0</v>
      </c>
      <c r="CL60">
        <f t="shared" si="33"/>
        <v>0</v>
      </c>
      <c r="CM60">
        <f t="shared" si="33"/>
        <v>0</v>
      </c>
      <c r="CN60">
        <f t="shared" si="33"/>
        <v>0</v>
      </c>
      <c r="CO60">
        <f t="shared" si="33"/>
        <v>0</v>
      </c>
      <c r="CP60">
        <f t="shared" si="33"/>
        <v>0</v>
      </c>
      <c r="CQ60">
        <f t="shared" si="33"/>
        <v>0</v>
      </c>
      <c r="CR60">
        <f t="shared" si="33"/>
        <v>0</v>
      </c>
      <c r="CS60">
        <f t="shared" si="33"/>
        <v>0</v>
      </c>
      <c r="CT60">
        <f t="shared" si="33"/>
        <v>0</v>
      </c>
      <c r="CU60">
        <f t="shared" si="33"/>
        <v>0</v>
      </c>
      <c r="CV60">
        <f t="shared" si="33"/>
        <v>0</v>
      </c>
      <c r="CW60">
        <f t="shared" si="33"/>
        <v>0</v>
      </c>
      <c r="CX60">
        <f t="shared" si="33"/>
        <v>0</v>
      </c>
      <c r="CY60">
        <f t="shared" si="33"/>
        <v>0</v>
      </c>
      <c r="CZ60">
        <f t="shared" si="33"/>
        <v>0</v>
      </c>
      <c r="DA60">
        <f t="shared" si="33"/>
        <v>0</v>
      </c>
      <c r="DB60">
        <f t="shared" si="33"/>
        <v>0</v>
      </c>
      <c r="DC60">
        <f t="shared" si="33"/>
        <v>0</v>
      </c>
      <c r="DD60">
        <f t="shared" si="33"/>
        <v>0</v>
      </c>
      <c r="DE60">
        <f t="shared" si="33"/>
        <v>0</v>
      </c>
      <c r="DF60">
        <f t="shared" si="33"/>
        <v>0</v>
      </c>
      <c r="DG60">
        <f t="shared" si="33"/>
        <v>0</v>
      </c>
      <c r="DH60">
        <f t="shared" si="33"/>
        <v>0</v>
      </c>
      <c r="DI60">
        <f t="shared" si="33"/>
        <v>0</v>
      </c>
      <c r="DJ60">
        <f t="shared" si="33"/>
        <v>0</v>
      </c>
      <c r="DK60">
        <f t="shared" si="33"/>
        <v>0</v>
      </c>
      <c r="DL60">
        <f t="shared" si="33"/>
        <v>0</v>
      </c>
      <c r="DM60">
        <f t="shared" si="33"/>
        <v>0</v>
      </c>
      <c r="DN60">
        <f t="shared" si="33"/>
        <v>0</v>
      </c>
      <c r="DO60">
        <f t="shared" si="33"/>
        <v>0</v>
      </c>
      <c r="DP60">
        <f t="shared" si="33"/>
        <v>0</v>
      </c>
      <c r="DQ60">
        <f t="shared" si="33"/>
        <v>0</v>
      </c>
      <c r="DR60">
        <f t="shared" si="33"/>
        <v>0</v>
      </c>
      <c r="DS60">
        <f t="shared" si="33"/>
        <v>0</v>
      </c>
      <c r="DT60">
        <f t="shared" si="33"/>
        <v>0</v>
      </c>
      <c r="DU60">
        <f t="shared" si="33"/>
        <v>0</v>
      </c>
      <c r="DV60">
        <f t="shared" si="33"/>
        <v>0</v>
      </c>
      <c r="DW60">
        <f t="shared" si="33"/>
        <v>0</v>
      </c>
      <c r="DX60">
        <f t="shared" si="33"/>
        <v>0</v>
      </c>
      <c r="DY60">
        <f t="shared" si="33"/>
        <v>0</v>
      </c>
      <c r="DZ60">
        <f t="shared" si="33"/>
        <v>0</v>
      </c>
      <c r="EA60">
        <f t="shared" si="33"/>
        <v>0</v>
      </c>
      <c r="EB60">
        <f t="shared" si="33"/>
        <v>0</v>
      </c>
      <c r="EC60">
        <f t="shared" si="17"/>
        <v>0</v>
      </c>
      <c r="ED60">
        <f t="shared" si="38"/>
        <v>0</v>
      </c>
      <c r="EE60">
        <f t="shared" si="38"/>
        <v>0</v>
      </c>
      <c r="EF60">
        <f t="shared" si="38"/>
        <v>0</v>
      </c>
      <c r="EG60">
        <f t="shared" si="38"/>
        <v>0</v>
      </c>
      <c r="EH60">
        <f t="shared" si="38"/>
        <v>0</v>
      </c>
      <c r="EI60">
        <f t="shared" si="38"/>
        <v>0</v>
      </c>
      <c r="EJ60">
        <f t="shared" si="38"/>
        <v>0</v>
      </c>
      <c r="EK60">
        <f t="shared" si="38"/>
        <v>0</v>
      </c>
      <c r="EL60">
        <f t="shared" si="38"/>
        <v>0</v>
      </c>
      <c r="EM60">
        <f t="shared" si="38"/>
        <v>0</v>
      </c>
      <c r="EN60">
        <f t="shared" si="38"/>
        <v>0</v>
      </c>
      <c r="EO60">
        <f t="shared" si="38"/>
        <v>0</v>
      </c>
      <c r="EP60">
        <f t="shared" si="38"/>
        <v>0</v>
      </c>
      <c r="EQ60">
        <f t="shared" si="38"/>
        <v>0</v>
      </c>
      <c r="ER60">
        <f t="shared" si="38"/>
        <v>0</v>
      </c>
      <c r="ES60">
        <f t="shared" si="38"/>
        <v>0</v>
      </c>
      <c r="ET60">
        <f t="shared" si="38"/>
        <v>0</v>
      </c>
      <c r="EU60">
        <f t="shared" si="38"/>
        <v>0</v>
      </c>
      <c r="EV60">
        <f t="shared" si="38"/>
        <v>0</v>
      </c>
      <c r="EW60">
        <f t="shared" si="38"/>
        <v>0</v>
      </c>
      <c r="EX60">
        <f t="shared" si="38"/>
        <v>0</v>
      </c>
      <c r="EY60">
        <f t="shared" si="38"/>
        <v>0</v>
      </c>
      <c r="EZ60">
        <f t="shared" si="38"/>
        <v>0</v>
      </c>
      <c r="FA60">
        <f t="shared" si="38"/>
        <v>0</v>
      </c>
      <c r="FB60">
        <f t="shared" si="38"/>
        <v>0</v>
      </c>
      <c r="FC60">
        <f t="shared" si="38"/>
        <v>0</v>
      </c>
      <c r="FD60">
        <f t="shared" si="38"/>
        <v>0</v>
      </c>
      <c r="FE60">
        <f t="shared" si="38"/>
        <v>0</v>
      </c>
      <c r="FF60">
        <f t="shared" si="38"/>
        <v>0</v>
      </c>
      <c r="FG60">
        <f t="shared" si="38"/>
        <v>0</v>
      </c>
      <c r="FH60">
        <f t="shared" si="38"/>
        <v>0</v>
      </c>
      <c r="FI60">
        <f t="shared" si="38"/>
        <v>0</v>
      </c>
      <c r="FJ60">
        <f t="shared" si="38"/>
        <v>0</v>
      </c>
      <c r="FK60">
        <f t="shared" si="38"/>
        <v>0</v>
      </c>
      <c r="FL60">
        <f t="shared" si="38"/>
        <v>0</v>
      </c>
      <c r="FM60">
        <f t="shared" si="38"/>
        <v>0</v>
      </c>
      <c r="FN60">
        <f t="shared" si="38"/>
        <v>0</v>
      </c>
      <c r="FO60">
        <f t="shared" si="38"/>
        <v>0</v>
      </c>
      <c r="FP60">
        <f t="shared" si="38"/>
        <v>0</v>
      </c>
      <c r="FQ60">
        <f t="shared" si="38"/>
        <v>0</v>
      </c>
      <c r="FR60">
        <f t="shared" si="38"/>
        <v>0</v>
      </c>
      <c r="FS60">
        <f t="shared" si="38"/>
        <v>0</v>
      </c>
      <c r="FT60">
        <f t="shared" si="38"/>
        <v>0</v>
      </c>
      <c r="FU60">
        <f t="shared" si="38"/>
        <v>0</v>
      </c>
    </row>
    <row r="61" spans="1:177" x14ac:dyDescent="0.25">
      <c r="A61" t="str">
        <f t="shared" ref="A61:D61" si="40">A21</f>
        <v>USP-S</v>
      </c>
      <c r="B61" t="str">
        <f t="shared" si="40"/>
        <v>Cyrex WW</v>
      </c>
      <c r="C61" t="str">
        <f t="shared" si="40"/>
        <v>Pistol</v>
      </c>
      <c r="D61" t="str">
        <f t="shared" si="40"/>
        <v>Glove</v>
      </c>
      <c r="E61">
        <f t="shared" si="11"/>
        <v>1.69</v>
      </c>
      <c r="F61">
        <f t="shared" si="35"/>
        <v>1.6400000000000001</v>
      </c>
      <c r="G61">
        <f t="shared" si="35"/>
        <v>1.61</v>
      </c>
      <c r="H61">
        <f t="shared" si="35"/>
        <v>1.7000000000000002</v>
      </c>
      <c r="I61">
        <f t="shared" si="35"/>
        <v>1.69</v>
      </c>
      <c r="J61">
        <f t="shared" si="35"/>
        <v>1.6300000000000001</v>
      </c>
      <c r="K61">
        <f t="shared" si="35"/>
        <v>1.6500000000000001</v>
      </c>
      <c r="L61">
        <f t="shared" si="35"/>
        <v>1.6700000000000002</v>
      </c>
      <c r="M61">
        <f t="shared" si="35"/>
        <v>1.5799999999999996</v>
      </c>
      <c r="N61">
        <f t="shared" si="35"/>
        <v>1.6199999999999999</v>
      </c>
      <c r="O61">
        <f t="shared" si="35"/>
        <v>1.6400000000000001</v>
      </c>
      <c r="P61">
        <f t="shared" si="35"/>
        <v>1.66</v>
      </c>
      <c r="Q61">
        <f t="shared" si="35"/>
        <v>1.65</v>
      </c>
      <c r="R61">
        <f t="shared" si="35"/>
        <v>1.6800000000000002</v>
      </c>
      <c r="S61">
        <f t="shared" si="35"/>
        <v>1.6500000000000001</v>
      </c>
      <c r="T61">
        <f t="shared" si="35"/>
        <v>1.7400000000000002</v>
      </c>
      <c r="U61">
        <f t="shared" si="35"/>
        <v>1.75</v>
      </c>
      <c r="V61">
        <f t="shared" si="35"/>
        <v>1.6700000000000002</v>
      </c>
      <c r="W61">
        <f t="shared" si="35"/>
        <v>1.63</v>
      </c>
      <c r="X61">
        <f t="shared" si="35"/>
        <v>1.63</v>
      </c>
      <c r="Y61">
        <f t="shared" si="35"/>
        <v>1.66</v>
      </c>
      <c r="Z61">
        <f t="shared" si="35"/>
        <v>0</v>
      </c>
      <c r="AA61">
        <f t="shared" si="35"/>
        <v>0</v>
      </c>
      <c r="AB61">
        <f t="shared" si="35"/>
        <v>0</v>
      </c>
      <c r="AC61">
        <f t="shared" si="35"/>
        <v>0</v>
      </c>
      <c r="AD61">
        <f t="shared" si="35"/>
        <v>0</v>
      </c>
      <c r="AE61">
        <f t="shared" si="35"/>
        <v>0</v>
      </c>
      <c r="AF61">
        <f t="shared" si="35"/>
        <v>0</v>
      </c>
      <c r="AG61">
        <f t="shared" si="35"/>
        <v>0</v>
      </c>
      <c r="AH61">
        <f t="shared" si="35"/>
        <v>0</v>
      </c>
      <c r="AI61">
        <f t="shared" si="35"/>
        <v>0</v>
      </c>
      <c r="AJ61">
        <f t="shared" si="35"/>
        <v>0</v>
      </c>
      <c r="AK61">
        <f t="shared" si="35"/>
        <v>0</v>
      </c>
      <c r="AL61">
        <f t="shared" si="35"/>
        <v>0</v>
      </c>
      <c r="AM61">
        <f t="shared" si="35"/>
        <v>0</v>
      </c>
      <c r="AN61">
        <f t="shared" si="35"/>
        <v>0</v>
      </c>
      <c r="AO61">
        <f t="shared" si="35"/>
        <v>0</v>
      </c>
      <c r="AP61">
        <f t="shared" si="35"/>
        <v>0</v>
      </c>
      <c r="AQ61">
        <f t="shared" si="35"/>
        <v>0</v>
      </c>
      <c r="AR61">
        <f t="shared" si="35"/>
        <v>0</v>
      </c>
      <c r="AS61">
        <f t="shared" si="35"/>
        <v>0</v>
      </c>
      <c r="AT61">
        <f t="shared" si="35"/>
        <v>0</v>
      </c>
      <c r="AU61">
        <f t="shared" si="35"/>
        <v>0</v>
      </c>
      <c r="AV61">
        <f t="shared" si="35"/>
        <v>0</v>
      </c>
      <c r="AW61">
        <f t="shared" si="35"/>
        <v>0</v>
      </c>
      <c r="AX61">
        <f t="shared" si="35"/>
        <v>0</v>
      </c>
      <c r="AY61">
        <f t="shared" si="35"/>
        <v>0</v>
      </c>
      <c r="AZ61">
        <f t="shared" si="35"/>
        <v>0</v>
      </c>
      <c r="BA61">
        <f t="shared" si="35"/>
        <v>0</v>
      </c>
      <c r="BB61">
        <f t="shared" si="35"/>
        <v>0</v>
      </c>
      <c r="BC61">
        <f t="shared" si="35"/>
        <v>0</v>
      </c>
      <c r="BD61">
        <f t="shared" si="35"/>
        <v>0</v>
      </c>
      <c r="BE61">
        <f t="shared" si="35"/>
        <v>0</v>
      </c>
      <c r="BF61">
        <f t="shared" si="35"/>
        <v>0</v>
      </c>
      <c r="BG61">
        <f t="shared" si="35"/>
        <v>0</v>
      </c>
      <c r="BH61">
        <f t="shared" si="35"/>
        <v>0</v>
      </c>
      <c r="BI61">
        <f t="shared" si="35"/>
        <v>0</v>
      </c>
      <c r="BJ61">
        <f t="shared" si="35"/>
        <v>0</v>
      </c>
      <c r="BK61">
        <f t="shared" si="35"/>
        <v>0</v>
      </c>
      <c r="BL61">
        <f t="shared" si="35"/>
        <v>0</v>
      </c>
      <c r="BM61">
        <f t="shared" si="35"/>
        <v>0</v>
      </c>
      <c r="BN61">
        <f t="shared" si="35"/>
        <v>0</v>
      </c>
      <c r="BO61">
        <f t="shared" si="35"/>
        <v>0</v>
      </c>
      <c r="BP61">
        <f t="shared" si="35"/>
        <v>0</v>
      </c>
      <c r="BQ61">
        <f t="shared" ref="BQ61:EB64" si="41">BQ21-ROUNDUP(BQ21*0.3,2)</f>
        <v>0</v>
      </c>
      <c r="BR61">
        <f t="shared" si="41"/>
        <v>0</v>
      </c>
      <c r="BS61">
        <f t="shared" si="41"/>
        <v>0</v>
      </c>
      <c r="BT61">
        <f t="shared" si="41"/>
        <v>0</v>
      </c>
      <c r="BU61">
        <f t="shared" si="41"/>
        <v>0</v>
      </c>
      <c r="BV61">
        <f t="shared" si="41"/>
        <v>0</v>
      </c>
      <c r="BW61">
        <f t="shared" si="41"/>
        <v>0</v>
      </c>
      <c r="BX61">
        <f t="shared" si="41"/>
        <v>0</v>
      </c>
      <c r="BY61">
        <f t="shared" si="41"/>
        <v>0</v>
      </c>
      <c r="BZ61">
        <f t="shared" si="41"/>
        <v>0</v>
      </c>
      <c r="CA61">
        <f t="shared" si="41"/>
        <v>0</v>
      </c>
      <c r="CB61">
        <f t="shared" si="41"/>
        <v>0</v>
      </c>
      <c r="CC61">
        <f t="shared" si="41"/>
        <v>0</v>
      </c>
      <c r="CD61">
        <f t="shared" si="41"/>
        <v>0</v>
      </c>
      <c r="CE61">
        <f t="shared" si="41"/>
        <v>0</v>
      </c>
      <c r="CF61">
        <f t="shared" si="41"/>
        <v>0</v>
      </c>
      <c r="CG61">
        <f t="shared" si="41"/>
        <v>0</v>
      </c>
      <c r="CH61">
        <f t="shared" si="41"/>
        <v>0</v>
      </c>
      <c r="CI61">
        <f t="shared" si="41"/>
        <v>0</v>
      </c>
      <c r="CJ61">
        <f t="shared" si="41"/>
        <v>0</v>
      </c>
      <c r="CK61">
        <f t="shared" si="41"/>
        <v>0</v>
      </c>
      <c r="CL61">
        <f t="shared" si="41"/>
        <v>0</v>
      </c>
      <c r="CM61">
        <f t="shared" si="41"/>
        <v>0</v>
      </c>
      <c r="CN61">
        <f t="shared" si="41"/>
        <v>0</v>
      </c>
      <c r="CO61">
        <f t="shared" si="41"/>
        <v>0</v>
      </c>
      <c r="CP61">
        <f t="shared" si="41"/>
        <v>0</v>
      </c>
      <c r="CQ61">
        <f t="shared" si="41"/>
        <v>0</v>
      </c>
      <c r="CR61">
        <f t="shared" si="41"/>
        <v>0</v>
      </c>
      <c r="CS61">
        <f t="shared" si="41"/>
        <v>0</v>
      </c>
      <c r="CT61">
        <f t="shared" si="41"/>
        <v>0</v>
      </c>
      <c r="CU61">
        <f t="shared" si="41"/>
        <v>0</v>
      </c>
      <c r="CV61">
        <f t="shared" si="41"/>
        <v>0</v>
      </c>
      <c r="CW61">
        <f t="shared" si="41"/>
        <v>0</v>
      </c>
      <c r="CX61">
        <f t="shared" si="41"/>
        <v>0</v>
      </c>
      <c r="CY61">
        <f t="shared" si="41"/>
        <v>0</v>
      </c>
      <c r="CZ61">
        <f t="shared" si="41"/>
        <v>0</v>
      </c>
      <c r="DA61">
        <f t="shared" si="41"/>
        <v>0</v>
      </c>
      <c r="DB61">
        <f t="shared" si="41"/>
        <v>0</v>
      </c>
      <c r="DC61">
        <f t="shared" si="41"/>
        <v>0</v>
      </c>
      <c r="DD61">
        <f t="shared" si="41"/>
        <v>0</v>
      </c>
      <c r="DE61">
        <f t="shared" si="41"/>
        <v>0</v>
      </c>
      <c r="DF61">
        <f t="shared" si="41"/>
        <v>0</v>
      </c>
      <c r="DG61">
        <f t="shared" si="41"/>
        <v>0</v>
      </c>
      <c r="DH61">
        <f t="shared" si="41"/>
        <v>0</v>
      </c>
      <c r="DI61">
        <f t="shared" si="41"/>
        <v>0</v>
      </c>
      <c r="DJ61">
        <f t="shared" si="41"/>
        <v>0</v>
      </c>
      <c r="DK61">
        <f t="shared" si="41"/>
        <v>0</v>
      </c>
      <c r="DL61">
        <f t="shared" si="41"/>
        <v>0</v>
      </c>
      <c r="DM61">
        <f t="shared" si="41"/>
        <v>0</v>
      </c>
      <c r="DN61">
        <f t="shared" si="41"/>
        <v>0</v>
      </c>
      <c r="DO61">
        <f t="shared" si="41"/>
        <v>0</v>
      </c>
      <c r="DP61">
        <f t="shared" si="41"/>
        <v>0</v>
      </c>
      <c r="DQ61">
        <f t="shared" si="41"/>
        <v>0</v>
      </c>
      <c r="DR61">
        <f t="shared" si="41"/>
        <v>0</v>
      </c>
      <c r="DS61">
        <f t="shared" si="41"/>
        <v>0</v>
      </c>
      <c r="DT61">
        <f t="shared" si="41"/>
        <v>0</v>
      </c>
      <c r="DU61">
        <f t="shared" si="41"/>
        <v>0</v>
      </c>
      <c r="DV61">
        <f t="shared" si="41"/>
        <v>0</v>
      </c>
      <c r="DW61">
        <f t="shared" si="41"/>
        <v>0</v>
      </c>
      <c r="DX61">
        <f t="shared" si="41"/>
        <v>0</v>
      </c>
      <c r="DY61">
        <f t="shared" si="41"/>
        <v>0</v>
      </c>
      <c r="DZ61">
        <f t="shared" si="41"/>
        <v>0</v>
      </c>
      <c r="EA61">
        <f t="shared" si="41"/>
        <v>0</v>
      </c>
      <c r="EB61">
        <f t="shared" si="41"/>
        <v>0</v>
      </c>
      <c r="EC61">
        <f t="shared" si="17"/>
        <v>0</v>
      </c>
      <c r="ED61">
        <f t="shared" si="38"/>
        <v>0</v>
      </c>
      <c r="EE61">
        <f t="shared" si="38"/>
        <v>0</v>
      </c>
      <c r="EF61">
        <f t="shared" si="38"/>
        <v>0</v>
      </c>
      <c r="EG61">
        <f t="shared" si="38"/>
        <v>0</v>
      </c>
      <c r="EH61">
        <f t="shared" si="38"/>
        <v>0</v>
      </c>
      <c r="EI61">
        <f t="shared" si="38"/>
        <v>0</v>
      </c>
      <c r="EJ61">
        <f t="shared" si="38"/>
        <v>0</v>
      </c>
      <c r="EK61">
        <f t="shared" si="38"/>
        <v>0</v>
      </c>
      <c r="EL61">
        <f t="shared" si="38"/>
        <v>0</v>
      </c>
      <c r="EM61">
        <f t="shared" si="38"/>
        <v>0</v>
      </c>
      <c r="EN61">
        <f t="shared" si="38"/>
        <v>0</v>
      </c>
      <c r="EO61">
        <f t="shared" si="38"/>
        <v>0</v>
      </c>
      <c r="EP61">
        <f t="shared" si="38"/>
        <v>0</v>
      </c>
      <c r="EQ61">
        <f t="shared" si="38"/>
        <v>0</v>
      </c>
      <c r="ER61">
        <f t="shared" si="38"/>
        <v>0</v>
      </c>
      <c r="ES61">
        <f t="shared" si="38"/>
        <v>0</v>
      </c>
      <c r="ET61">
        <f t="shared" si="38"/>
        <v>0</v>
      </c>
      <c r="EU61">
        <f t="shared" si="38"/>
        <v>0</v>
      </c>
      <c r="EV61">
        <f t="shared" si="38"/>
        <v>0</v>
      </c>
      <c r="EW61">
        <f t="shared" si="38"/>
        <v>0</v>
      </c>
      <c r="EX61">
        <f t="shared" si="38"/>
        <v>0</v>
      </c>
      <c r="EY61">
        <f t="shared" si="38"/>
        <v>0</v>
      </c>
      <c r="EZ61">
        <f t="shared" si="38"/>
        <v>0</v>
      </c>
      <c r="FA61">
        <f t="shared" si="38"/>
        <v>0</v>
      </c>
      <c r="FB61">
        <f t="shared" si="38"/>
        <v>0</v>
      </c>
      <c r="FC61">
        <f t="shared" si="38"/>
        <v>0</v>
      </c>
      <c r="FD61">
        <f t="shared" si="38"/>
        <v>0</v>
      </c>
      <c r="FE61">
        <f t="shared" si="38"/>
        <v>0</v>
      </c>
      <c r="FF61">
        <f t="shared" si="38"/>
        <v>0</v>
      </c>
      <c r="FG61">
        <f t="shared" si="38"/>
        <v>0</v>
      </c>
      <c r="FH61">
        <f t="shared" si="38"/>
        <v>0</v>
      </c>
      <c r="FI61">
        <f t="shared" si="38"/>
        <v>0</v>
      </c>
      <c r="FJ61">
        <f t="shared" si="38"/>
        <v>0</v>
      </c>
      <c r="FK61">
        <f t="shared" si="38"/>
        <v>0</v>
      </c>
      <c r="FL61">
        <f t="shared" si="38"/>
        <v>0</v>
      </c>
      <c r="FM61">
        <f t="shared" si="38"/>
        <v>0</v>
      </c>
      <c r="FN61">
        <f t="shared" si="38"/>
        <v>0</v>
      </c>
      <c r="FO61">
        <f t="shared" si="38"/>
        <v>0</v>
      </c>
      <c r="FP61">
        <f t="shared" si="38"/>
        <v>0</v>
      </c>
      <c r="FQ61">
        <f t="shared" si="38"/>
        <v>0</v>
      </c>
      <c r="FR61">
        <f t="shared" si="38"/>
        <v>0</v>
      </c>
      <c r="FS61">
        <f t="shared" si="38"/>
        <v>0</v>
      </c>
      <c r="FT61">
        <f t="shared" si="38"/>
        <v>0</v>
      </c>
      <c r="FU61">
        <f t="shared" si="38"/>
        <v>0</v>
      </c>
    </row>
    <row r="62" spans="1:177" x14ac:dyDescent="0.25">
      <c r="A62" t="str">
        <f t="shared" ref="A62:D62" si="42">A22</f>
        <v>Five-SeveN</v>
      </c>
      <c r="B62" t="str">
        <f t="shared" si="42"/>
        <v>StatTrak Monkey Business FT</v>
      </c>
      <c r="C62" t="str">
        <f t="shared" si="42"/>
        <v>Pistol</v>
      </c>
      <c r="D62" t="str">
        <f t="shared" si="42"/>
        <v>Chroma 2</v>
      </c>
      <c r="E62">
        <f t="shared" si="11"/>
        <v>3.4300000000000006</v>
      </c>
      <c r="F62">
        <f t="shared" ref="F62:BQ65" si="43">F22-ROUNDUP(F22*0.3,2)</f>
        <v>3.3</v>
      </c>
      <c r="G62">
        <f t="shared" si="43"/>
        <v>3.4699999999999998</v>
      </c>
      <c r="H62">
        <f t="shared" si="43"/>
        <v>3.2699999999999996</v>
      </c>
      <c r="I62">
        <f t="shared" si="43"/>
        <v>3.2699999999999996</v>
      </c>
      <c r="J62">
        <f t="shared" si="43"/>
        <v>3.38</v>
      </c>
      <c r="K62">
        <f t="shared" si="43"/>
        <v>3.3299999999999996</v>
      </c>
      <c r="L62">
        <f t="shared" si="43"/>
        <v>3.44</v>
      </c>
      <c r="M62">
        <f t="shared" si="43"/>
        <v>3.1799999999999997</v>
      </c>
      <c r="N62">
        <f t="shared" si="43"/>
        <v>3.1300000000000003</v>
      </c>
      <c r="O62">
        <f t="shared" si="43"/>
        <v>3.4300000000000006</v>
      </c>
      <c r="P62">
        <f t="shared" si="43"/>
        <v>3.33</v>
      </c>
      <c r="Q62">
        <f t="shared" si="43"/>
        <v>3.44</v>
      </c>
      <c r="R62">
        <f t="shared" si="43"/>
        <v>3.26</v>
      </c>
      <c r="S62">
        <f t="shared" si="43"/>
        <v>3.3100000000000005</v>
      </c>
      <c r="T62">
        <f t="shared" si="43"/>
        <v>3.33</v>
      </c>
      <c r="U62">
        <f t="shared" si="43"/>
        <v>3.2800000000000002</v>
      </c>
      <c r="V62">
        <f t="shared" si="43"/>
        <v>2.94</v>
      </c>
      <c r="W62">
        <f t="shared" si="43"/>
        <v>3.36</v>
      </c>
      <c r="X62">
        <f t="shared" si="43"/>
        <v>3.1499999999999995</v>
      </c>
      <c r="Y62">
        <f t="shared" si="43"/>
        <v>3.01</v>
      </c>
      <c r="Z62">
        <f t="shared" si="43"/>
        <v>0</v>
      </c>
      <c r="AA62">
        <f t="shared" si="43"/>
        <v>0</v>
      </c>
      <c r="AB62">
        <f t="shared" si="43"/>
        <v>0</v>
      </c>
      <c r="AC62">
        <f t="shared" si="43"/>
        <v>0</v>
      </c>
      <c r="AD62">
        <f t="shared" si="43"/>
        <v>0</v>
      </c>
      <c r="AE62">
        <f t="shared" si="43"/>
        <v>0</v>
      </c>
      <c r="AF62">
        <f t="shared" si="43"/>
        <v>0</v>
      </c>
      <c r="AG62">
        <f t="shared" si="43"/>
        <v>0</v>
      </c>
      <c r="AH62">
        <f t="shared" si="43"/>
        <v>0</v>
      </c>
      <c r="AI62">
        <f t="shared" si="43"/>
        <v>0</v>
      </c>
      <c r="AJ62">
        <f t="shared" si="43"/>
        <v>0</v>
      </c>
      <c r="AK62">
        <f t="shared" si="43"/>
        <v>0</v>
      </c>
      <c r="AL62">
        <f t="shared" si="43"/>
        <v>0</v>
      </c>
      <c r="AM62">
        <f t="shared" si="43"/>
        <v>0</v>
      </c>
      <c r="AN62">
        <f t="shared" si="43"/>
        <v>0</v>
      </c>
      <c r="AO62">
        <f t="shared" si="43"/>
        <v>0</v>
      </c>
      <c r="AP62">
        <f t="shared" si="43"/>
        <v>0</v>
      </c>
      <c r="AQ62">
        <f t="shared" si="43"/>
        <v>0</v>
      </c>
      <c r="AR62">
        <f t="shared" si="43"/>
        <v>0</v>
      </c>
      <c r="AS62">
        <f t="shared" si="43"/>
        <v>0</v>
      </c>
      <c r="AT62">
        <f t="shared" si="43"/>
        <v>0</v>
      </c>
      <c r="AU62">
        <f t="shared" si="43"/>
        <v>0</v>
      </c>
      <c r="AV62">
        <f t="shared" si="43"/>
        <v>0</v>
      </c>
      <c r="AW62">
        <f t="shared" si="43"/>
        <v>0</v>
      </c>
      <c r="AX62">
        <f t="shared" si="43"/>
        <v>0</v>
      </c>
      <c r="AY62">
        <f t="shared" si="43"/>
        <v>0</v>
      </c>
      <c r="AZ62">
        <f t="shared" si="43"/>
        <v>0</v>
      </c>
      <c r="BA62">
        <f t="shared" si="43"/>
        <v>0</v>
      </c>
      <c r="BB62">
        <f t="shared" si="43"/>
        <v>0</v>
      </c>
      <c r="BC62">
        <f t="shared" si="43"/>
        <v>0</v>
      </c>
      <c r="BD62">
        <f t="shared" si="43"/>
        <v>0</v>
      </c>
      <c r="BE62">
        <f t="shared" si="43"/>
        <v>0</v>
      </c>
      <c r="BF62">
        <f t="shared" si="43"/>
        <v>0</v>
      </c>
      <c r="BG62">
        <f t="shared" si="43"/>
        <v>0</v>
      </c>
      <c r="BH62">
        <f t="shared" si="43"/>
        <v>0</v>
      </c>
      <c r="BI62">
        <f t="shared" si="43"/>
        <v>0</v>
      </c>
      <c r="BJ62">
        <f t="shared" si="43"/>
        <v>0</v>
      </c>
      <c r="BK62">
        <f t="shared" si="43"/>
        <v>0</v>
      </c>
      <c r="BL62">
        <f t="shared" si="43"/>
        <v>0</v>
      </c>
      <c r="BM62">
        <f t="shared" si="43"/>
        <v>0</v>
      </c>
      <c r="BN62">
        <f t="shared" si="43"/>
        <v>0</v>
      </c>
      <c r="BO62">
        <f t="shared" si="43"/>
        <v>0</v>
      </c>
      <c r="BP62">
        <f t="shared" si="43"/>
        <v>0</v>
      </c>
      <c r="BQ62">
        <f t="shared" si="43"/>
        <v>0</v>
      </c>
      <c r="BR62">
        <f t="shared" si="41"/>
        <v>0</v>
      </c>
      <c r="BS62">
        <f t="shared" si="41"/>
        <v>0</v>
      </c>
      <c r="BT62">
        <f t="shared" si="41"/>
        <v>0</v>
      </c>
      <c r="BU62">
        <f t="shared" si="41"/>
        <v>0</v>
      </c>
      <c r="BV62">
        <f t="shared" si="41"/>
        <v>0</v>
      </c>
      <c r="BW62">
        <f t="shared" si="41"/>
        <v>0</v>
      </c>
      <c r="BX62">
        <f t="shared" si="41"/>
        <v>0</v>
      </c>
      <c r="BY62">
        <f t="shared" si="41"/>
        <v>0</v>
      </c>
      <c r="BZ62">
        <f t="shared" si="41"/>
        <v>0</v>
      </c>
      <c r="CA62">
        <f t="shared" si="41"/>
        <v>0</v>
      </c>
      <c r="CB62">
        <f t="shared" si="41"/>
        <v>0</v>
      </c>
      <c r="CC62">
        <f t="shared" si="41"/>
        <v>0</v>
      </c>
      <c r="CD62">
        <f t="shared" si="41"/>
        <v>0</v>
      </c>
      <c r="CE62">
        <f t="shared" si="41"/>
        <v>0</v>
      </c>
      <c r="CF62">
        <f t="shared" si="41"/>
        <v>0</v>
      </c>
      <c r="CG62">
        <f t="shared" si="41"/>
        <v>0</v>
      </c>
      <c r="CH62">
        <f t="shared" si="41"/>
        <v>0</v>
      </c>
      <c r="CI62">
        <f t="shared" si="41"/>
        <v>0</v>
      </c>
      <c r="CJ62">
        <f t="shared" si="41"/>
        <v>0</v>
      </c>
      <c r="CK62">
        <f t="shared" si="41"/>
        <v>0</v>
      </c>
      <c r="CL62">
        <f t="shared" si="41"/>
        <v>0</v>
      </c>
      <c r="CM62">
        <f t="shared" si="41"/>
        <v>0</v>
      </c>
      <c r="CN62">
        <f t="shared" si="41"/>
        <v>0</v>
      </c>
      <c r="CO62">
        <f t="shared" si="41"/>
        <v>0</v>
      </c>
      <c r="CP62">
        <f t="shared" si="41"/>
        <v>0</v>
      </c>
      <c r="CQ62">
        <f t="shared" si="41"/>
        <v>0</v>
      </c>
      <c r="CR62">
        <f t="shared" si="41"/>
        <v>0</v>
      </c>
      <c r="CS62">
        <f t="shared" si="41"/>
        <v>0</v>
      </c>
      <c r="CT62">
        <f t="shared" si="41"/>
        <v>0</v>
      </c>
      <c r="CU62">
        <f t="shared" si="41"/>
        <v>0</v>
      </c>
      <c r="CV62">
        <f t="shared" si="41"/>
        <v>0</v>
      </c>
      <c r="CW62">
        <f t="shared" si="41"/>
        <v>0</v>
      </c>
      <c r="CX62">
        <f t="shared" si="41"/>
        <v>0</v>
      </c>
      <c r="CY62">
        <f t="shared" si="41"/>
        <v>0</v>
      </c>
      <c r="CZ62">
        <f t="shared" si="41"/>
        <v>0</v>
      </c>
      <c r="DA62">
        <f t="shared" si="41"/>
        <v>0</v>
      </c>
      <c r="DB62">
        <f t="shared" si="41"/>
        <v>0</v>
      </c>
      <c r="DC62">
        <f t="shared" si="41"/>
        <v>0</v>
      </c>
      <c r="DD62">
        <f t="shared" si="41"/>
        <v>0</v>
      </c>
      <c r="DE62">
        <f t="shared" si="41"/>
        <v>0</v>
      </c>
      <c r="DF62">
        <f t="shared" si="41"/>
        <v>0</v>
      </c>
      <c r="DG62">
        <f t="shared" si="41"/>
        <v>0</v>
      </c>
      <c r="DH62">
        <f t="shared" si="41"/>
        <v>0</v>
      </c>
      <c r="DI62">
        <f t="shared" si="41"/>
        <v>0</v>
      </c>
      <c r="DJ62">
        <f t="shared" si="41"/>
        <v>0</v>
      </c>
      <c r="DK62">
        <f t="shared" si="41"/>
        <v>0</v>
      </c>
      <c r="DL62">
        <f t="shared" si="41"/>
        <v>0</v>
      </c>
      <c r="DM62">
        <f t="shared" si="41"/>
        <v>0</v>
      </c>
      <c r="DN62">
        <f t="shared" si="41"/>
        <v>0</v>
      </c>
      <c r="DO62">
        <f t="shared" si="41"/>
        <v>0</v>
      </c>
      <c r="DP62">
        <f t="shared" si="41"/>
        <v>0</v>
      </c>
      <c r="DQ62">
        <f t="shared" si="41"/>
        <v>0</v>
      </c>
      <c r="DR62">
        <f t="shared" si="41"/>
        <v>0</v>
      </c>
      <c r="DS62">
        <f t="shared" si="41"/>
        <v>0</v>
      </c>
      <c r="DT62">
        <f t="shared" si="41"/>
        <v>0</v>
      </c>
      <c r="DU62">
        <f t="shared" si="41"/>
        <v>0</v>
      </c>
      <c r="DV62">
        <f t="shared" si="41"/>
        <v>0</v>
      </c>
      <c r="DW62">
        <f t="shared" si="41"/>
        <v>0</v>
      </c>
      <c r="DX62">
        <f t="shared" si="41"/>
        <v>0</v>
      </c>
      <c r="DY62">
        <f t="shared" si="41"/>
        <v>0</v>
      </c>
      <c r="DZ62">
        <f t="shared" si="41"/>
        <v>0</v>
      </c>
      <c r="EA62">
        <f t="shared" si="41"/>
        <v>0</v>
      </c>
      <c r="EB62">
        <f t="shared" si="41"/>
        <v>0</v>
      </c>
      <c r="EC62">
        <f t="shared" si="17"/>
        <v>0</v>
      </c>
      <c r="ED62">
        <f t="shared" si="38"/>
        <v>0</v>
      </c>
      <c r="EE62">
        <f t="shared" si="38"/>
        <v>0</v>
      </c>
      <c r="EF62">
        <f t="shared" si="38"/>
        <v>0</v>
      </c>
      <c r="EG62">
        <f t="shared" si="38"/>
        <v>0</v>
      </c>
      <c r="EH62">
        <f t="shared" si="38"/>
        <v>0</v>
      </c>
      <c r="EI62">
        <f t="shared" si="38"/>
        <v>0</v>
      </c>
      <c r="EJ62">
        <f t="shared" si="38"/>
        <v>0</v>
      </c>
      <c r="EK62">
        <f t="shared" si="38"/>
        <v>0</v>
      </c>
      <c r="EL62">
        <f t="shared" si="38"/>
        <v>0</v>
      </c>
      <c r="EM62">
        <f t="shared" si="38"/>
        <v>0</v>
      </c>
      <c r="EN62">
        <f t="shared" si="38"/>
        <v>0</v>
      </c>
      <c r="EO62">
        <f t="shared" si="38"/>
        <v>0</v>
      </c>
      <c r="EP62">
        <f t="shared" si="38"/>
        <v>0</v>
      </c>
      <c r="EQ62">
        <f t="shared" si="38"/>
        <v>0</v>
      </c>
      <c r="ER62">
        <f t="shared" si="38"/>
        <v>0</v>
      </c>
      <c r="ES62">
        <f t="shared" si="38"/>
        <v>0</v>
      </c>
      <c r="ET62">
        <f t="shared" si="38"/>
        <v>0</v>
      </c>
      <c r="EU62">
        <f t="shared" si="38"/>
        <v>0</v>
      </c>
      <c r="EV62">
        <f t="shared" si="38"/>
        <v>0</v>
      </c>
      <c r="EW62">
        <f t="shared" si="38"/>
        <v>0</v>
      </c>
      <c r="EX62">
        <f t="shared" si="38"/>
        <v>0</v>
      </c>
      <c r="EY62">
        <f t="shared" si="38"/>
        <v>0</v>
      </c>
      <c r="EZ62">
        <f t="shared" si="38"/>
        <v>0</v>
      </c>
      <c r="FA62">
        <f t="shared" si="38"/>
        <v>0</v>
      </c>
      <c r="FB62">
        <f t="shared" si="38"/>
        <v>0</v>
      </c>
      <c r="FC62">
        <f t="shared" si="38"/>
        <v>0</v>
      </c>
      <c r="FD62">
        <f t="shared" si="38"/>
        <v>0</v>
      </c>
      <c r="FE62">
        <f t="shared" si="38"/>
        <v>0</v>
      </c>
      <c r="FF62">
        <f t="shared" si="38"/>
        <v>0</v>
      </c>
      <c r="FG62">
        <f t="shared" si="38"/>
        <v>0</v>
      </c>
      <c r="FH62">
        <f t="shared" si="38"/>
        <v>0</v>
      </c>
      <c r="FI62">
        <f t="shared" si="38"/>
        <v>0</v>
      </c>
      <c r="FJ62">
        <f t="shared" si="38"/>
        <v>0</v>
      </c>
      <c r="FK62">
        <f t="shared" si="38"/>
        <v>0</v>
      </c>
      <c r="FL62">
        <f t="shared" si="38"/>
        <v>0</v>
      </c>
      <c r="FM62">
        <f t="shared" si="38"/>
        <v>0</v>
      </c>
      <c r="FN62">
        <f t="shared" si="38"/>
        <v>0</v>
      </c>
      <c r="FO62">
        <f t="shared" si="38"/>
        <v>0</v>
      </c>
      <c r="FP62">
        <f t="shared" si="38"/>
        <v>0</v>
      </c>
      <c r="FQ62">
        <f t="shared" si="38"/>
        <v>0</v>
      </c>
      <c r="FR62">
        <f t="shared" si="38"/>
        <v>0</v>
      </c>
      <c r="FS62">
        <f t="shared" si="38"/>
        <v>0</v>
      </c>
      <c r="FT62">
        <f t="shared" si="38"/>
        <v>0</v>
      </c>
      <c r="FU62">
        <f t="shared" si="38"/>
        <v>0</v>
      </c>
    </row>
    <row r="63" spans="1:177" x14ac:dyDescent="0.25">
      <c r="A63" t="str">
        <f t="shared" ref="A63:D63" si="44">A23</f>
        <v>CZ75-Auto</v>
      </c>
      <c r="B63" t="str">
        <f t="shared" si="44"/>
        <v>StatTrak Eco MW</v>
      </c>
      <c r="C63" t="str">
        <f t="shared" si="44"/>
        <v>Pistol</v>
      </c>
      <c r="D63" t="str">
        <f t="shared" si="44"/>
        <v>Horizon</v>
      </c>
      <c r="E63">
        <f t="shared" si="11"/>
        <v>1.7899999999999998</v>
      </c>
      <c r="F63">
        <f t="shared" si="43"/>
        <v>1.75</v>
      </c>
      <c r="G63">
        <f t="shared" si="43"/>
        <v>1.87</v>
      </c>
      <c r="H63">
        <f t="shared" si="43"/>
        <v>1.7000000000000002</v>
      </c>
      <c r="I63">
        <f t="shared" si="43"/>
        <v>1.8199999999999998</v>
      </c>
      <c r="J63">
        <f t="shared" si="43"/>
        <v>1.83</v>
      </c>
      <c r="K63">
        <f t="shared" si="43"/>
        <v>1.86</v>
      </c>
      <c r="L63">
        <f t="shared" si="43"/>
        <v>1.8599999999999999</v>
      </c>
      <c r="M63">
        <f t="shared" si="43"/>
        <v>1.8</v>
      </c>
      <c r="N63">
        <f t="shared" si="43"/>
        <v>1.96</v>
      </c>
      <c r="O63">
        <f t="shared" si="43"/>
        <v>1.94</v>
      </c>
      <c r="P63">
        <f t="shared" si="43"/>
        <v>1.9699999999999998</v>
      </c>
      <c r="Q63">
        <f t="shared" si="43"/>
        <v>2.0500000000000003</v>
      </c>
      <c r="R63">
        <f t="shared" si="43"/>
        <v>1.69</v>
      </c>
      <c r="S63">
        <f t="shared" si="43"/>
        <v>1.8499999999999999</v>
      </c>
      <c r="T63">
        <f t="shared" si="43"/>
        <v>1.8900000000000001</v>
      </c>
      <c r="U63">
        <f t="shared" si="43"/>
        <v>1.7699999999999998</v>
      </c>
      <c r="V63">
        <f t="shared" si="43"/>
        <v>1.7</v>
      </c>
      <c r="W63">
        <f t="shared" si="43"/>
        <v>1.7699999999999998</v>
      </c>
      <c r="X63">
        <f t="shared" si="43"/>
        <v>1.6700000000000002</v>
      </c>
      <c r="Y63">
        <f t="shared" si="43"/>
        <v>1.88</v>
      </c>
      <c r="Z63">
        <f t="shared" si="43"/>
        <v>0</v>
      </c>
      <c r="AA63">
        <f t="shared" si="43"/>
        <v>0</v>
      </c>
      <c r="AB63">
        <f t="shared" si="43"/>
        <v>0</v>
      </c>
      <c r="AC63">
        <f t="shared" si="43"/>
        <v>0</v>
      </c>
      <c r="AD63">
        <f t="shared" si="43"/>
        <v>0</v>
      </c>
      <c r="AE63">
        <f t="shared" si="43"/>
        <v>0</v>
      </c>
      <c r="AF63">
        <f t="shared" si="43"/>
        <v>0</v>
      </c>
      <c r="AG63">
        <f t="shared" si="43"/>
        <v>0</v>
      </c>
      <c r="AH63">
        <f t="shared" si="43"/>
        <v>0</v>
      </c>
      <c r="AI63">
        <f t="shared" si="43"/>
        <v>0</v>
      </c>
      <c r="AJ63">
        <f t="shared" si="43"/>
        <v>0</v>
      </c>
      <c r="AK63">
        <f t="shared" si="43"/>
        <v>0</v>
      </c>
      <c r="AL63">
        <f t="shared" si="43"/>
        <v>0</v>
      </c>
      <c r="AM63">
        <f t="shared" si="43"/>
        <v>0</v>
      </c>
      <c r="AN63">
        <f t="shared" si="43"/>
        <v>0</v>
      </c>
      <c r="AO63">
        <f t="shared" si="43"/>
        <v>0</v>
      </c>
      <c r="AP63">
        <f t="shared" si="43"/>
        <v>0</v>
      </c>
      <c r="AQ63">
        <f t="shared" si="43"/>
        <v>0</v>
      </c>
      <c r="AR63">
        <f t="shared" si="43"/>
        <v>0</v>
      </c>
      <c r="AS63">
        <f t="shared" si="43"/>
        <v>0</v>
      </c>
      <c r="AT63">
        <f t="shared" si="43"/>
        <v>0</v>
      </c>
      <c r="AU63">
        <f t="shared" si="43"/>
        <v>0</v>
      </c>
      <c r="AV63">
        <f t="shared" si="43"/>
        <v>0</v>
      </c>
      <c r="AW63">
        <f t="shared" si="43"/>
        <v>0</v>
      </c>
      <c r="AX63">
        <f t="shared" si="43"/>
        <v>0</v>
      </c>
      <c r="AY63">
        <f t="shared" si="43"/>
        <v>0</v>
      </c>
      <c r="AZ63">
        <f t="shared" si="43"/>
        <v>0</v>
      </c>
      <c r="BA63">
        <f t="shared" si="43"/>
        <v>0</v>
      </c>
      <c r="BB63">
        <f t="shared" si="43"/>
        <v>0</v>
      </c>
      <c r="BC63">
        <f t="shared" si="43"/>
        <v>0</v>
      </c>
      <c r="BD63">
        <f t="shared" si="43"/>
        <v>0</v>
      </c>
      <c r="BE63">
        <f t="shared" si="43"/>
        <v>0</v>
      </c>
      <c r="BF63">
        <f t="shared" si="43"/>
        <v>0</v>
      </c>
      <c r="BG63">
        <f t="shared" si="43"/>
        <v>0</v>
      </c>
      <c r="BH63">
        <f t="shared" si="43"/>
        <v>0</v>
      </c>
      <c r="BI63">
        <f t="shared" si="43"/>
        <v>0</v>
      </c>
      <c r="BJ63">
        <f t="shared" si="43"/>
        <v>0</v>
      </c>
      <c r="BK63">
        <f t="shared" si="43"/>
        <v>0</v>
      </c>
      <c r="BL63">
        <f t="shared" si="43"/>
        <v>0</v>
      </c>
      <c r="BM63">
        <f t="shared" si="43"/>
        <v>0</v>
      </c>
      <c r="BN63">
        <f t="shared" si="43"/>
        <v>0</v>
      </c>
      <c r="BO63">
        <f t="shared" si="43"/>
        <v>0</v>
      </c>
      <c r="BP63">
        <f t="shared" si="43"/>
        <v>0</v>
      </c>
      <c r="BQ63">
        <f t="shared" si="43"/>
        <v>0</v>
      </c>
      <c r="BR63">
        <f t="shared" si="41"/>
        <v>0</v>
      </c>
      <c r="BS63">
        <f t="shared" si="41"/>
        <v>0</v>
      </c>
      <c r="BT63">
        <f t="shared" si="41"/>
        <v>0</v>
      </c>
      <c r="BU63">
        <f t="shared" si="41"/>
        <v>0</v>
      </c>
      <c r="BV63">
        <f t="shared" si="41"/>
        <v>0</v>
      </c>
      <c r="BW63">
        <f t="shared" si="41"/>
        <v>0</v>
      </c>
      <c r="BX63">
        <f t="shared" si="41"/>
        <v>0</v>
      </c>
      <c r="BY63">
        <f t="shared" si="41"/>
        <v>0</v>
      </c>
      <c r="BZ63">
        <f t="shared" si="41"/>
        <v>0</v>
      </c>
      <c r="CA63">
        <f t="shared" si="41"/>
        <v>0</v>
      </c>
      <c r="CB63">
        <f t="shared" si="41"/>
        <v>0</v>
      </c>
      <c r="CC63">
        <f t="shared" si="41"/>
        <v>0</v>
      </c>
      <c r="CD63">
        <f t="shared" si="41"/>
        <v>0</v>
      </c>
      <c r="CE63">
        <f t="shared" si="41"/>
        <v>0</v>
      </c>
      <c r="CF63">
        <f t="shared" si="41"/>
        <v>0</v>
      </c>
      <c r="CG63">
        <f t="shared" si="41"/>
        <v>0</v>
      </c>
      <c r="CH63">
        <f t="shared" si="41"/>
        <v>0</v>
      </c>
      <c r="CI63">
        <f t="shared" si="41"/>
        <v>0</v>
      </c>
      <c r="CJ63">
        <f t="shared" si="41"/>
        <v>0</v>
      </c>
      <c r="CK63">
        <f t="shared" si="41"/>
        <v>0</v>
      </c>
      <c r="CL63">
        <f t="shared" si="41"/>
        <v>0</v>
      </c>
      <c r="CM63">
        <f t="shared" si="41"/>
        <v>0</v>
      </c>
      <c r="CN63">
        <f t="shared" si="41"/>
        <v>0</v>
      </c>
      <c r="CO63">
        <f t="shared" si="41"/>
        <v>0</v>
      </c>
      <c r="CP63">
        <f t="shared" si="41"/>
        <v>0</v>
      </c>
      <c r="CQ63">
        <f t="shared" si="41"/>
        <v>0</v>
      </c>
      <c r="CR63">
        <f t="shared" si="41"/>
        <v>0</v>
      </c>
      <c r="CS63">
        <f t="shared" si="41"/>
        <v>0</v>
      </c>
      <c r="CT63">
        <f t="shared" si="41"/>
        <v>0</v>
      </c>
      <c r="CU63">
        <f t="shared" si="41"/>
        <v>0</v>
      </c>
      <c r="CV63">
        <f t="shared" si="41"/>
        <v>0</v>
      </c>
      <c r="CW63">
        <f t="shared" si="41"/>
        <v>0</v>
      </c>
      <c r="CX63">
        <f t="shared" si="41"/>
        <v>0</v>
      </c>
      <c r="CY63">
        <f t="shared" si="41"/>
        <v>0</v>
      </c>
      <c r="CZ63">
        <f t="shared" si="41"/>
        <v>0</v>
      </c>
      <c r="DA63">
        <f t="shared" si="41"/>
        <v>0</v>
      </c>
      <c r="DB63">
        <f t="shared" si="41"/>
        <v>0</v>
      </c>
      <c r="DC63">
        <f t="shared" si="41"/>
        <v>0</v>
      </c>
      <c r="DD63">
        <f t="shared" si="41"/>
        <v>0</v>
      </c>
      <c r="DE63">
        <f t="shared" si="41"/>
        <v>0</v>
      </c>
      <c r="DF63">
        <f t="shared" si="41"/>
        <v>0</v>
      </c>
      <c r="DG63">
        <f t="shared" si="41"/>
        <v>0</v>
      </c>
      <c r="DH63">
        <f t="shared" si="41"/>
        <v>0</v>
      </c>
      <c r="DI63">
        <f t="shared" si="41"/>
        <v>0</v>
      </c>
      <c r="DJ63">
        <f t="shared" si="41"/>
        <v>0</v>
      </c>
      <c r="DK63">
        <f t="shared" si="41"/>
        <v>0</v>
      </c>
      <c r="DL63">
        <f t="shared" si="41"/>
        <v>0</v>
      </c>
      <c r="DM63">
        <f t="shared" si="41"/>
        <v>0</v>
      </c>
      <c r="DN63">
        <f t="shared" si="41"/>
        <v>0</v>
      </c>
      <c r="DO63">
        <f t="shared" si="41"/>
        <v>0</v>
      </c>
      <c r="DP63">
        <f t="shared" si="41"/>
        <v>0</v>
      </c>
      <c r="DQ63">
        <f t="shared" si="41"/>
        <v>0</v>
      </c>
      <c r="DR63">
        <f t="shared" si="41"/>
        <v>0</v>
      </c>
      <c r="DS63">
        <f t="shared" si="41"/>
        <v>0</v>
      </c>
      <c r="DT63">
        <f t="shared" si="41"/>
        <v>0</v>
      </c>
      <c r="DU63">
        <f t="shared" si="41"/>
        <v>0</v>
      </c>
      <c r="DV63">
        <f t="shared" si="41"/>
        <v>0</v>
      </c>
      <c r="DW63">
        <f t="shared" si="41"/>
        <v>0</v>
      </c>
      <c r="DX63">
        <f t="shared" si="41"/>
        <v>0</v>
      </c>
      <c r="DY63">
        <f t="shared" si="41"/>
        <v>0</v>
      </c>
      <c r="DZ63">
        <f t="shared" si="41"/>
        <v>0</v>
      </c>
      <c r="EA63">
        <f t="shared" si="41"/>
        <v>0</v>
      </c>
      <c r="EB63">
        <f t="shared" si="41"/>
        <v>0</v>
      </c>
      <c r="EC63">
        <f t="shared" si="17"/>
        <v>0</v>
      </c>
      <c r="ED63">
        <f t="shared" si="38"/>
        <v>0</v>
      </c>
      <c r="EE63">
        <f t="shared" si="38"/>
        <v>0</v>
      </c>
      <c r="EF63">
        <f t="shared" si="38"/>
        <v>0</v>
      </c>
      <c r="EG63">
        <f t="shared" si="38"/>
        <v>0</v>
      </c>
      <c r="EH63">
        <f t="shared" si="38"/>
        <v>0</v>
      </c>
      <c r="EI63">
        <f t="shared" si="38"/>
        <v>0</v>
      </c>
      <c r="EJ63">
        <f t="shared" si="38"/>
        <v>0</v>
      </c>
      <c r="EK63">
        <f t="shared" si="38"/>
        <v>0</v>
      </c>
      <c r="EL63">
        <f t="shared" si="38"/>
        <v>0</v>
      </c>
      <c r="EM63">
        <f t="shared" si="38"/>
        <v>0</v>
      </c>
      <c r="EN63">
        <f t="shared" si="38"/>
        <v>0</v>
      </c>
      <c r="EO63">
        <f t="shared" si="38"/>
        <v>0</v>
      </c>
      <c r="EP63">
        <f t="shared" si="38"/>
        <v>0</v>
      </c>
      <c r="EQ63">
        <f t="shared" si="38"/>
        <v>0</v>
      </c>
      <c r="ER63">
        <f t="shared" si="38"/>
        <v>0</v>
      </c>
      <c r="ES63">
        <f t="shared" si="38"/>
        <v>0</v>
      </c>
      <c r="ET63">
        <f t="shared" si="38"/>
        <v>0</v>
      </c>
      <c r="EU63">
        <f t="shared" si="38"/>
        <v>0</v>
      </c>
      <c r="EV63">
        <f t="shared" si="38"/>
        <v>0</v>
      </c>
      <c r="EW63">
        <f t="shared" si="38"/>
        <v>0</v>
      </c>
      <c r="EX63">
        <f t="shared" si="38"/>
        <v>0</v>
      </c>
      <c r="EY63">
        <f t="shared" si="38"/>
        <v>0</v>
      </c>
      <c r="EZ63">
        <f t="shared" si="38"/>
        <v>0</v>
      </c>
      <c r="FA63">
        <f t="shared" si="38"/>
        <v>0</v>
      </c>
      <c r="FB63">
        <f t="shared" si="38"/>
        <v>0</v>
      </c>
      <c r="FC63">
        <f t="shared" si="38"/>
        <v>0</v>
      </c>
      <c r="FD63">
        <f t="shared" si="38"/>
        <v>0</v>
      </c>
      <c r="FE63">
        <f t="shared" si="38"/>
        <v>0</v>
      </c>
      <c r="FF63">
        <f t="shared" si="38"/>
        <v>0</v>
      </c>
      <c r="FG63">
        <f t="shared" si="38"/>
        <v>0</v>
      </c>
      <c r="FH63">
        <f t="shared" si="38"/>
        <v>0</v>
      </c>
      <c r="FI63">
        <f t="shared" si="38"/>
        <v>0</v>
      </c>
      <c r="FJ63">
        <f t="shared" si="38"/>
        <v>0</v>
      </c>
      <c r="FK63">
        <f t="shared" si="38"/>
        <v>0</v>
      </c>
      <c r="FL63">
        <f t="shared" si="38"/>
        <v>0</v>
      </c>
      <c r="FM63">
        <f t="shared" si="38"/>
        <v>0</v>
      </c>
      <c r="FN63">
        <f t="shared" si="38"/>
        <v>0</v>
      </c>
      <c r="FO63">
        <f t="shared" si="38"/>
        <v>0</v>
      </c>
      <c r="FP63">
        <f t="shared" si="38"/>
        <v>0</v>
      </c>
      <c r="FQ63">
        <f t="shared" si="38"/>
        <v>0</v>
      </c>
      <c r="FR63">
        <f t="shared" si="38"/>
        <v>0</v>
      </c>
      <c r="FS63">
        <f t="shared" si="38"/>
        <v>0</v>
      </c>
      <c r="FT63">
        <f t="shared" si="38"/>
        <v>0</v>
      </c>
      <c r="FU63">
        <f t="shared" si="38"/>
        <v>0</v>
      </c>
    </row>
    <row r="64" spans="1:177" x14ac:dyDescent="0.25">
      <c r="A64" t="str">
        <f t="shared" ref="A64:D64" si="45">A24</f>
        <v>USP-S</v>
      </c>
      <c r="B64" t="str">
        <f t="shared" si="45"/>
        <v>StatTrak Cyrex FN</v>
      </c>
      <c r="C64" t="str">
        <f t="shared" si="45"/>
        <v>Pistol</v>
      </c>
      <c r="D64" t="str">
        <f t="shared" si="45"/>
        <v>Glove</v>
      </c>
      <c r="E64">
        <f t="shared" si="11"/>
        <v>8.57</v>
      </c>
      <c r="F64">
        <f t="shared" si="43"/>
        <v>9.3600000000000012</v>
      </c>
      <c r="G64">
        <f t="shared" si="43"/>
        <v>8.9600000000000009</v>
      </c>
      <c r="H64">
        <f t="shared" si="43"/>
        <v>9.68</v>
      </c>
      <c r="I64">
        <f t="shared" si="43"/>
        <v>9.5400000000000009</v>
      </c>
      <c r="J64">
        <f t="shared" si="43"/>
        <v>9.41</v>
      </c>
      <c r="K64">
        <f t="shared" si="43"/>
        <v>8.69</v>
      </c>
      <c r="L64">
        <f t="shared" si="43"/>
        <v>9.2899999999999991</v>
      </c>
      <c r="M64">
        <f t="shared" si="43"/>
        <v>9.2899999999999991</v>
      </c>
      <c r="N64">
        <f t="shared" si="43"/>
        <v>9.1</v>
      </c>
      <c r="O64">
        <f t="shared" si="43"/>
        <v>8.93</v>
      </c>
      <c r="P64">
        <f t="shared" si="43"/>
        <v>8.27</v>
      </c>
      <c r="Q64">
        <f t="shared" si="43"/>
        <v>9.2600000000000016</v>
      </c>
      <c r="R64">
        <f t="shared" si="43"/>
        <v>9.35</v>
      </c>
      <c r="S64">
        <f t="shared" si="43"/>
        <v>9.0599999999999987</v>
      </c>
      <c r="T64">
        <f t="shared" si="43"/>
        <v>9.4400000000000013</v>
      </c>
      <c r="U64">
        <f t="shared" si="43"/>
        <v>9.26</v>
      </c>
      <c r="V64">
        <f t="shared" si="43"/>
        <v>8.83</v>
      </c>
      <c r="W64">
        <f t="shared" si="43"/>
        <v>9.2100000000000009</v>
      </c>
      <c r="X64">
        <f t="shared" si="43"/>
        <v>8.82</v>
      </c>
      <c r="Y64">
        <f t="shared" si="43"/>
        <v>8.94</v>
      </c>
      <c r="Z64">
        <f t="shared" si="43"/>
        <v>0</v>
      </c>
      <c r="AA64">
        <f t="shared" si="43"/>
        <v>0</v>
      </c>
      <c r="AB64">
        <f t="shared" si="43"/>
        <v>0</v>
      </c>
      <c r="AC64">
        <f t="shared" si="43"/>
        <v>0</v>
      </c>
      <c r="AD64">
        <f t="shared" si="43"/>
        <v>0</v>
      </c>
      <c r="AE64">
        <f t="shared" si="43"/>
        <v>0</v>
      </c>
      <c r="AF64">
        <f t="shared" si="43"/>
        <v>0</v>
      </c>
      <c r="AG64">
        <f t="shared" si="43"/>
        <v>0</v>
      </c>
      <c r="AH64">
        <f t="shared" si="43"/>
        <v>0</v>
      </c>
      <c r="AI64">
        <f t="shared" si="43"/>
        <v>0</v>
      </c>
      <c r="AJ64">
        <f t="shared" si="43"/>
        <v>0</v>
      </c>
      <c r="AK64">
        <f t="shared" si="43"/>
        <v>0</v>
      </c>
      <c r="AL64">
        <f t="shared" si="43"/>
        <v>0</v>
      </c>
      <c r="AM64">
        <f t="shared" si="43"/>
        <v>0</v>
      </c>
      <c r="AN64">
        <f t="shared" si="43"/>
        <v>0</v>
      </c>
      <c r="AO64">
        <f t="shared" si="43"/>
        <v>0</v>
      </c>
      <c r="AP64">
        <f t="shared" si="43"/>
        <v>0</v>
      </c>
      <c r="AQ64">
        <f t="shared" si="43"/>
        <v>0</v>
      </c>
      <c r="AR64">
        <f t="shared" si="43"/>
        <v>0</v>
      </c>
      <c r="AS64">
        <f t="shared" si="43"/>
        <v>0</v>
      </c>
      <c r="AT64">
        <f t="shared" si="43"/>
        <v>0</v>
      </c>
      <c r="AU64">
        <f t="shared" si="43"/>
        <v>0</v>
      </c>
      <c r="AV64">
        <f t="shared" si="43"/>
        <v>0</v>
      </c>
      <c r="AW64">
        <f t="shared" si="43"/>
        <v>0</v>
      </c>
      <c r="AX64">
        <f t="shared" si="43"/>
        <v>0</v>
      </c>
      <c r="AY64">
        <f t="shared" si="43"/>
        <v>0</v>
      </c>
      <c r="AZ64">
        <f t="shared" si="43"/>
        <v>0</v>
      </c>
      <c r="BA64">
        <f t="shared" si="43"/>
        <v>0</v>
      </c>
      <c r="BB64">
        <f t="shared" si="43"/>
        <v>0</v>
      </c>
      <c r="BC64">
        <f t="shared" si="43"/>
        <v>0</v>
      </c>
      <c r="BD64">
        <f t="shared" si="43"/>
        <v>0</v>
      </c>
      <c r="BE64">
        <f t="shared" si="43"/>
        <v>0</v>
      </c>
      <c r="BF64">
        <f t="shared" si="43"/>
        <v>0</v>
      </c>
      <c r="BG64">
        <f t="shared" si="43"/>
        <v>0</v>
      </c>
      <c r="BH64">
        <f t="shared" si="43"/>
        <v>0</v>
      </c>
      <c r="BI64">
        <f t="shared" si="43"/>
        <v>0</v>
      </c>
      <c r="BJ64">
        <f t="shared" si="43"/>
        <v>0</v>
      </c>
      <c r="BK64">
        <f t="shared" si="43"/>
        <v>0</v>
      </c>
      <c r="BL64">
        <f t="shared" si="43"/>
        <v>0</v>
      </c>
      <c r="BM64">
        <f t="shared" si="43"/>
        <v>0</v>
      </c>
      <c r="BN64">
        <f t="shared" si="43"/>
        <v>0</v>
      </c>
      <c r="BO64">
        <f t="shared" si="43"/>
        <v>0</v>
      </c>
      <c r="BP64">
        <f t="shared" si="43"/>
        <v>0</v>
      </c>
      <c r="BQ64">
        <f t="shared" si="43"/>
        <v>0</v>
      </c>
      <c r="BR64">
        <f t="shared" si="41"/>
        <v>0</v>
      </c>
      <c r="BS64">
        <f t="shared" si="41"/>
        <v>0</v>
      </c>
      <c r="BT64">
        <f t="shared" si="41"/>
        <v>0</v>
      </c>
      <c r="BU64">
        <f t="shared" si="41"/>
        <v>0</v>
      </c>
      <c r="BV64">
        <f t="shared" si="41"/>
        <v>0</v>
      </c>
      <c r="BW64">
        <f t="shared" si="41"/>
        <v>0</v>
      </c>
      <c r="BX64">
        <f t="shared" si="41"/>
        <v>0</v>
      </c>
      <c r="BY64">
        <f t="shared" si="41"/>
        <v>0</v>
      </c>
      <c r="BZ64">
        <f t="shared" si="41"/>
        <v>0</v>
      </c>
      <c r="CA64">
        <f t="shared" si="41"/>
        <v>0</v>
      </c>
      <c r="CB64">
        <f t="shared" si="41"/>
        <v>0</v>
      </c>
      <c r="CC64">
        <f t="shared" si="41"/>
        <v>0</v>
      </c>
      <c r="CD64">
        <f t="shared" si="41"/>
        <v>0</v>
      </c>
      <c r="CE64">
        <f t="shared" si="41"/>
        <v>0</v>
      </c>
      <c r="CF64">
        <f t="shared" si="41"/>
        <v>0</v>
      </c>
      <c r="CG64">
        <f t="shared" si="41"/>
        <v>0</v>
      </c>
      <c r="CH64">
        <f t="shared" si="41"/>
        <v>0</v>
      </c>
      <c r="CI64">
        <f t="shared" si="41"/>
        <v>0</v>
      </c>
      <c r="CJ64">
        <f t="shared" si="41"/>
        <v>0</v>
      </c>
      <c r="CK64">
        <f t="shared" si="41"/>
        <v>0</v>
      </c>
      <c r="CL64">
        <f t="shared" si="41"/>
        <v>0</v>
      </c>
      <c r="CM64">
        <f t="shared" si="41"/>
        <v>0</v>
      </c>
      <c r="CN64">
        <f t="shared" si="41"/>
        <v>0</v>
      </c>
      <c r="CO64">
        <f t="shared" si="41"/>
        <v>0</v>
      </c>
      <c r="CP64">
        <f t="shared" si="41"/>
        <v>0</v>
      </c>
      <c r="CQ64">
        <f t="shared" si="41"/>
        <v>0</v>
      </c>
      <c r="CR64">
        <f t="shared" si="41"/>
        <v>0</v>
      </c>
      <c r="CS64">
        <f t="shared" si="41"/>
        <v>0</v>
      </c>
      <c r="CT64">
        <f t="shared" si="41"/>
        <v>0</v>
      </c>
      <c r="CU64">
        <f t="shared" si="41"/>
        <v>0</v>
      </c>
      <c r="CV64">
        <f t="shared" si="41"/>
        <v>0</v>
      </c>
      <c r="CW64">
        <f t="shared" si="41"/>
        <v>0</v>
      </c>
      <c r="CX64">
        <f t="shared" si="41"/>
        <v>0</v>
      </c>
      <c r="CY64">
        <f t="shared" si="41"/>
        <v>0</v>
      </c>
      <c r="CZ64">
        <f t="shared" si="41"/>
        <v>0</v>
      </c>
      <c r="DA64">
        <f t="shared" si="41"/>
        <v>0</v>
      </c>
      <c r="DB64">
        <f t="shared" si="41"/>
        <v>0</v>
      </c>
      <c r="DC64">
        <f t="shared" si="41"/>
        <v>0</v>
      </c>
      <c r="DD64">
        <f t="shared" si="41"/>
        <v>0</v>
      </c>
      <c r="DE64">
        <f t="shared" si="41"/>
        <v>0</v>
      </c>
      <c r="DF64">
        <f t="shared" si="41"/>
        <v>0</v>
      </c>
      <c r="DG64">
        <f t="shared" si="41"/>
        <v>0</v>
      </c>
      <c r="DH64">
        <f t="shared" si="41"/>
        <v>0</v>
      </c>
      <c r="DI64">
        <f t="shared" si="41"/>
        <v>0</v>
      </c>
      <c r="DJ64">
        <f t="shared" si="41"/>
        <v>0</v>
      </c>
      <c r="DK64">
        <f t="shared" si="41"/>
        <v>0</v>
      </c>
      <c r="DL64">
        <f t="shared" si="41"/>
        <v>0</v>
      </c>
      <c r="DM64">
        <f t="shared" si="41"/>
        <v>0</v>
      </c>
      <c r="DN64">
        <f t="shared" si="41"/>
        <v>0</v>
      </c>
      <c r="DO64">
        <f t="shared" si="41"/>
        <v>0</v>
      </c>
      <c r="DP64">
        <f t="shared" si="41"/>
        <v>0</v>
      </c>
      <c r="DQ64">
        <f t="shared" si="41"/>
        <v>0</v>
      </c>
      <c r="DR64">
        <f t="shared" si="41"/>
        <v>0</v>
      </c>
      <c r="DS64">
        <f t="shared" si="41"/>
        <v>0</v>
      </c>
      <c r="DT64">
        <f t="shared" si="41"/>
        <v>0</v>
      </c>
      <c r="DU64">
        <f t="shared" si="41"/>
        <v>0</v>
      </c>
      <c r="DV64">
        <f t="shared" si="41"/>
        <v>0</v>
      </c>
      <c r="DW64">
        <f t="shared" si="41"/>
        <v>0</v>
      </c>
      <c r="DX64">
        <f t="shared" si="41"/>
        <v>0</v>
      </c>
      <c r="DY64">
        <f t="shared" si="41"/>
        <v>0</v>
      </c>
      <c r="DZ64">
        <f t="shared" si="41"/>
        <v>0</v>
      </c>
      <c r="EA64">
        <f t="shared" si="41"/>
        <v>0</v>
      </c>
      <c r="EB64">
        <f t="shared" si="41"/>
        <v>0</v>
      </c>
      <c r="EC64">
        <f t="shared" ref="EC64:FU69" si="46">EC24-ROUNDUP(EC24*0.3,2)</f>
        <v>0</v>
      </c>
      <c r="ED64">
        <f t="shared" si="46"/>
        <v>0</v>
      </c>
      <c r="EE64">
        <f t="shared" si="46"/>
        <v>0</v>
      </c>
      <c r="EF64">
        <f t="shared" si="46"/>
        <v>0</v>
      </c>
      <c r="EG64">
        <f t="shared" si="46"/>
        <v>0</v>
      </c>
      <c r="EH64">
        <f t="shared" si="46"/>
        <v>0</v>
      </c>
      <c r="EI64">
        <f t="shared" si="46"/>
        <v>0</v>
      </c>
      <c r="EJ64">
        <f t="shared" si="46"/>
        <v>0</v>
      </c>
      <c r="EK64">
        <f t="shared" si="46"/>
        <v>0</v>
      </c>
      <c r="EL64">
        <f t="shared" si="46"/>
        <v>0</v>
      </c>
      <c r="EM64">
        <f t="shared" si="46"/>
        <v>0</v>
      </c>
      <c r="EN64">
        <f t="shared" si="46"/>
        <v>0</v>
      </c>
      <c r="EO64">
        <f t="shared" si="46"/>
        <v>0</v>
      </c>
      <c r="EP64">
        <f t="shared" si="46"/>
        <v>0</v>
      </c>
      <c r="EQ64">
        <f t="shared" si="46"/>
        <v>0</v>
      </c>
      <c r="ER64">
        <f t="shared" si="46"/>
        <v>0</v>
      </c>
      <c r="ES64">
        <f t="shared" si="46"/>
        <v>0</v>
      </c>
      <c r="ET64">
        <f t="shared" si="46"/>
        <v>0</v>
      </c>
      <c r="EU64">
        <f t="shared" si="46"/>
        <v>0</v>
      </c>
      <c r="EV64">
        <f t="shared" si="46"/>
        <v>0</v>
      </c>
      <c r="EW64">
        <f t="shared" si="46"/>
        <v>0</v>
      </c>
      <c r="EX64">
        <f t="shared" si="46"/>
        <v>0</v>
      </c>
      <c r="EY64">
        <f t="shared" si="46"/>
        <v>0</v>
      </c>
      <c r="EZ64">
        <f t="shared" si="46"/>
        <v>0</v>
      </c>
      <c r="FA64">
        <f t="shared" si="46"/>
        <v>0</v>
      </c>
      <c r="FB64">
        <f t="shared" si="46"/>
        <v>0</v>
      </c>
      <c r="FC64">
        <f t="shared" si="46"/>
        <v>0</v>
      </c>
      <c r="FD64">
        <f t="shared" si="46"/>
        <v>0</v>
      </c>
      <c r="FE64">
        <f t="shared" si="46"/>
        <v>0</v>
      </c>
      <c r="FF64">
        <f t="shared" si="46"/>
        <v>0</v>
      </c>
      <c r="FG64">
        <f t="shared" si="46"/>
        <v>0</v>
      </c>
      <c r="FH64">
        <f t="shared" si="46"/>
        <v>0</v>
      </c>
      <c r="FI64">
        <f t="shared" si="46"/>
        <v>0</v>
      </c>
      <c r="FJ64">
        <f t="shared" si="46"/>
        <v>0</v>
      </c>
      <c r="FK64">
        <f t="shared" si="46"/>
        <v>0</v>
      </c>
      <c r="FL64">
        <f t="shared" si="46"/>
        <v>0</v>
      </c>
      <c r="FM64">
        <f t="shared" si="46"/>
        <v>0</v>
      </c>
      <c r="FN64">
        <f t="shared" si="46"/>
        <v>0</v>
      </c>
      <c r="FO64">
        <f t="shared" si="46"/>
        <v>0</v>
      </c>
      <c r="FP64">
        <f t="shared" si="46"/>
        <v>0</v>
      </c>
      <c r="FQ64">
        <f t="shared" si="46"/>
        <v>0</v>
      </c>
      <c r="FR64">
        <f t="shared" si="46"/>
        <v>0</v>
      </c>
      <c r="FS64">
        <f t="shared" si="46"/>
        <v>0</v>
      </c>
      <c r="FT64">
        <f t="shared" si="46"/>
        <v>0</v>
      </c>
      <c r="FU64">
        <f t="shared" si="46"/>
        <v>0</v>
      </c>
    </row>
    <row r="65" spans="1:177" x14ac:dyDescent="0.25">
      <c r="A65" t="str">
        <f t="shared" ref="A65:D65" si="47">A25</f>
        <v>Dual Berettas</v>
      </c>
      <c r="B65" t="str">
        <f t="shared" si="47"/>
        <v>Urban Shock MW</v>
      </c>
      <c r="C65" t="str">
        <f t="shared" si="47"/>
        <v>Pistol</v>
      </c>
      <c r="D65" t="str">
        <f t="shared" si="47"/>
        <v>Chroma</v>
      </c>
      <c r="E65">
        <f t="shared" si="11"/>
        <v>0.97</v>
      </c>
      <c r="F65">
        <f t="shared" si="43"/>
        <v>1.02</v>
      </c>
      <c r="G65">
        <f t="shared" si="43"/>
        <v>0.94000000000000006</v>
      </c>
      <c r="H65">
        <f t="shared" si="43"/>
        <v>0.96</v>
      </c>
      <c r="I65">
        <f t="shared" si="43"/>
        <v>0.97</v>
      </c>
      <c r="J65">
        <f t="shared" si="43"/>
        <v>0.94000000000000006</v>
      </c>
      <c r="K65">
        <f t="shared" si="43"/>
        <v>1</v>
      </c>
      <c r="L65">
        <f t="shared" si="43"/>
        <v>0.99</v>
      </c>
      <c r="M65">
        <f t="shared" si="43"/>
        <v>0.94000000000000006</v>
      </c>
      <c r="N65">
        <f t="shared" si="43"/>
        <v>1.01</v>
      </c>
      <c r="O65">
        <f t="shared" si="43"/>
        <v>1</v>
      </c>
      <c r="P65">
        <f t="shared" si="43"/>
        <v>0.92</v>
      </c>
      <c r="Q65">
        <f t="shared" si="43"/>
        <v>0.96</v>
      </c>
      <c r="R65">
        <f t="shared" si="43"/>
        <v>1</v>
      </c>
      <c r="S65">
        <f t="shared" si="43"/>
        <v>0.93</v>
      </c>
      <c r="T65">
        <f t="shared" si="43"/>
        <v>1.02</v>
      </c>
      <c r="U65">
        <f t="shared" si="43"/>
        <v>0.99</v>
      </c>
      <c r="V65">
        <f t="shared" si="43"/>
        <v>1</v>
      </c>
      <c r="W65">
        <f t="shared" si="43"/>
        <v>1.01</v>
      </c>
      <c r="X65">
        <f t="shared" si="43"/>
        <v>1</v>
      </c>
      <c r="Y65">
        <f t="shared" si="43"/>
        <v>1.02</v>
      </c>
      <c r="Z65">
        <f t="shared" si="43"/>
        <v>0</v>
      </c>
      <c r="AA65">
        <f t="shared" si="43"/>
        <v>0</v>
      </c>
      <c r="AB65">
        <f t="shared" si="43"/>
        <v>0</v>
      </c>
      <c r="AC65">
        <f t="shared" si="43"/>
        <v>0</v>
      </c>
      <c r="AD65">
        <f t="shared" si="43"/>
        <v>0</v>
      </c>
      <c r="AE65">
        <f t="shared" si="43"/>
        <v>0</v>
      </c>
      <c r="AF65">
        <f t="shared" si="43"/>
        <v>0</v>
      </c>
      <c r="AG65">
        <f t="shared" si="43"/>
        <v>0</v>
      </c>
      <c r="AH65">
        <f t="shared" si="43"/>
        <v>0</v>
      </c>
      <c r="AI65">
        <f t="shared" si="43"/>
        <v>0</v>
      </c>
      <c r="AJ65">
        <f t="shared" si="43"/>
        <v>0</v>
      </c>
      <c r="AK65">
        <f t="shared" si="43"/>
        <v>0</v>
      </c>
      <c r="AL65">
        <f t="shared" si="43"/>
        <v>0</v>
      </c>
      <c r="AM65">
        <f t="shared" si="43"/>
        <v>0</v>
      </c>
      <c r="AN65">
        <f t="shared" si="43"/>
        <v>0</v>
      </c>
      <c r="AO65">
        <f t="shared" si="43"/>
        <v>0</v>
      </c>
      <c r="AP65">
        <f t="shared" si="43"/>
        <v>0</v>
      </c>
      <c r="AQ65">
        <f t="shared" si="43"/>
        <v>0</v>
      </c>
      <c r="AR65">
        <f t="shared" si="43"/>
        <v>0</v>
      </c>
      <c r="AS65">
        <f t="shared" si="43"/>
        <v>0</v>
      </c>
      <c r="AT65">
        <f t="shared" si="43"/>
        <v>0</v>
      </c>
      <c r="AU65">
        <f t="shared" si="43"/>
        <v>0</v>
      </c>
      <c r="AV65">
        <f t="shared" si="43"/>
        <v>0</v>
      </c>
      <c r="AW65">
        <f t="shared" si="43"/>
        <v>0</v>
      </c>
      <c r="AX65">
        <f t="shared" si="43"/>
        <v>0</v>
      </c>
      <c r="AY65">
        <f t="shared" si="43"/>
        <v>0</v>
      </c>
      <c r="AZ65">
        <f t="shared" si="43"/>
        <v>0</v>
      </c>
      <c r="BA65">
        <f t="shared" si="43"/>
        <v>0</v>
      </c>
      <c r="BB65">
        <f t="shared" si="43"/>
        <v>0</v>
      </c>
      <c r="BC65">
        <f t="shared" si="43"/>
        <v>0</v>
      </c>
      <c r="BD65">
        <f t="shared" si="43"/>
        <v>0</v>
      </c>
      <c r="BE65">
        <f t="shared" si="43"/>
        <v>0</v>
      </c>
      <c r="BF65">
        <f t="shared" si="43"/>
        <v>0</v>
      </c>
      <c r="BG65">
        <f t="shared" si="43"/>
        <v>0</v>
      </c>
      <c r="BH65">
        <f t="shared" si="43"/>
        <v>0</v>
      </c>
      <c r="BI65">
        <f t="shared" si="43"/>
        <v>0</v>
      </c>
      <c r="BJ65">
        <f t="shared" si="43"/>
        <v>0</v>
      </c>
      <c r="BK65">
        <f t="shared" si="43"/>
        <v>0</v>
      </c>
      <c r="BL65">
        <f t="shared" si="43"/>
        <v>0</v>
      </c>
      <c r="BM65">
        <f t="shared" si="43"/>
        <v>0</v>
      </c>
      <c r="BN65">
        <f t="shared" si="43"/>
        <v>0</v>
      </c>
      <c r="BO65">
        <f t="shared" si="43"/>
        <v>0</v>
      </c>
      <c r="BP65">
        <f t="shared" si="43"/>
        <v>0</v>
      </c>
      <c r="BQ65">
        <f t="shared" ref="BQ65:EB68" si="48">BQ25-ROUNDUP(BQ25*0.3,2)</f>
        <v>0</v>
      </c>
      <c r="BR65">
        <f t="shared" si="48"/>
        <v>0</v>
      </c>
      <c r="BS65">
        <f t="shared" si="48"/>
        <v>0</v>
      </c>
      <c r="BT65">
        <f t="shared" si="48"/>
        <v>0</v>
      </c>
      <c r="BU65">
        <f t="shared" si="48"/>
        <v>0</v>
      </c>
      <c r="BV65">
        <f t="shared" si="48"/>
        <v>0</v>
      </c>
      <c r="BW65">
        <f t="shared" si="48"/>
        <v>0</v>
      </c>
      <c r="BX65">
        <f t="shared" si="48"/>
        <v>0</v>
      </c>
      <c r="BY65">
        <f t="shared" si="48"/>
        <v>0</v>
      </c>
      <c r="BZ65">
        <f t="shared" si="48"/>
        <v>0</v>
      </c>
      <c r="CA65">
        <f t="shared" si="48"/>
        <v>0</v>
      </c>
      <c r="CB65">
        <f t="shared" si="48"/>
        <v>0</v>
      </c>
      <c r="CC65">
        <f t="shared" si="48"/>
        <v>0</v>
      </c>
      <c r="CD65">
        <f t="shared" si="48"/>
        <v>0</v>
      </c>
      <c r="CE65">
        <f t="shared" si="48"/>
        <v>0</v>
      </c>
      <c r="CF65">
        <f t="shared" si="48"/>
        <v>0</v>
      </c>
      <c r="CG65">
        <f t="shared" si="48"/>
        <v>0</v>
      </c>
      <c r="CH65">
        <f t="shared" si="48"/>
        <v>0</v>
      </c>
      <c r="CI65">
        <f t="shared" si="48"/>
        <v>0</v>
      </c>
      <c r="CJ65">
        <f t="shared" si="48"/>
        <v>0</v>
      </c>
      <c r="CK65">
        <f t="shared" si="48"/>
        <v>0</v>
      </c>
      <c r="CL65">
        <f t="shared" si="48"/>
        <v>0</v>
      </c>
      <c r="CM65">
        <f t="shared" si="48"/>
        <v>0</v>
      </c>
      <c r="CN65">
        <f t="shared" si="48"/>
        <v>0</v>
      </c>
      <c r="CO65">
        <f t="shared" si="48"/>
        <v>0</v>
      </c>
      <c r="CP65">
        <f t="shared" si="48"/>
        <v>0</v>
      </c>
      <c r="CQ65">
        <f t="shared" si="48"/>
        <v>0</v>
      </c>
      <c r="CR65">
        <f t="shared" si="48"/>
        <v>0</v>
      </c>
      <c r="CS65">
        <f t="shared" si="48"/>
        <v>0</v>
      </c>
      <c r="CT65">
        <f t="shared" si="48"/>
        <v>0</v>
      </c>
      <c r="CU65">
        <f t="shared" si="48"/>
        <v>0</v>
      </c>
      <c r="CV65">
        <f t="shared" si="48"/>
        <v>0</v>
      </c>
      <c r="CW65">
        <f t="shared" si="48"/>
        <v>0</v>
      </c>
      <c r="CX65">
        <f t="shared" si="48"/>
        <v>0</v>
      </c>
      <c r="CY65">
        <f t="shared" si="48"/>
        <v>0</v>
      </c>
      <c r="CZ65">
        <f t="shared" si="48"/>
        <v>0</v>
      </c>
      <c r="DA65">
        <f t="shared" si="48"/>
        <v>0</v>
      </c>
      <c r="DB65">
        <f t="shared" si="48"/>
        <v>0</v>
      </c>
      <c r="DC65">
        <f t="shared" si="48"/>
        <v>0</v>
      </c>
      <c r="DD65">
        <f t="shared" si="48"/>
        <v>0</v>
      </c>
      <c r="DE65">
        <f t="shared" si="48"/>
        <v>0</v>
      </c>
      <c r="DF65">
        <f t="shared" si="48"/>
        <v>0</v>
      </c>
      <c r="DG65">
        <f t="shared" si="48"/>
        <v>0</v>
      </c>
      <c r="DH65">
        <f t="shared" si="48"/>
        <v>0</v>
      </c>
      <c r="DI65">
        <f t="shared" si="48"/>
        <v>0</v>
      </c>
      <c r="DJ65">
        <f t="shared" si="48"/>
        <v>0</v>
      </c>
      <c r="DK65">
        <f t="shared" si="48"/>
        <v>0</v>
      </c>
      <c r="DL65">
        <f t="shared" si="48"/>
        <v>0</v>
      </c>
      <c r="DM65">
        <f t="shared" si="48"/>
        <v>0</v>
      </c>
      <c r="DN65">
        <f t="shared" si="48"/>
        <v>0</v>
      </c>
      <c r="DO65">
        <f t="shared" si="48"/>
        <v>0</v>
      </c>
      <c r="DP65">
        <f t="shared" si="48"/>
        <v>0</v>
      </c>
      <c r="DQ65">
        <f t="shared" si="48"/>
        <v>0</v>
      </c>
      <c r="DR65">
        <f t="shared" si="48"/>
        <v>0</v>
      </c>
      <c r="DS65">
        <f t="shared" si="48"/>
        <v>0</v>
      </c>
      <c r="DT65">
        <f t="shared" si="48"/>
        <v>0</v>
      </c>
      <c r="DU65">
        <f t="shared" si="48"/>
        <v>0</v>
      </c>
      <c r="DV65">
        <f t="shared" si="48"/>
        <v>0</v>
      </c>
      <c r="DW65">
        <f t="shared" si="48"/>
        <v>0</v>
      </c>
      <c r="DX65">
        <f t="shared" si="48"/>
        <v>0</v>
      </c>
      <c r="DY65">
        <f t="shared" si="48"/>
        <v>0</v>
      </c>
      <c r="DZ65">
        <f t="shared" si="48"/>
        <v>0</v>
      </c>
      <c r="EA65">
        <f t="shared" si="48"/>
        <v>0</v>
      </c>
      <c r="EB65">
        <f t="shared" si="48"/>
        <v>0</v>
      </c>
      <c r="EC65">
        <f t="shared" si="46"/>
        <v>0</v>
      </c>
      <c r="ED65">
        <f t="shared" si="46"/>
        <v>0</v>
      </c>
      <c r="EE65">
        <f t="shared" si="46"/>
        <v>0</v>
      </c>
      <c r="EF65">
        <f t="shared" si="46"/>
        <v>0</v>
      </c>
      <c r="EG65">
        <f t="shared" si="46"/>
        <v>0</v>
      </c>
      <c r="EH65">
        <f t="shared" si="46"/>
        <v>0</v>
      </c>
      <c r="EI65">
        <f t="shared" si="46"/>
        <v>0</v>
      </c>
      <c r="EJ65">
        <f t="shared" si="46"/>
        <v>0</v>
      </c>
      <c r="EK65">
        <f t="shared" si="46"/>
        <v>0</v>
      </c>
      <c r="EL65">
        <f t="shared" si="46"/>
        <v>0</v>
      </c>
      <c r="EM65">
        <f t="shared" si="46"/>
        <v>0</v>
      </c>
      <c r="EN65">
        <f t="shared" si="46"/>
        <v>0</v>
      </c>
      <c r="EO65">
        <f t="shared" si="46"/>
        <v>0</v>
      </c>
      <c r="EP65">
        <f t="shared" si="46"/>
        <v>0</v>
      </c>
      <c r="EQ65">
        <f t="shared" si="46"/>
        <v>0</v>
      </c>
      <c r="ER65">
        <f t="shared" si="46"/>
        <v>0</v>
      </c>
      <c r="ES65">
        <f t="shared" si="46"/>
        <v>0</v>
      </c>
      <c r="ET65">
        <f t="shared" si="46"/>
        <v>0</v>
      </c>
      <c r="EU65">
        <f t="shared" si="46"/>
        <v>0</v>
      </c>
      <c r="EV65">
        <f t="shared" si="46"/>
        <v>0</v>
      </c>
      <c r="EW65">
        <f t="shared" si="46"/>
        <v>0</v>
      </c>
      <c r="EX65">
        <f t="shared" si="46"/>
        <v>0</v>
      </c>
      <c r="EY65">
        <f t="shared" si="46"/>
        <v>0</v>
      </c>
      <c r="EZ65">
        <f t="shared" si="46"/>
        <v>0</v>
      </c>
      <c r="FA65">
        <f t="shared" si="46"/>
        <v>0</v>
      </c>
      <c r="FB65">
        <f t="shared" si="46"/>
        <v>0</v>
      </c>
      <c r="FC65">
        <f t="shared" si="46"/>
        <v>0</v>
      </c>
      <c r="FD65">
        <f t="shared" si="46"/>
        <v>0</v>
      </c>
      <c r="FE65">
        <f t="shared" si="46"/>
        <v>0</v>
      </c>
      <c r="FF65">
        <f t="shared" si="46"/>
        <v>0</v>
      </c>
      <c r="FG65">
        <f t="shared" si="46"/>
        <v>0</v>
      </c>
      <c r="FH65">
        <f t="shared" si="46"/>
        <v>0</v>
      </c>
      <c r="FI65">
        <f t="shared" si="46"/>
        <v>0</v>
      </c>
      <c r="FJ65">
        <f t="shared" si="46"/>
        <v>0</v>
      </c>
      <c r="FK65">
        <f t="shared" si="46"/>
        <v>0</v>
      </c>
      <c r="FL65">
        <f t="shared" si="46"/>
        <v>0</v>
      </c>
      <c r="FM65">
        <f t="shared" si="46"/>
        <v>0</v>
      </c>
      <c r="FN65">
        <f t="shared" si="46"/>
        <v>0</v>
      </c>
      <c r="FO65">
        <f t="shared" si="46"/>
        <v>0</v>
      </c>
      <c r="FP65">
        <f t="shared" si="46"/>
        <v>0</v>
      </c>
      <c r="FQ65">
        <f t="shared" si="46"/>
        <v>0</v>
      </c>
      <c r="FR65">
        <f t="shared" si="46"/>
        <v>0</v>
      </c>
      <c r="FS65">
        <f t="shared" si="46"/>
        <v>0</v>
      </c>
      <c r="FT65">
        <f t="shared" si="46"/>
        <v>0</v>
      </c>
      <c r="FU65">
        <f t="shared" si="46"/>
        <v>0</v>
      </c>
    </row>
    <row r="66" spans="1:177" x14ac:dyDescent="0.25">
      <c r="A66" t="str">
        <f t="shared" ref="A66:D66" si="49">A26</f>
        <v>Glock-18</v>
      </c>
      <c r="B66" t="str">
        <f t="shared" si="49"/>
        <v>StatTrak Water Elemental FT</v>
      </c>
      <c r="C66" t="str">
        <f t="shared" si="49"/>
        <v>Pistol</v>
      </c>
      <c r="D66" t="str">
        <f t="shared" si="49"/>
        <v>Breakout</v>
      </c>
      <c r="E66">
        <f t="shared" si="11"/>
        <v>8.7900000000000009</v>
      </c>
      <c r="F66">
        <f t="shared" ref="F66:BQ69" si="50">F26-ROUNDUP(F26*0.3,2)</f>
        <v>7.4899999999999993</v>
      </c>
      <c r="G66">
        <f t="shared" si="50"/>
        <v>9.0100000000000016</v>
      </c>
      <c r="H66">
        <f t="shared" si="50"/>
        <v>8.84</v>
      </c>
      <c r="I66">
        <f t="shared" si="50"/>
        <v>8.879999999999999</v>
      </c>
      <c r="J66">
        <f t="shared" si="50"/>
        <v>9.2100000000000009</v>
      </c>
      <c r="K66">
        <f t="shared" si="50"/>
        <v>9.2899999999999991</v>
      </c>
      <c r="L66">
        <f t="shared" si="50"/>
        <v>9.1900000000000013</v>
      </c>
      <c r="M66">
        <f t="shared" si="50"/>
        <v>8.4600000000000009</v>
      </c>
      <c r="N66">
        <f t="shared" si="50"/>
        <v>9.11</v>
      </c>
      <c r="O66">
        <f t="shared" si="50"/>
        <v>8.7900000000000009</v>
      </c>
      <c r="P66">
        <f t="shared" si="50"/>
        <v>8.870000000000001</v>
      </c>
      <c r="Q66">
        <f t="shared" si="50"/>
        <v>8.5</v>
      </c>
      <c r="R66">
        <f t="shared" si="50"/>
        <v>8.42</v>
      </c>
      <c r="S66">
        <f t="shared" si="50"/>
        <v>7.8500000000000014</v>
      </c>
      <c r="T66">
        <f t="shared" si="50"/>
        <v>8.58</v>
      </c>
      <c r="U66">
        <f t="shared" si="50"/>
        <v>8.19</v>
      </c>
      <c r="V66">
        <f t="shared" si="50"/>
        <v>7.8500000000000014</v>
      </c>
      <c r="W66">
        <f t="shared" si="50"/>
        <v>8.4699999999999989</v>
      </c>
      <c r="X66">
        <f t="shared" si="50"/>
        <v>7.9499999999999993</v>
      </c>
      <c r="Y66">
        <f t="shared" si="50"/>
        <v>8.83</v>
      </c>
      <c r="Z66">
        <f t="shared" si="50"/>
        <v>0</v>
      </c>
      <c r="AA66">
        <f t="shared" si="50"/>
        <v>0</v>
      </c>
      <c r="AB66">
        <f t="shared" si="50"/>
        <v>0</v>
      </c>
      <c r="AC66">
        <f t="shared" si="50"/>
        <v>0</v>
      </c>
      <c r="AD66">
        <f t="shared" si="50"/>
        <v>0</v>
      </c>
      <c r="AE66">
        <f t="shared" si="50"/>
        <v>0</v>
      </c>
      <c r="AF66">
        <f t="shared" si="50"/>
        <v>0</v>
      </c>
      <c r="AG66">
        <f t="shared" si="50"/>
        <v>0</v>
      </c>
      <c r="AH66">
        <f t="shared" si="50"/>
        <v>0</v>
      </c>
      <c r="AI66">
        <f t="shared" si="50"/>
        <v>0</v>
      </c>
      <c r="AJ66">
        <f t="shared" si="50"/>
        <v>0</v>
      </c>
      <c r="AK66">
        <f t="shared" si="50"/>
        <v>0</v>
      </c>
      <c r="AL66">
        <f t="shared" si="50"/>
        <v>0</v>
      </c>
      <c r="AM66">
        <f t="shared" si="50"/>
        <v>0</v>
      </c>
      <c r="AN66">
        <f t="shared" si="50"/>
        <v>0</v>
      </c>
      <c r="AO66">
        <f t="shared" si="50"/>
        <v>0</v>
      </c>
      <c r="AP66">
        <f t="shared" si="50"/>
        <v>0</v>
      </c>
      <c r="AQ66">
        <f t="shared" si="50"/>
        <v>0</v>
      </c>
      <c r="AR66">
        <f t="shared" si="50"/>
        <v>0</v>
      </c>
      <c r="AS66">
        <f t="shared" si="50"/>
        <v>0</v>
      </c>
      <c r="AT66">
        <f t="shared" si="50"/>
        <v>0</v>
      </c>
      <c r="AU66">
        <f t="shared" si="50"/>
        <v>0</v>
      </c>
      <c r="AV66">
        <f t="shared" si="50"/>
        <v>0</v>
      </c>
      <c r="AW66">
        <f t="shared" si="50"/>
        <v>0</v>
      </c>
      <c r="AX66">
        <f t="shared" si="50"/>
        <v>0</v>
      </c>
      <c r="AY66">
        <f t="shared" si="50"/>
        <v>0</v>
      </c>
      <c r="AZ66">
        <f t="shared" si="50"/>
        <v>0</v>
      </c>
      <c r="BA66">
        <f t="shared" si="50"/>
        <v>0</v>
      </c>
      <c r="BB66">
        <f t="shared" si="50"/>
        <v>0</v>
      </c>
      <c r="BC66">
        <f t="shared" si="50"/>
        <v>0</v>
      </c>
      <c r="BD66">
        <f t="shared" si="50"/>
        <v>0</v>
      </c>
      <c r="BE66">
        <f t="shared" si="50"/>
        <v>0</v>
      </c>
      <c r="BF66">
        <f t="shared" si="50"/>
        <v>0</v>
      </c>
      <c r="BG66">
        <f t="shared" si="50"/>
        <v>0</v>
      </c>
      <c r="BH66">
        <f t="shared" si="50"/>
        <v>0</v>
      </c>
      <c r="BI66">
        <f t="shared" si="50"/>
        <v>0</v>
      </c>
      <c r="BJ66">
        <f t="shared" si="50"/>
        <v>0</v>
      </c>
      <c r="BK66">
        <f t="shared" si="50"/>
        <v>0</v>
      </c>
      <c r="BL66">
        <f t="shared" si="50"/>
        <v>0</v>
      </c>
      <c r="BM66">
        <f t="shared" si="50"/>
        <v>0</v>
      </c>
      <c r="BN66">
        <f t="shared" si="50"/>
        <v>0</v>
      </c>
      <c r="BO66">
        <f t="shared" si="50"/>
        <v>0</v>
      </c>
      <c r="BP66">
        <f t="shared" si="50"/>
        <v>0</v>
      </c>
      <c r="BQ66">
        <f t="shared" si="50"/>
        <v>0</v>
      </c>
      <c r="BR66">
        <f t="shared" si="48"/>
        <v>0</v>
      </c>
      <c r="BS66">
        <f t="shared" si="48"/>
        <v>0</v>
      </c>
      <c r="BT66">
        <f t="shared" si="48"/>
        <v>0</v>
      </c>
      <c r="BU66">
        <f t="shared" si="48"/>
        <v>0</v>
      </c>
      <c r="BV66">
        <f t="shared" si="48"/>
        <v>0</v>
      </c>
      <c r="BW66">
        <f t="shared" si="48"/>
        <v>0</v>
      </c>
      <c r="BX66">
        <f t="shared" si="48"/>
        <v>0</v>
      </c>
      <c r="BY66">
        <f t="shared" si="48"/>
        <v>0</v>
      </c>
      <c r="BZ66">
        <f t="shared" si="48"/>
        <v>0</v>
      </c>
      <c r="CA66">
        <f t="shared" si="48"/>
        <v>0</v>
      </c>
      <c r="CB66">
        <f t="shared" si="48"/>
        <v>0</v>
      </c>
      <c r="CC66">
        <f t="shared" si="48"/>
        <v>0</v>
      </c>
      <c r="CD66">
        <f t="shared" si="48"/>
        <v>0</v>
      </c>
      <c r="CE66">
        <f t="shared" si="48"/>
        <v>0</v>
      </c>
      <c r="CF66">
        <f t="shared" si="48"/>
        <v>0</v>
      </c>
      <c r="CG66">
        <f t="shared" si="48"/>
        <v>0</v>
      </c>
      <c r="CH66">
        <f t="shared" si="48"/>
        <v>0</v>
      </c>
      <c r="CI66">
        <f t="shared" si="48"/>
        <v>0</v>
      </c>
      <c r="CJ66">
        <f t="shared" si="48"/>
        <v>0</v>
      </c>
      <c r="CK66">
        <f t="shared" si="48"/>
        <v>0</v>
      </c>
      <c r="CL66">
        <f t="shared" si="48"/>
        <v>0</v>
      </c>
      <c r="CM66">
        <f t="shared" si="48"/>
        <v>0</v>
      </c>
      <c r="CN66">
        <f t="shared" si="48"/>
        <v>0</v>
      </c>
      <c r="CO66">
        <f t="shared" si="48"/>
        <v>0</v>
      </c>
      <c r="CP66">
        <f t="shared" si="48"/>
        <v>0</v>
      </c>
      <c r="CQ66">
        <f t="shared" si="48"/>
        <v>0</v>
      </c>
      <c r="CR66">
        <f t="shared" si="48"/>
        <v>0</v>
      </c>
      <c r="CS66">
        <f t="shared" si="48"/>
        <v>0</v>
      </c>
      <c r="CT66">
        <f t="shared" si="48"/>
        <v>0</v>
      </c>
      <c r="CU66">
        <f t="shared" si="48"/>
        <v>0</v>
      </c>
      <c r="CV66">
        <f t="shared" si="48"/>
        <v>0</v>
      </c>
      <c r="CW66">
        <f t="shared" si="48"/>
        <v>0</v>
      </c>
      <c r="CX66">
        <f t="shared" si="48"/>
        <v>0</v>
      </c>
      <c r="CY66">
        <f t="shared" si="48"/>
        <v>0</v>
      </c>
      <c r="CZ66">
        <f t="shared" si="48"/>
        <v>0</v>
      </c>
      <c r="DA66">
        <f t="shared" si="48"/>
        <v>0</v>
      </c>
      <c r="DB66">
        <f t="shared" si="48"/>
        <v>0</v>
      </c>
      <c r="DC66">
        <f t="shared" si="48"/>
        <v>0</v>
      </c>
      <c r="DD66">
        <f t="shared" si="48"/>
        <v>0</v>
      </c>
      <c r="DE66">
        <f t="shared" si="48"/>
        <v>0</v>
      </c>
      <c r="DF66">
        <f t="shared" si="48"/>
        <v>0</v>
      </c>
      <c r="DG66">
        <f t="shared" si="48"/>
        <v>0</v>
      </c>
      <c r="DH66">
        <f t="shared" si="48"/>
        <v>0</v>
      </c>
      <c r="DI66">
        <f t="shared" si="48"/>
        <v>0</v>
      </c>
      <c r="DJ66">
        <f t="shared" si="48"/>
        <v>0</v>
      </c>
      <c r="DK66">
        <f t="shared" si="48"/>
        <v>0</v>
      </c>
      <c r="DL66">
        <f t="shared" si="48"/>
        <v>0</v>
      </c>
      <c r="DM66">
        <f t="shared" si="48"/>
        <v>0</v>
      </c>
      <c r="DN66">
        <f t="shared" si="48"/>
        <v>0</v>
      </c>
      <c r="DO66">
        <f t="shared" si="48"/>
        <v>0</v>
      </c>
      <c r="DP66">
        <f t="shared" si="48"/>
        <v>0</v>
      </c>
      <c r="DQ66">
        <f t="shared" si="48"/>
        <v>0</v>
      </c>
      <c r="DR66">
        <f t="shared" si="48"/>
        <v>0</v>
      </c>
      <c r="DS66">
        <f t="shared" si="48"/>
        <v>0</v>
      </c>
      <c r="DT66">
        <f t="shared" si="48"/>
        <v>0</v>
      </c>
      <c r="DU66">
        <f t="shared" si="48"/>
        <v>0</v>
      </c>
      <c r="DV66">
        <f t="shared" si="48"/>
        <v>0</v>
      </c>
      <c r="DW66">
        <f t="shared" si="48"/>
        <v>0</v>
      </c>
      <c r="DX66">
        <f t="shared" si="48"/>
        <v>0</v>
      </c>
      <c r="DY66">
        <f t="shared" si="48"/>
        <v>0</v>
      </c>
      <c r="DZ66">
        <f t="shared" si="48"/>
        <v>0</v>
      </c>
      <c r="EA66">
        <f t="shared" si="48"/>
        <v>0</v>
      </c>
      <c r="EB66">
        <f t="shared" si="48"/>
        <v>0</v>
      </c>
      <c r="EC66">
        <f t="shared" si="46"/>
        <v>0</v>
      </c>
      <c r="ED66">
        <f t="shared" si="46"/>
        <v>0</v>
      </c>
      <c r="EE66">
        <f t="shared" si="46"/>
        <v>0</v>
      </c>
      <c r="EF66">
        <f t="shared" si="46"/>
        <v>0</v>
      </c>
      <c r="EG66">
        <f t="shared" si="46"/>
        <v>0</v>
      </c>
      <c r="EH66">
        <f t="shared" si="46"/>
        <v>0</v>
      </c>
      <c r="EI66">
        <f t="shared" si="46"/>
        <v>0</v>
      </c>
      <c r="EJ66">
        <f t="shared" si="46"/>
        <v>0</v>
      </c>
      <c r="EK66">
        <f t="shared" si="46"/>
        <v>0</v>
      </c>
      <c r="EL66">
        <f t="shared" si="46"/>
        <v>0</v>
      </c>
      <c r="EM66">
        <f t="shared" si="46"/>
        <v>0</v>
      </c>
      <c r="EN66">
        <f t="shared" si="46"/>
        <v>0</v>
      </c>
      <c r="EO66">
        <f t="shared" si="46"/>
        <v>0</v>
      </c>
      <c r="EP66">
        <f t="shared" si="46"/>
        <v>0</v>
      </c>
      <c r="EQ66">
        <f t="shared" si="46"/>
        <v>0</v>
      </c>
      <c r="ER66">
        <f t="shared" si="46"/>
        <v>0</v>
      </c>
      <c r="ES66">
        <f t="shared" si="46"/>
        <v>0</v>
      </c>
      <c r="ET66">
        <f t="shared" si="46"/>
        <v>0</v>
      </c>
      <c r="EU66">
        <f t="shared" si="46"/>
        <v>0</v>
      </c>
      <c r="EV66">
        <f t="shared" si="46"/>
        <v>0</v>
      </c>
      <c r="EW66">
        <f t="shared" si="46"/>
        <v>0</v>
      </c>
      <c r="EX66">
        <f t="shared" si="46"/>
        <v>0</v>
      </c>
      <c r="EY66">
        <f t="shared" si="46"/>
        <v>0</v>
      </c>
      <c r="EZ66">
        <f t="shared" si="46"/>
        <v>0</v>
      </c>
      <c r="FA66">
        <f t="shared" si="46"/>
        <v>0</v>
      </c>
      <c r="FB66">
        <f t="shared" si="46"/>
        <v>0</v>
      </c>
      <c r="FC66">
        <f t="shared" si="46"/>
        <v>0</v>
      </c>
      <c r="FD66">
        <f t="shared" si="46"/>
        <v>0</v>
      </c>
      <c r="FE66">
        <f t="shared" si="46"/>
        <v>0</v>
      </c>
      <c r="FF66">
        <f t="shared" si="46"/>
        <v>0</v>
      </c>
      <c r="FG66">
        <f t="shared" si="46"/>
        <v>0</v>
      </c>
      <c r="FH66">
        <f t="shared" si="46"/>
        <v>0</v>
      </c>
      <c r="FI66">
        <f t="shared" si="46"/>
        <v>0</v>
      </c>
      <c r="FJ66">
        <f t="shared" si="46"/>
        <v>0</v>
      </c>
      <c r="FK66">
        <f t="shared" si="46"/>
        <v>0</v>
      </c>
      <c r="FL66">
        <f t="shared" si="46"/>
        <v>0</v>
      </c>
      <c r="FM66">
        <f t="shared" si="46"/>
        <v>0</v>
      </c>
      <c r="FN66">
        <f t="shared" si="46"/>
        <v>0</v>
      </c>
      <c r="FO66">
        <f t="shared" si="46"/>
        <v>0</v>
      </c>
      <c r="FP66">
        <f t="shared" si="46"/>
        <v>0</v>
      </c>
      <c r="FQ66">
        <f t="shared" si="46"/>
        <v>0</v>
      </c>
      <c r="FR66">
        <f t="shared" si="46"/>
        <v>0</v>
      </c>
      <c r="FS66">
        <f t="shared" si="46"/>
        <v>0</v>
      </c>
      <c r="FT66">
        <f t="shared" si="46"/>
        <v>0</v>
      </c>
      <c r="FU66">
        <f t="shared" si="46"/>
        <v>0</v>
      </c>
    </row>
    <row r="67" spans="1:177" x14ac:dyDescent="0.25">
      <c r="A67" t="str">
        <f t="shared" ref="A67:D67" si="51">A27</f>
        <v>R8 Revolver</v>
      </c>
      <c r="B67" t="str">
        <f t="shared" si="51"/>
        <v>Reboot FT</v>
      </c>
      <c r="C67" t="str">
        <f t="shared" si="51"/>
        <v>Pistol</v>
      </c>
      <c r="D67" t="str">
        <f t="shared" si="51"/>
        <v>Gamma</v>
      </c>
      <c r="E67">
        <f t="shared" si="11"/>
        <v>0.44</v>
      </c>
      <c r="F67">
        <f t="shared" si="50"/>
        <v>0.43</v>
      </c>
      <c r="G67">
        <f t="shared" si="50"/>
        <v>0.45</v>
      </c>
      <c r="H67">
        <f t="shared" si="50"/>
        <v>0.42</v>
      </c>
      <c r="I67">
        <f t="shared" si="50"/>
        <v>0.43</v>
      </c>
      <c r="J67">
        <f t="shared" si="50"/>
        <v>0.46</v>
      </c>
      <c r="K67">
        <f t="shared" si="50"/>
        <v>0.49</v>
      </c>
      <c r="L67">
        <f t="shared" si="50"/>
        <v>0.47999999999999993</v>
      </c>
      <c r="M67">
        <f t="shared" si="50"/>
        <v>0.49</v>
      </c>
      <c r="N67">
        <f t="shared" si="50"/>
        <v>0.46</v>
      </c>
      <c r="O67">
        <f t="shared" si="50"/>
        <v>0.43</v>
      </c>
      <c r="P67">
        <f t="shared" si="50"/>
        <v>0.45</v>
      </c>
      <c r="Q67">
        <f t="shared" si="50"/>
        <v>0.44</v>
      </c>
      <c r="R67">
        <f t="shared" si="50"/>
        <v>0.44</v>
      </c>
      <c r="S67">
        <f t="shared" si="50"/>
        <v>0.42</v>
      </c>
      <c r="T67">
        <f t="shared" si="50"/>
        <v>0.42</v>
      </c>
      <c r="U67">
        <f t="shared" si="50"/>
        <v>0.38</v>
      </c>
      <c r="V67">
        <f t="shared" si="50"/>
        <v>0.42</v>
      </c>
      <c r="W67">
        <f t="shared" si="50"/>
        <v>0.42</v>
      </c>
      <c r="X67">
        <f t="shared" si="50"/>
        <v>0.42</v>
      </c>
      <c r="Y67">
        <f t="shared" si="50"/>
        <v>0.42</v>
      </c>
      <c r="Z67">
        <f t="shared" si="50"/>
        <v>0</v>
      </c>
      <c r="AA67">
        <f t="shared" si="50"/>
        <v>0</v>
      </c>
      <c r="AB67">
        <f t="shared" si="50"/>
        <v>0</v>
      </c>
      <c r="AC67">
        <f t="shared" si="50"/>
        <v>0</v>
      </c>
      <c r="AD67">
        <f t="shared" si="50"/>
        <v>0</v>
      </c>
      <c r="AE67">
        <f t="shared" si="50"/>
        <v>0</v>
      </c>
      <c r="AF67">
        <f t="shared" si="50"/>
        <v>0</v>
      </c>
      <c r="AG67">
        <f t="shared" si="50"/>
        <v>0</v>
      </c>
      <c r="AH67">
        <f t="shared" si="50"/>
        <v>0</v>
      </c>
      <c r="AI67">
        <f t="shared" si="50"/>
        <v>0</v>
      </c>
      <c r="AJ67">
        <f t="shared" si="50"/>
        <v>0</v>
      </c>
      <c r="AK67">
        <f t="shared" si="50"/>
        <v>0</v>
      </c>
      <c r="AL67">
        <f t="shared" si="50"/>
        <v>0</v>
      </c>
      <c r="AM67">
        <f t="shared" si="50"/>
        <v>0</v>
      </c>
      <c r="AN67">
        <f t="shared" si="50"/>
        <v>0</v>
      </c>
      <c r="AO67">
        <f t="shared" si="50"/>
        <v>0</v>
      </c>
      <c r="AP67">
        <f t="shared" si="50"/>
        <v>0</v>
      </c>
      <c r="AQ67">
        <f t="shared" si="50"/>
        <v>0</v>
      </c>
      <c r="AR67">
        <f t="shared" si="50"/>
        <v>0</v>
      </c>
      <c r="AS67">
        <f t="shared" si="50"/>
        <v>0</v>
      </c>
      <c r="AT67">
        <f t="shared" si="50"/>
        <v>0</v>
      </c>
      <c r="AU67">
        <f t="shared" si="50"/>
        <v>0</v>
      </c>
      <c r="AV67">
        <f t="shared" si="50"/>
        <v>0</v>
      </c>
      <c r="AW67">
        <f t="shared" si="50"/>
        <v>0</v>
      </c>
      <c r="AX67">
        <f t="shared" si="50"/>
        <v>0</v>
      </c>
      <c r="AY67">
        <f t="shared" si="50"/>
        <v>0</v>
      </c>
      <c r="AZ67">
        <f t="shared" si="50"/>
        <v>0</v>
      </c>
      <c r="BA67">
        <f t="shared" si="50"/>
        <v>0</v>
      </c>
      <c r="BB67">
        <f t="shared" si="50"/>
        <v>0</v>
      </c>
      <c r="BC67">
        <f t="shared" si="50"/>
        <v>0</v>
      </c>
      <c r="BD67">
        <f t="shared" si="50"/>
        <v>0</v>
      </c>
      <c r="BE67">
        <f t="shared" si="50"/>
        <v>0</v>
      </c>
      <c r="BF67">
        <f t="shared" si="50"/>
        <v>0</v>
      </c>
      <c r="BG67">
        <f t="shared" si="50"/>
        <v>0</v>
      </c>
      <c r="BH67">
        <f t="shared" si="50"/>
        <v>0</v>
      </c>
      <c r="BI67">
        <f t="shared" si="50"/>
        <v>0</v>
      </c>
      <c r="BJ67">
        <f t="shared" si="50"/>
        <v>0</v>
      </c>
      <c r="BK67">
        <f t="shared" si="50"/>
        <v>0</v>
      </c>
      <c r="BL67">
        <f t="shared" si="50"/>
        <v>0</v>
      </c>
      <c r="BM67">
        <f t="shared" si="50"/>
        <v>0</v>
      </c>
      <c r="BN67">
        <f t="shared" si="50"/>
        <v>0</v>
      </c>
      <c r="BO67">
        <f t="shared" si="50"/>
        <v>0</v>
      </c>
      <c r="BP67">
        <f t="shared" si="50"/>
        <v>0</v>
      </c>
      <c r="BQ67">
        <f t="shared" si="50"/>
        <v>0</v>
      </c>
      <c r="BR67">
        <f t="shared" si="48"/>
        <v>0</v>
      </c>
      <c r="BS67">
        <f t="shared" si="48"/>
        <v>0</v>
      </c>
      <c r="BT67">
        <f t="shared" si="48"/>
        <v>0</v>
      </c>
      <c r="BU67">
        <f t="shared" si="48"/>
        <v>0</v>
      </c>
      <c r="BV67">
        <f t="shared" si="48"/>
        <v>0</v>
      </c>
      <c r="BW67">
        <f t="shared" si="48"/>
        <v>0</v>
      </c>
      <c r="BX67">
        <f t="shared" si="48"/>
        <v>0</v>
      </c>
      <c r="BY67">
        <f t="shared" si="48"/>
        <v>0</v>
      </c>
      <c r="BZ67">
        <f t="shared" si="48"/>
        <v>0</v>
      </c>
      <c r="CA67">
        <f t="shared" si="48"/>
        <v>0</v>
      </c>
      <c r="CB67">
        <f t="shared" si="48"/>
        <v>0</v>
      </c>
      <c r="CC67">
        <f t="shared" si="48"/>
        <v>0</v>
      </c>
      <c r="CD67">
        <f t="shared" si="48"/>
        <v>0</v>
      </c>
      <c r="CE67">
        <f t="shared" si="48"/>
        <v>0</v>
      </c>
      <c r="CF67">
        <f t="shared" si="48"/>
        <v>0</v>
      </c>
      <c r="CG67">
        <f t="shared" si="48"/>
        <v>0</v>
      </c>
      <c r="CH67">
        <f t="shared" si="48"/>
        <v>0</v>
      </c>
      <c r="CI67">
        <f t="shared" si="48"/>
        <v>0</v>
      </c>
      <c r="CJ67">
        <f t="shared" si="48"/>
        <v>0</v>
      </c>
      <c r="CK67">
        <f t="shared" si="48"/>
        <v>0</v>
      </c>
      <c r="CL67">
        <f t="shared" si="48"/>
        <v>0</v>
      </c>
      <c r="CM67">
        <f t="shared" si="48"/>
        <v>0</v>
      </c>
      <c r="CN67">
        <f t="shared" si="48"/>
        <v>0</v>
      </c>
      <c r="CO67">
        <f t="shared" si="48"/>
        <v>0</v>
      </c>
      <c r="CP67">
        <f t="shared" si="48"/>
        <v>0</v>
      </c>
      <c r="CQ67">
        <f t="shared" si="48"/>
        <v>0</v>
      </c>
      <c r="CR67">
        <f t="shared" si="48"/>
        <v>0</v>
      </c>
      <c r="CS67">
        <f t="shared" si="48"/>
        <v>0</v>
      </c>
      <c r="CT67">
        <f t="shared" si="48"/>
        <v>0</v>
      </c>
      <c r="CU67">
        <f t="shared" si="48"/>
        <v>0</v>
      </c>
      <c r="CV67">
        <f t="shared" si="48"/>
        <v>0</v>
      </c>
      <c r="CW67">
        <f t="shared" si="48"/>
        <v>0</v>
      </c>
      <c r="CX67">
        <f t="shared" si="48"/>
        <v>0</v>
      </c>
      <c r="CY67">
        <f t="shared" si="48"/>
        <v>0</v>
      </c>
      <c r="CZ67">
        <f t="shared" si="48"/>
        <v>0</v>
      </c>
      <c r="DA67">
        <f t="shared" si="48"/>
        <v>0</v>
      </c>
      <c r="DB67">
        <f t="shared" si="48"/>
        <v>0</v>
      </c>
      <c r="DC67">
        <f t="shared" si="48"/>
        <v>0</v>
      </c>
      <c r="DD67">
        <f t="shared" si="48"/>
        <v>0</v>
      </c>
      <c r="DE67">
        <f t="shared" si="48"/>
        <v>0</v>
      </c>
      <c r="DF67">
        <f t="shared" si="48"/>
        <v>0</v>
      </c>
      <c r="DG67">
        <f t="shared" si="48"/>
        <v>0</v>
      </c>
      <c r="DH67">
        <f t="shared" si="48"/>
        <v>0</v>
      </c>
      <c r="DI67">
        <f t="shared" si="48"/>
        <v>0</v>
      </c>
      <c r="DJ67">
        <f t="shared" si="48"/>
        <v>0</v>
      </c>
      <c r="DK67">
        <f t="shared" si="48"/>
        <v>0</v>
      </c>
      <c r="DL67">
        <f t="shared" si="48"/>
        <v>0</v>
      </c>
      <c r="DM67">
        <f t="shared" si="48"/>
        <v>0</v>
      </c>
      <c r="DN67">
        <f t="shared" si="48"/>
        <v>0</v>
      </c>
      <c r="DO67">
        <f t="shared" si="48"/>
        <v>0</v>
      </c>
      <c r="DP67">
        <f t="shared" si="48"/>
        <v>0</v>
      </c>
      <c r="DQ67">
        <f t="shared" si="48"/>
        <v>0</v>
      </c>
      <c r="DR67">
        <f t="shared" si="48"/>
        <v>0</v>
      </c>
      <c r="DS67">
        <f t="shared" si="48"/>
        <v>0</v>
      </c>
      <c r="DT67">
        <f t="shared" si="48"/>
        <v>0</v>
      </c>
      <c r="DU67">
        <f t="shared" si="48"/>
        <v>0</v>
      </c>
      <c r="DV67">
        <f t="shared" si="48"/>
        <v>0</v>
      </c>
      <c r="DW67">
        <f t="shared" si="48"/>
        <v>0</v>
      </c>
      <c r="DX67">
        <f t="shared" si="48"/>
        <v>0</v>
      </c>
      <c r="DY67">
        <f t="shared" si="48"/>
        <v>0</v>
      </c>
      <c r="DZ67">
        <f t="shared" si="48"/>
        <v>0</v>
      </c>
      <c r="EA67">
        <f t="shared" si="48"/>
        <v>0</v>
      </c>
      <c r="EB67">
        <f t="shared" si="48"/>
        <v>0</v>
      </c>
      <c r="EC67">
        <f t="shared" si="46"/>
        <v>0</v>
      </c>
      <c r="ED67">
        <f t="shared" si="46"/>
        <v>0</v>
      </c>
      <c r="EE67">
        <f t="shared" si="46"/>
        <v>0</v>
      </c>
      <c r="EF67">
        <f t="shared" si="46"/>
        <v>0</v>
      </c>
      <c r="EG67">
        <f t="shared" si="46"/>
        <v>0</v>
      </c>
      <c r="EH67">
        <f t="shared" si="46"/>
        <v>0</v>
      </c>
      <c r="EI67">
        <f t="shared" si="46"/>
        <v>0</v>
      </c>
      <c r="EJ67">
        <f t="shared" si="46"/>
        <v>0</v>
      </c>
      <c r="EK67">
        <f t="shared" si="46"/>
        <v>0</v>
      </c>
      <c r="EL67">
        <f t="shared" si="46"/>
        <v>0</v>
      </c>
      <c r="EM67">
        <f t="shared" si="46"/>
        <v>0</v>
      </c>
      <c r="EN67">
        <f t="shared" si="46"/>
        <v>0</v>
      </c>
      <c r="EO67">
        <f t="shared" si="46"/>
        <v>0</v>
      </c>
      <c r="EP67">
        <f t="shared" si="46"/>
        <v>0</v>
      </c>
      <c r="EQ67">
        <f t="shared" si="46"/>
        <v>0</v>
      </c>
      <c r="ER67">
        <f t="shared" si="46"/>
        <v>0</v>
      </c>
      <c r="ES67">
        <f t="shared" si="46"/>
        <v>0</v>
      </c>
      <c r="ET67">
        <f t="shared" si="46"/>
        <v>0</v>
      </c>
      <c r="EU67">
        <f t="shared" si="46"/>
        <v>0</v>
      </c>
      <c r="EV67">
        <f t="shared" si="46"/>
        <v>0</v>
      </c>
      <c r="EW67">
        <f t="shared" si="46"/>
        <v>0</v>
      </c>
      <c r="EX67">
        <f t="shared" si="46"/>
        <v>0</v>
      </c>
      <c r="EY67">
        <f t="shared" si="46"/>
        <v>0</v>
      </c>
      <c r="EZ67">
        <f t="shared" si="46"/>
        <v>0</v>
      </c>
      <c r="FA67">
        <f t="shared" si="46"/>
        <v>0</v>
      </c>
      <c r="FB67">
        <f t="shared" si="46"/>
        <v>0</v>
      </c>
      <c r="FC67">
        <f t="shared" si="46"/>
        <v>0</v>
      </c>
      <c r="FD67">
        <f t="shared" si="46"/>
        <v>0</v>
      </c>
      <c r="FE67">
        <f t="shared" si="46"/>
        <v>0</v>
      </c>
      <c r="FF67">
        <f t="shared" si="46"/>
        <v>0</v>
      </c>
      <c r="FG67">
        <f t="shared" si="46"/>
        <v>0</v>
      </c>
      <c r="FH67">
        <f t="shared" si="46"/>
        <v>0</v>
      </c>
      <c r="FI67">
        <f t="shared" si="46"/>
        <v>0</v>
      </c>
      <c r="FJ67">
        <f t="shared" si="46"/>
        <v>0</v>
      </c>
      <c r="FK67">
        <f t="shared" si="46"/>
        <v>0</v>
      </c>
      <c r="FL67">
        <f t="shared" si="46"/>
        <v>0</v>
      </c>
      <c r="FM67">
        <f t="shared" si="46"/>
        <v>0</v>
      </c>
      <c r="FN67">
        <f t="shared" si="46"/>
        <v>0</v>
      </c>
      <c r="FO67">
        <f t="shared" si="46"/>
        <v>0</v>
      </c>
      <c r="FP67">
        <f t="shared" si="46"/>
        <v>0</v>
      </c>
      <c r="FQ67">
        <f t="shared" si="46"/>
        <v>0</v>
      </c>
      <c r="FR67">
        <f t="shared" si="46"/>
        <v>0</v>
      </c>
      <c r="FS67">
        <f t="shared" si="46"/>
        <v>0</v>
      </c>
      <c r="FT67">
        <f t="shared" si="46"/>
        <v>0</v>
      </c>
      <c r="FU67">
        <f t="shared" si="46"/>
        <v>0</v>
      </c>
    </row>
    <row r="68" spans="1:177" x14ac:dyDescent="0.25">
      <c r="A68" t="str">
        <f t="shared" ref="A68:D68" si="52">A28</f>
        <v>CZ75-Auto</v>
      </c>
      <c r="B68" t="str">
        <f t="shared" si="52"/>
        <v>StatTrak Red Astor MW</v>
      </c>
      <c r="C68" t="str">
        <f t="shared" si="52"/>
        <v>Pistol</v>
      </c>
      <c r="D68" t="str">
        <f t="shared" si="52"/>
        <v>Chroma 3</v>
      </c>
      <c r="E68">
        <f t="shared" si="11"/>
        <v>1.3199999999999998</v>
      </c>
      <c r="F68">
        <f t="shared" si="50"/>
        <v>1.37</v>
      </c>
      <c r="G68">
        <f t="shared" si="50"/>
        <v>1.4100000000000001</v>
      </c>
      <c r="H68">
        <f t="shared" si="50"/>
        <v>1.3599999999999999</v>
      </c>
      <c r="I68">
        <f t="shared" si="50"/>
        <v>1.28</v>
      </c>
      <c r="J68">
        <f t="shared" si="50"/>
        <v>1.37</v>
      </c>
      <c r="K68">
        <f t="shared" si="50"/>
        <v>1.3199999999999998</v>
      </c>
      <c r="L68">
        <f t="shared" si="50"/>
        <v>1.3</v>
      </c>
      <c r="M68">
        <f t="shared" si="50"/>
        <v>1.21</v>
      </c>
      <c r="N68">
        <f t="shared" si="50"/>
        <v>1.3099999999999998</v>
      </c>
      <c r="O68">
        <f t="shared" si="50"/>
        <v>1.3</v>
      </c>
      <c r="P68">
        <f t="shared" si="50"/>
        <v>1.25</v>
      </c>
      <c r="Q68">
        <f t="shared" si="50"/>
        <v>1.23</v>
      </c>
      <c r="R68">
        <f t="shared" si="50"/>
        <v>1.23</v>
      </c>
      <c r="S68">
        <f t="shared" si="50"/>
        <v>1.23</v>
      </c>
      <c r="T68">
        <f t="shared" si="50"/>
        <v>1.2</v>
      </c>
      <c r="U68">
        <f t="shared" si="50"/>
        <v>1.21</v>
      </c>
      <c r="V68">
        <f t="shared" si="50"/>
        <v>1.1000000000000001</v>
      </c>
      <c r="W68">
        <f t="shared" si="50"/>
        <v>1.21</v>
      </c>
      <c r="X68">
        <f t="shared" si="50"/>
        <v>1.22</v>
      </c>
      <c r="Y68">
        <f t="shared" si="50"/>
        <v>1.1300000000000001</v>
      </c>
      <c r="Z68">
        <f t="shared" si="50"/>
        <v>0</v>
      </c>
      <c r="AA68">
        <f t="shared" si="50"/>
        <v>0</v>
      </c>
      <c r="AB68">
        <f t="shared" si="50"/>
        <v>0</v>
      </c>
      <c r="AC68">
        <f t="shared" si="50"/>
        <v>0</v>
      </c>
      <c r="AD68">
        <f t="shared" si="50"/>
        <v>0</v>
      </c>
      <c r="AE68">
        <f t="shared" si="50"/>
        <v>0</v>
      </c>
      <c r="AF68">
        <f t="shared" si="50"/>
        <v>0</v>
      </c>
      <c r="AG68">
        <f t="shared" si="50"/>
        <v>0</v>
      </c>
      <c r="AH68">
        <f t="shared" si="50"/>
        <v>0</v>
      </c>
      <c r="AI68">
        <f t="shared" si="50"/>
        <v>0</v>
      </c>
      <c r="AJ68">
        <f t="shared" si="50"/>
        <v>0</v>
      </c>
      <c r="AK68">
        <f t="shared" si="50"/>
        <v>0</v>
      </c>
      <c r="AL68">
        <f t="shared" si="50"/>
        <v>0</v>
      </c>
      <c r="AM68">
        <f t="shared" si="50"/>
        <v>0</v>
      </c>
      <c r="AN68">
        <f t="shared" si="50"/>
        <v>0</v>
      </c>
      <c r="AO68">
        <f t="shared" si="50"/>
        <v>0</v>
      </c>
      <c r="AP68">
        <f t="shared" si="50"/>
        <v>0</v>
      </c>
      <c r="AQ68">
        <f t="shared" si="50"/>
        <v>0</v>
      </c>
      <c r="AR68">
        <f t="shared" si="50"/>
        <v>0</v>
      </c>
      <c r="AS68">
        <f t="shared" si="50"/>
        <v>0</v>
      </c>
      <c r="AT68">
        <f t="shared" si="50"/>
        <v>0</v>
      </c>
      <c r="AU68">
        <f t="shared" si="50"/>
        <v>0</v>
      </c>
      <c r="AV68">
        <f t="shared" si="50"/>
        <v>0</v>
      </c>
      <c r="AW68">
        <f t="shared" si="50"/>
        <v>0</v>
      </c>
      <c r="AX68">
        <f t="shared" si="50"/>
        <v>0</v>
      </c>
      <c r="AY68">
        <f t="shared" si="50"/>
        <v>0</v>
      </c>
      <c r="AZ68">
        <f t="shared" si="50"/>
        <v>0</v>
      </c>
      <c r="BA68">
        <f t="shared" si="50"/>
        <v>0</v>
      </c>
      <c r="BB68">
        <f t="shared" si="50"/>
        <v>0</v>
      </c>
      <c r="BC68">
        <f t="shared" si="50"/>
        <v>0</v>
      </c>
      <c r="BD68">
        <f t="shared" si="50"/>
        <v>0</v>
      </c>
      <c r="BE68">
        <f t="shared" si="50"/>
        <v>0</v>
      </c>
      <c r="BF68">
        <f t="shared" si="50"/>
        <v>0</v>
      </c>
      <c r="BG68">
        <f t="shared" si="50"/>
        <v>0</v>
      </c>
      <c r="BH68">
        <f t="shared" si="50"/>
        <v>0</v>
      </c>
      <c r="BI68">
        <f t="shared" si="50"/>
        <v>0</v>
      </c>
      <c r="BJ68">
        <f t="shared" si="50"/>
        <v>0</v>
      </c>
      <c r="BK68">
        <f t="shared" si="50"/>
        <v>0</v>
      </c>
      <c r="BL68">
        <f t="shared" si="50"/>
        <v>0</v>
      </c>
      <c r="BM68">
        <f t="shared" si="50"/>
        <v>0</v>
      </c>
      <c r="BN68">
        <f t="shared" si="50"/>
        <v>0</v>
      </c>
      <c r="BO68">
        <f t="shared" si="50"/>
        <v>0</v>
      </c>
      <c r="BP68">
        <f t="shared" si="50"/>
        <v>0</v>
      </c>
      <c r="BQ68">
        <f t="shared" si="50"/>
        <v>0</v>
      </c>
      <c r="BR68">
        <f t="shared" si="48"/>
        <v>0</v>
      </c>
      <c r="BS68">
        <f t="shared" si="48"/>
        <v>0</v>
      </c>
      <c r="BT68">
        <f t="shared" si="48"/>
        <v>0</v>
      </c>
      <c r="BU68">
        <f t="shared" si="48"/>
        <v>0</v>
      </c>
      <c r="BV68">
        <f t="shared" si="48"/>
        <v>0</v>
      </c>
      <c r="BW68">
        <f t="shared" si="48"/>
        <v>0</v>
      </c>
      <c r="BX68">
        <f t="shared" si="48"/>
        <v>0</v>
      </c>
      <c r="BY68">
        <f t="shared" si="48"/>
        <v>0</v>
      </c>
      <c r="BZ68">
        <f t="shared" si="48"/>
        <v>0</v>
      </c>
      <c r="CA68">
        <f t="shared" si="48"/>
        <v>0</v>
      </c>
      <c r="CB68">
        <f t="shared" si="48"/>
        <v>0</v>
      </c>
      <c r="CC68">
        <f t="shared" si="48"/>
        <v>0</v>
      </c>
      <c r="CD68">
        <f t="shared" si="48"/>
        <v>0</v>
      </c>
      <c r="CE68">
        <f t="shared" si="48"/>
        <v>0</v>
      </c>
      <c r="CF68">
        <f t="shared" si="48"/>
        <v>0</v>
      </c>
      <c r="CG68">
        <f t="shared" si="48"/>
        <v>0</v>
      </c>
      <c r="CH68">
        <f t="shared" si="48"/>
        <v>0</v>
      </c>
      <c r="CI68">
        <f t="shared" si="48"/>
        <v>0</v>
      </c>
      <c r="CJ68">
        <f t="shared" si="48"/>
        <v>0</v>
      </c>
      <c r="CK68">
        <f t="shared" si="48"/>
        <v>0</v>
      </c>
      <c r="CL68">
        <f t="shared" si="48"/>
        <v>0</v>
      </c>
      <c r="CM68">
        <f t="shared" si="48"/>
        <v>0</v>
      </c>
      <c r="CN68">
        <f t="shared" si="48"/>
        <v>0</v>
      </c>
      <c r="CO68">
        <f t="shared" si="48"/>
        <v>0</v>
      </c>
      <c r="CP68">
        <f t="shared" si="48"/>
        <v>0</v>
      </c>
      <c r="CQ68">
        <f t="shared" si="48"/>
        <v>0</v>
      </c>
      <c r="CR68">
        <f t="shared" si="48"/>
        <v>0</v>
      </c>
      <c r="CS68">
        <f t="shared" si="48"/>
        <v>0</v>
      </c>
      <c r="CT68">
        <f t="shared" si="48"/>
        <v>0</v>
      </c>
      <c r="CU68">
        <f t="shared" si="48"/>
        <v>0</v>
      </c>
      <c r="CV68">
        <f t="shared" si="48"/>
        <v>0</v>
      </c>
      <c r="CW68">
        <f t="shared" si="48"/>
        <v>0</v>
      </c>
      <c r="CX68">
        <f t="shared" si="48"/>
        <v>0</v>
      </c>
      <c r="CY68">
        <f t="shared" si="48"/>
        <v>0</v>
      </c>
      <c r="CZ68">
        <f t="shared" si="48"/>
        <v>0</v>
      </c>
      <c r="DA68">
        <f t="shared" si="48"/>
        <v>0</v>
      </c>
      <c r="DB68">
        <f t="shared" si="48"/>
        <v>0</v>
      </c>
      <c r="DC68">
        <f t="shared" si="48"/>
        <v>0</v>
      </c>
      <c r="DD68">
        <f t="shared" si="48"/>
        <v>0</v>
      </c>
      <c r="DE68">
        <f t="shared" si="48"/>
        <v>0</v>
      </c>
      <c r="DF68">
        <f t="shared" si="48"/>
        <v>0</v>
      </c>
      <c r="DG68">
        <f t="shared" si="48"/>
        <v>0</v>
      </c>
      <c r="DH68">
        <f t="shared" si="48"/>
        <v>0</v>
      </c>
      <c r="DI68">
        <f t="shared" si="48"/>
        <v>0</v>
      </c>
      <c r="DJ68">
        <f t="shared" si="48"/>
        <v>0</v>
      </c>
      <c r="DK68">
        <f t="shared" si="48"/>
        <v>0</v>
      </c>
      <c r="DL68">
        <f t="shared" si="48"/>
        <v>0</v>
      </c>
      <c r="DM68">
        <f t="shared" si="48"/>
        <v>0</v>
      </c>
      <c r="DN68">
        <f t="shared" si="48"/>
        <v>0</v>
      </c>
      <c r="DO68">
        <f t="shared" si="48"/>
        <v>0</v>
      </c>
      <c r="DP68">
        <f t="shared" si="48"/>
        <v>0</v>
      </c>
      <c r="DQ68">
        <f t="shared" si="48"/>
        <v>0</v>
      </c>
      <c r="DR68">
        <f t="shared" si="48"/>
        <v>0</v>
      </c>
      <c r="DS68">
        <f t="shared" si="48"/>
        <v>0</v>
      </c>
      <c r="DT68">
        <f t="shared" si="48"/>
        <v>0</v>
      </c>
      <c r="DU68">
        <f t="shared" si="48"/>
        <v>0</v>
      </c>
      <c r="DV68">
        <f t="shared" si="48"/>
        <v>0</v>
      </c>
      <c r="DW68">
        <f t="shared" si="48"/>
        <v>0</v>
      </c>
      <c r="DX68">
        <f t="shared" si="48"/>
        <v>0</v>
      </c>
      <c r="DY68">
        <f t="shared" si="48"/>
        <v>0</v>
      </c>
      <c r="DZ68">
        <f t="shared" si="48"/>
        <v>0</v>
      </c>
      <c r="EA68">
        <f t="shared" si="48"/>
        <v>0</v>
      </c>
      <c r="EB68">
        <f t="shared" si="48"/>
        <v>0</v>
      </c>
      <c r="EC68">
        <f t="shared" si="46"/>
        <v>0</v>
      </c>
      <c r="ED68">
        <f t="shared" si="46"/>
        <v>0</v>
      </c>
      <c r="EE68">
        <f t="shared" si="46"/>
        <v>0</v>
      </c>
      <c r="EF68">
        <f t="shared" si="46"/>
        <v>0</v>
      </c>
      <c r="EG68">
        <f t="shared" si="46"/>
        <v>0</v>
      </c>
      <c r="EH68">
        <f t="shared" si="46"/>
        <v>0</v>
      </c>
      <c r="EI68">
        <f t="shared" si="46"/>
        <v>0</v>
      </c>
      <c r="EJ68">
        <f t="shared" si="46"/>
        <v>0</v>
      </c>
      <c r="EK68">
        <f t="shared" si="46"/>
        <v>0</v>
      </c>
      <c r="EL68">
        <f t="shared" si="46"/>
        <v>0</v>
      </c>
      <c r="EM68">
        <f t="shared" si="46"/>
        <v>0</v>
      </c>
      <c r="EN68">
        <f t="shared" si="46"/>
        <v>0</v>
      </c>
      <c r="EO68">
        <f t="shared" si="46"/>
        <v>0</v>
      </c>
      <c r="EP68">
        <f t="shared" si="46"/>
        <v>0</v>
      </c>
      <c r="EQ68">
        <f t="shared" si="46"/>
        <v>0</v>
      </c>
      <c r="ER68">
        <f t="shared" si="46"/>
        <v>0</v>
      </c>
      <c r="ES68">
        <f t="shared" si="46"/>
        <v>0</v>
      </c>
      <c r="ET68">
        <f t="shared" si="46"/>
        <v>0</v>
      </c>
      <c r="EU68">
        <f t="shared" si="46"/>
        <v>0</v>
      </c>
      <c r="EV68">
        <f t="shared" si="46"/>
        <v>0</v>
      </c>
      <c r="EW68">
        <f t="shared" si="46"/>
        <v>0</v>
      </c>
      <c r="EX68">
        <f t="shared" si="46"/>
        <v>0</v>
      </c>
      <c r="EY68">
        <f t="shared" si="46"/>
        <v>0</v>
      </c>
      <c r="EZ68">
        <f t="shared" si="46"/>
        <v>0</v>
      </c>
      <c r="FA68">
        <f t="shared" si="46"/>
        <v>0</v>
      </c>
      <c r="FB68">
        <f t="shared" si="46"/>
        <v>0</v>
      </c>
      <c r="FC68">
        <f t="shared" si="46"/>
        <v>0</v>
      </c>
      <c r="FD68">
        <f t="shared" si="46"/>
        <v>0</v>
      </c>
      <c r="FE68">
        <f t="shared" si="46"/>
        <v>0</v>
      </c>
      <c r="FF68">
        <f t="shared" si="46"/>
        <v>0</v>
      </c>
      <c r="FG68">
        <f t="shared" si="46"/>
        <v>0</v>
      </c>
      <c r="FH68">
        <f t="shared" si="46"/>
        <v>0</v>
      </c>
      <c r="FI68">
        <f t="shared" si="46"/>
        <v>0</v>
      </c>
      <c r="FJ68">
        <f t="shared" si="46"/>
        <v>0</v>
      </c>
      <c r="FK68">
        <f t="shared" si="46"/>
        <v>0</v>
      </c>
      <c r="FL68">
        <f t="shared" si="46"/>
        <v>0</v>
      </c>
      <c r="FM68">
        <f t="shared" si="46"/>
        <v>0</v>
      </c>
      <c r="FN68">
        <f t="shared" si="46"/>
        <v>0</v>
      </c>
      <c r="FO68">
        <f t="shared" si="46"/>
        <v>0</v>
      </c>
      <c r="FP68">
        <f t="shared" si="46"/>
        <v>0</v>
      </c>
      <c r="FQ68">
        <f t="shared" si="46"/>
        <v>0</v>
      </c>
      <c r="FR68">
        <f t="shared" si="46"/>
        <v>0</v>
      </c>
      <c r="FS68">
        <f t="shared" si="46"/>
        <v>0</v>
      </c>
      <c r="FT68">
        <f t="shared" si="46"/>
        <v>0</v>
      </c>
      <c r="FU68">
        <f t="shared" si="46"/>
        <v>0</v>
      </c>
    </row>
    <row r="69" spans="1:177" x14ac:dyDescent="0.25">
      <c r="A69" t="str">
        <f t="shared" ref="A69:D69" si="53">A29</f>
        <v>P2000</v>
      </c>
      <c r="B69" t="str">
        <f t="shared" si="53"/>
        <v>StatTrak Imperial Dragon FT</v>
      </c>
      <c r="C69" t="str">
        <f t="shared" si="53"/>
        <v>Pistol</v>
      </c>
      <c r="D69" t="str">
        <f t="shared" si="53"/>
        <v>Gamma</v>
      </c>
      <c r="E69">
        <f t="shared" si="11"/>
        <v>2.9499999999999997</v>
      </c>
      <c r="F69">
        <f t="shared" si="50"/>
        <v>2.75</v>
      </c>
      <c r="G69">
        <f t="shared" si="50"/>
        <v>2.6799999999999997</v>
      </c>
      <c r="H69">
        <f t="shared" si="50"/>
        <v>2.9000000000000004</v>
      </c>
      <c r="I69">
        <f t="shared" si="50"/>
        <v>2.84</v>
      </c>
      <c r="J69">
        <f t="shared" si="50"/>
        <v>2.9400000000000004</v>
      </c>
      <c r="K69">
        <f t="shared" si="50"/>
        <v>2.8899999999999997</v>
      </c>
      <c r="L69">
        <f t="shared" si="50"/>
        <v>2.9300000000000006</v>
      </c>
      <c r="M69">
        <f t="shared" si="50"/>
        <v>2.8400000000000003</v>
      </c>
      <c r="N69">
        <f t="shared" si="50"/>
        <v>2.84</v>
      </c>
      <c r="O69">
        <f t="shared" si="50"/>
        <v>2.75</v>
      </c>
      <c r="P69">
        <f t="shared" si="50"/>
        <v>2.79</v>
      </c>
      <c r="Q69">
        <f t="shared" si="50"/>
        <v>2.91</v>
      </c>
      <c r="R69">
        <f t="shared" si="50"/>
        <v>2.5700000000000003</v>
      </c>
      <c r="S69">
        <f t="shared" si="50"/>
        <v>2.8400000000000003</v>
      </c>
      <c r="T69">
        <f t="shared" si="50"/>
        <v>2.87</v>
      </c>
      <c r="U69">
        <f t="shared" si="50"/>
        <v>2.85</v>
      </c>
      <c r="V69">
        <f t="shared" si="50"/>
        <v>2.84</v>
      </c>
      <c r="W69">
        <f t="shared" si="50"/>
        <v>2.66</v>
      </c>
      <c r="X69">
        <f t="shared" si="50"/>
        <v>2.73</v>
      </c>
      <c r="Y69">
        <f t="shared" si="50"/>
        <v>2.84</v>
      </c>
      <c r="Z69">
        <f t="shared" si="50"/>
        <v>0</v>
      </c>
      <c r="AA69">
        <f t="shared" si="50"/>
        <v>0</v>
      </c>
      <c r="AB69">
        <f t="shared" si="50"/>
        <v>0</v>
      </c>
      <c r="AC69">
        <f t="shared" si="50"/>
        <v>0</v>
      </c>
      <c r="AD69">
        <f t="shared" si="50"/>
        <v>0</v>
      </c>
      <c r="AE69">
        <f t="shared" si="50"/>
        <v>0</v>
      </c>
      <c r="AF69">
        <f t="shared" si="50"/>
        <v>0</v>
      </c>
      <c r="AG69">
        <f t="shared" si="50"/>
        <v>0</v>
      </c>
      <c r="AH69">
        <f t="shared" si="50"/>
        <v>0</v>
      </c>
      <c r="AI69">
        <f t="shared" si="50"/>
        <v>0</v>
      </c>
      <c r="AJ69">
        <f t="shared" si="50"/>
        <v>0</v>
      </c>
      <c r="AK69">
        <f t="shared" si="50"/>
        <v>0</v>
      </c>
      <c r="AL69">
        <f t="shared" si="50"/>
        <v>0</v>
      </c>
      <c r="AM69">
        <f t="shared" si="50"/>
        <v>0</v>
      </c>
      <c r="AN69">
        <f t="shared" si="50"/>
        <v>0</v>
      </c>
      <c r="AO69">
        <f t="shared" si="50"/>
        <v>0</v>
      </c>
      <c r="AP69">
        <f t="shared" si="50"/>
        <v>0</v>
      </c>
      <c r="AQ69">
        <f t="shared" si="50"/>
        <v>0</v>
      </c>
      <c r="AR69">
        <f t="shared" si="50"/>
        <v>0</v>
      </c>
      <c r="AS69">
        <f t="shared" si="50"/>
        <v>0</v>
      </c>
      <c r="AT69">
        <f t="shared" si="50"/>
        <v>0</v>
      </c>
      <c r="AU69">
        <f t="shared" si="50"/>
        <v>0</v>
      </c>
      <c r="AV69">
        <f t="shared" si="50"/>
        <v>0</v>
      </c>
      <c r="AW69">
        <f t="shared" si="50"/>
        <v>0</v>
      </c>
      <c r="AX69">
        <f t="shared" si="50"/>
        <v>0</v>
      </c>
      <c r="AY69">
        <f t="shared" si="50"/>
        <v>0</v>
      </c>
      <c r="AZ69">
        <f t="shared" si="50"/>
        <v>0</v>
      </c>
      <c r="BA69">
        <f t="shared" si="50"/>
        <v>0</v>
      </c>
      <c r="BB69">
        <f t="shared" si="50"/>
        <v>0</v>
      </c>
      <c r="BC69">
        <f t="shared" si="50"/>
        <v>0</v>
      </c>
      <c r="BD69">
        <f t="shared" si="50"/>
        <v>0</v>
      </c>
      <c r="BE69">
        <f t="shared" si="50"/>
        <v>0</v>
      </c>
      <c r="BF69">
        <f t="shared" si="50"/>
        <v>0</v>
      </c>
      <c r="BG69">
        <f t="shared" si="50"/>
        <v>0</v>
      </c>
      <c r="BH69">
        <f t="shared" si="50"/>
        <v>0</v>
      </c>
      <c r="BI69">
        <f t="shared" si="50"/>
        <v>0</v>
      </c>
      <c r="BJ69">
        <f t="shared" si="50"/>
        <v>0</v>
      </c>
      <c r="BK69">
        <f t="shared" si="50"/>
        <v>0</v>
      </c>
      <c r="BL69">
        <f t="shared" si="50"/>
        <v>0</v>
      </c>
      <c r="BM69">
        <f t="shared" si="50"/>
        <v>0</v>
      </c>
      <c r="BN69">
        <f t="shared" si="50"/>
        <v>0</v>
      </c>
      <c r="BO69">
        <f t="shared" si="50"/>
        <v>0</v>
      </c>
      <c r="BP69">
        <f t="shared" si="50"/>
        <v>0</v>
      </c>
      <c r="BQ69">
        <f t="shared" ref="BQ69:EB72" si="54">BQ29-ROUNDUP(BQ29*0.3,2)</f>
        <v>0</v>
      </c>
      <c r="BR69">
        <f t="shared" si="54"/>
        <v>0</v>
      </c>
      <c r="BS69">
        <f t="shared" si="54"/>
        <v>0</v>
      </c>
      <c r="BT69">
        <f t="shared" si="54"/>
        <v>0</v>
      </c>
      <c r="BU69">
        <f t="shared" si="54"/>
        <v>0</v>
      </c>
      <c r="BV69">
        <f t="shared" si="54"/>
        <v>0</v>
      </c>
      <c r="BW69">
        <f t="shared" si="54"/>
        <v>0</v>
      </c>
      <c r="BX69">
        <f t="shared" si="54"/>
        <v>0</v>
      </c>
      <c r="BY69">
        <f t="shared" si="54"/>
        <v>0</v>
      </c>
      <c r="BZ69">
        <f t="shared" si="54"/>
        <v>0</v>
      </c>
      <c r="CA69">
        <f t="shared" si="54"/>
        <v>0</v>
      </c>
      <c r="CB69">
        <f t="shared" si="54"/>
        <v>0</v>
      </c>
      <c r="CC69">
        <f t="shared" si="54"/>
        <v>0</v>
      </c>
      <c r="CD69">
        <f t="shared" si="54"/>
        <v>0</v>
      </c>
      <c r="CE69">
        <f t="shared" si="54"/>
        <v>0</v>
      </c>
      <c r="CF69">
        <f t="shared" si="54"/>
        <v>0</v>
      </c>
      <c r="CG69">
        <f t="shared" si="54"/>
        <v>0</v>
      </c>
      <c r="CH69">
        <f t="shared" si="54"/>
        <v>0</v>
      </c>
      <c r="CI69">
        <f t="shared" si="54"/>
        <v>0</v>
      </c>
      <c r="CJ69">
        <f t="shared" si="54"/>
        <v>0</v>
      </c>
      <c r="CK69">
        <f t="shared" si="54"/>
        <v>0</v>
      </c>
      <c r="CL69">
        <f t="shared" si="54"/>
        <v>0</v>
      </c>
      <c r="CM69">
        <f t="shared" si="54"/>
        <v>0</v>
      </c>
      <c r="CN69">
        <f t="shared" si="54"/>
        <v>0</v>
      </c>
      <c r="CO69">
        <f t="shared" si="54"/>
        <v>0</v>
      </c>
      <c r="CP69">
        <f t="shared" si="54"/>
        <v>0</v>
      </c>
      <c r="CQ69">
        <f t="shared" si="54"/>
        <v>0</v>
      </c>
      <c r="CR69">
        <f t="shared" si="54"/>
        <v>0</v>
      </c>
      <c r="CS69">
        <f t="shared" si="54"/>
        <v>0</v>
      </c>
      <c r="CT69">
        <f t="shared" si="54"/>
        <v>0</v>
      </c>
      <c r="CU69">
        <f t="shared" si="54"/>
        <v>0</v>
      </c>
      <c r="CV69">
        <f t="shared" si="54"/>
        <v>0</v>
      </c>
      <c r="CW69">
        <f t="shared" si="54"/>
        <v>0</v>
      </c>
      <c r="CX69">
        <f t="shared" si="54"/>
        <v>0</v>
      </c>
      <c r="CY69">
        <f t="shared" si="54"/>
        <v>0</v>
      </c>
      <c r="CZ69">
        <f t="shared" si="54"/>
        <v>0</v>
      </c>
      <c r="DA69">
        <f t="shared" si="54"/>
        <v>0</v>
      </c>
      <c r="DB69">
        <f t="shared" si="54"/>
        <v>0</v>
      </c>
      <c r="DC69">
        <f t="shared" si="54"/>
        <v>0</v>
      </c>
      <c r="DD69">
        <f t="shared" si="54"/>
        <v>0</v>
      </c>
      <c r="DE69">
        <f t="shared" si="54"/>
        <v>0</v>
      </c>
      <c r="DF69">
        <f t="shared" si="54"/>
        <v>0</v>
      </c>
      <c r="DG69">
        <f t="shared" si="54"/>
        <v>0</v>
      </c>
      <c r="DH69">
        <f t="shared" si="54"/>
        <v>0</v>
      </c>
      <c r="DI69">
        <f t="shared" si="54"/>
        <v>0</v>
      </c>
      <c r="DJ69">
        <f t="shared" si="54"/>
        <v>0</v>
      </c>
      <c r="DK69">
        <f t="shared" si="54"/>
        <v>0</v>
      </c>
      <c r="DL69">
        <f t="shared" si="54"/>
        <v>0</v>
      </c>
      <c r="DM69">
        <f t="shared" si="54"/>
        <v>0</v>
      </c>
      <c r="DN69">
        <f t="shared" si="54"/>
        <v>0</v>
      </c>
      <c r="DO69">
        <f t="shared" si="54"/>
        <v>0</v>
      </c>
      <c r="DP69">
        <f t="shared" si="54"/>
        <v>0</v>
      </c>
      <c r="DQ69">
        <f t="shared" si="54"/>
        <v>0</v>
      </c>
      <c r="DR69">
        <f t="shared" si="54"/>
        <v>0</v>
      </c>
      <c r="DS69">
        <f t="shared" si="54"/>
        <v>0</v>
      </c>
      <c r="DT69">
        <f t="shared" si="54"/>
        <v>0</v>
      </c>
      <c r="DU69">
        <f t="shared" si="54"/>
        <v>0</v>
      </c>
      <c r="DV69">
        <f t="shared" si="54"/>
        <v>0</v>
      </c>
      <c r="DW69">
        <f t="shared" si="54"/>
        <v>0</v>
      </c>
      <c r="DX69">
        <f t="shared" si="54"/>
        <v>0</v>
      </c>
      <c r="DY69">
        <f t="shared" si="54"/>
        <v>0</v>
      </c>
      <c r="DZ69">
        <f t="shared" si="54"/>
        <v>0</v>
      </c>
      <c r="EA69">
        <f t="shared" si="54"/>
        <v>0</v>
      </c>
      <c r="EB69">
        <f t="shared" si="54"/>
        <v>0</v>
      </c>
      <c r="EC69">
        <f t="shared" si="46"/>
        <v>0</v>
      </c>
      <c r="ED69">
        <f t="shared" si="46"/>
        <v>0</v>
      </c>
      <c r="EE69">
        <f t="shared" si="46"/>
        <v>0</v>
      </c>
      <c r="EF69">
        <f t="shared" si="46"/>
        <v>0</v>
      </c>
      <c r="EG69">
        <f t="shared" si="46"/>
        <v>0</v>
      </c>
      <c r="EH69">
        <f t="shared" si="46"/>
        <v>0</v>
      </c>
      <c r="EI69">
        <f t="shared" si="46"/>
        <v>0</v>
      </c>
      <c r="EJ69">
        <f t="shared" si="46"/>
        <v>0</v>
      </c>
      <c r="EK69">
        <f t="shared" si="46"/>
        <v>0</v>
      </c>
      <c r="EL69">
        <f t="shared" si="46"/>
        <v>0</v>
      </c>
      <c r="EM69">
        <f t="shared" si="46"/>
        <v>0</v>
      </c>
      <c r="EN69">
        <f t="shared" si="46"/>
        <v>0</v>
      </c>
      <c r="EO69">
        <f t="shared" si="46"/>
        <v>0</v>
      </c>
      <c r="EP69">
        <f t="shared" si="46"/>
        <v>0</v>
      </c>
      <c r="EQ69">
        <f t="shared" si="46"/>
        <v>0</v>
      </c>
      <c r="ER69">
        <f t="shared" si="46"/>
        <v>0</v>
      </c>
      <c r="ES69">
        <f t="shared" si="46"/>
        <v>0</v>
      </c>
      <c r="ET69">
        <f t="shared" si="46"/>
        <v>0</v>
      </c>
      <c r="EU69">
        <f t="shared" si="46"/>
        <v>0</v>
      </c>
      <c r="EV69">
        <f t="shared" si="46"/>
        <v>0</v>
      </c>
      <c r="EW69">
        <f t="shared" si="46"/>
        <v>0</v>
      </c>
      <c r="EX69">
        <f t="shared" si="46"/>
        <v>0</v>
      </c>
      <c r="EY69">
        <f t="shared" si="46"/>
        <v>0</v>
      </c>
      <c r="EZ69">
        <f t="shared" si="46"/>
        <v>0</v>
      </c>
      <c r="FA69">
        <f t="shared" si="46"/>
        <v>0</v>
      </c>
      <c r="FB69">
        <f t="shared" si="46"/>
        <v>0</v>
      </c>
      <c r="FC69">
        <f t="shared" si="46"/>
        <v>0</v>
      </c>
      <c r="FD69">
        <f t="shared" si="46"/>
        <v>0</v>
      </c>
      <c r="FE69">
        <f t="shared" si="46"/>
        <v>0</v>
      </c>
      <c r="FF69">
        <f t="shared" si="46"/>
        <v>0</v>
      </c>
      <c r="FG69">
        <f t="shared" ref="FG69:FU69" si="55">FG29-ROUNDUP(FG29*0.3,2)</f>
        <v>0</v>
      </c>
      <c r="FH69">
        <f t="shared" si="55"/>
        <v>0</v>
      </c>
      <c r="FI69">
        <f t="shared" si="55"/>
        <v>0</v>
      </c>
      <c r="FJ69">
        <f t="shared" si="55"/>
        <v>0</v>
      </c>
      <c r="FK69">
        <f t="shared" si="55"/>
        <v>0</v>
      </c>
      <c r="FL69">
        <f t="shared" si="55"/>
        <v>0</v>
      </c>
      <c r="FM69">
        <f t="shared" si="55"/>
        <v>0</v>
      </c>
      <c r="FN69">
        <f t="shared" si="55"/>
        <v>0</v>
      </c>
      <c r="FO69">
        <f t="shared" si="55"/>
        <v>0</v>
      </c>
      <c r="FP69">
        <f t="shared" si="55"/>
        <v>0</v>
      </c>
      <c r="FQ69">
        <f t="shared" si="55"/>
        <v>0</v>
      </c>
      <c r="FR69">
        <f t="shared" si="55"/>
        <v>0</v>
      </c>
      <c r="FS69">
        <f t="shared" si="55"/>
        <v>0</v>
      </c>
      <c r="FT69">
        <f t="shared" si="55"/>
        <v>0</v>
      </c>
      <c r="FU69">
        <f t="shared" si="55"/>
        <v>0</v>
      </c>
    </row>
    <row r="70" spans="1:177" x14ac:dyDescent="0.25">
      <c r="A70" t="str">
        <f t="shared" ref="A70:D70" si="56">A30</f>
        <v>Desert Eagle</v>
      </c>
      <c r="B70" t="str">
        <f t="shared" si="56"/>
        <v>Kumicho Dragon MW</v>
      </c>
      <c r="C70" t="str">
        <f t="shared" si="56"/>
        <v>Pistol</v>
      </c>
      <c r="D70" t="str">
        <f t="shared" si="56"/>
        <v>Wildfire</v>
      </c>
      <c r="E70">
        <f t="shared" si="11"/>
        <v>11.200000000000003</v>
      </c>
      <c r="F70">
        <f t="shared" ref="F70:BQ73" si="57">F30-ROUNDUP(F30*0.3,2)</f>
        <v>11.220000000000002</v>
      </c>
      <c r="G70">
        <f t="shared" si="57"/>
        <v>11.55</v>
      </c>
      <c r="H70">
        <f t="shared" si="57"/>
        <v>11.45</v>
      </c>
      <c r="I70">
        <f t="shared" si="57"/>
        <v>11</v>
      </c>
      <c r="J70">
        <f t="shared" si="57"/>
        <v>10.82</v>
      </c>
      <c r="K70">
        <f t="shared" si="57"/>
        <v>11.110000000000001</v>
      </c>
      <c r="L70">
        <f t="shared" si="57"/>
        <v>11.72</v>
      </c>
      <c r="M70">
        <f t="shared" si="57"/>
        <v>11.219999999999999</v>
      </c>
      <c r="N70">
        <f t="shared" si="57"/>
        <v>11.24</v>
      </c>
      <c r="O70">
        <f t="shared" si="57"/>
        <v>10.199999999999999</v>
      </c>
      <c r="P70">
        <f t="shared" si="57"/>
        <v>10.620000000000001</v>
      </c>
      <c r="Q70">
        <f t="shared" si="57"/>
        <v>10.84</v>
      </c>
      <c r="R70">
        <f t="shared" si="57"/>
        <v>10.39</v>
      </c>
      <c r="S70">
        <f t="shared" si="57"/>
        <v>10.969999999999999</v>
      </c>
      <c r="T70">
        <f t="shared" si="57"/>
        <v>10.990000000000002</v>
      </c>
      <c r="U70">
        <f t="shared" si="57"/>
        <v>11.149999999999999</v>
      </c>
      <c r="V70">
        <f t="shared" si="57"/>
        <v>10.75</v>
      </c>
      <c r="W70">
        <f t="shared" si="57"/>
        <v>10.64</v>
      </c>
      <c r="X70">
        <f t="shared" si="57"/>
        <v>11.13</v>
      </c>
      <c r="Y70">
        <f t="shared" si="57"/>
        <v>11.02</v>
      </c>
      <c r="Z70">
        <f t="shared" si="57"/>
        <v>0</v>
      </c>
      <c r="AA70">
        <f t="shared" si="57"/>
        <v>0</v>
      </c>
      <c r="AB70">
        <f t="shared" si="57"/>
        <v>0</v>
      </c>
      <c r="AC70">
        <f t="shared" si="57"/>
        <v>0</v>
      </c>
      <c r="AD70">
        <f t="shared" si="57"/>
        <v>0</v>
      </c>
      <c r="AE70">
        <f t="shared" si="57"/>
        <v>0</v>
      </c>
      <c r="AF70">
        <f t="shared" si="57"/>
        <v>0</v>
      </c>
      <c r="AG70">
        <f t="shared" si="57"/>
        <v>0</v>
      </c>
      <c r="AH70">
        <f t="shared" si="57"/>
        <v>0</v>
      </c>
      <c r="AI70">
        <f t="shared" si="57"/>
        <v>0</v>
      </c>
      <c r="AJ70">
        <f t="shared" si="57"/>
        <v>0</v>
      </c>
      <c r="AK70">
        <f t="shared" si="57"/>
        <v>0</v>
      </c>
      <c r="AL70">
        <f t="shared" si="57"/>
        <v>0</v>
      </c>
      <c r="AM70">
        <f t="shared" si="57"/>
        <v>0</v>
      </c>
      <c r="AN70">
        <f t="shared" si="57"/>
        <v>0</v>
      </c>
      <c r="AO70">
        <f t="shared" si="57"/>
        <v>0</v>
      </c>
      <c r="AP70">
        <f t="shared" si="57"/>
        <v>0</v>
      </c>
      <c r="AQ70">
        <f t="shared" si="57"/>
        <v>0</v>
      </c>
      <c r="AR70">
        <f t="shared" si="57"/>
        <v>0</v>
      </c>
      <c r="AS70">
        <f t="shared" si="57"/>
        <v>0</v>
      </c>
      <c r="AT70">
        <f t="shared" si="57"/>
        <v>0</v>
      </c>
      <c r="AU70">
        <f t="shared" si="57"/>
        <v>0</v>
      </c>
      <c r="AV70">
        <f t="shared" si="57"/>
        <v>0</v>
      </c>
      <c r="AW70">
        <f t="shared" si="57"/>
        <v>0</v>
      </c>
      <c r="AX70">
        <f t="shared" si="57"/>
        <v>0</v>
      </c>
      <c r="AY70">
        <f t="shared" si="57"/>
        <v>0</v>
      </c>
      <c r="AZ70">
        <f t="shared" si="57"/>
        <v>0</v>
      </c>
      <c r="BA70">
        <f t="shared" si="57"/>
        <v>0</v>
      </c>
      <c r="BB70">
        <f t="shared" si="57"/>
        <v>0</v>
      </c>
      <c r="BC70">
        <f t="shared" si="57"/>
        <v>0</v>
      </c>
      <c r="BD70">
        <f t="shared" si="57"/>
        <v>0</v>
      </c>
      <c r="BE70">
        <f t="shared" si="57"/>
        <v>0</v>
      </c>
      <c r="BF70">
        <f t="shared" si="57"/>
        <v>0</v>
      </c>
      <c r="BG70">
        <f t="shared" si="57"/>
        <v>0</v>
      </c>
      <c r="BH70">
        <f t="shared" si="57"/>
        <v>0</v>
      </c>
      <c r="BI70">
        <f t="shared" si="57"/>
        <v>0</v>
      </c>
      <c r="BJ70">
        <f t="shared" si="57"/>
        <v>0</v>
      </c>
      <c r="BK70">
        <f t="shared" si="57"/>
        <v>0</v>
      </c>
      <c r="BL70">
        <f t="shared" si="57"/>
        <v>0</v>
      </c>
      <c r="BM70">
        <f t="shared" si="57"/>
        <v>0</v>
      </c>
      <c r="BN70">
        <f t="shared" si="57"/>
        <v>0</v>
      </c>
      <c r="BO70">
        <f t="shared" si="57"/>
        <v>0</v>
      </c>
      <c r="BP70">
        <f t="shared" si="57"/>
        <v>0</v>
      </c>
      <c r="BQ70">
        <f t="shared" si="57"/>
        <v>0</v>
      </c>
      <c r="BR70">
        <f t="shared" si="54"/>
        <v>0</v>
      </c>
      <c r="BS70">
        <f t="shared" si="54"/>
        <v>0</v>
      </c>
      <c r="BT70">
        <f t="shared" si="54"/>
        <v>0</v>
      </c>
      <c r="BU70">
        <f t="shared" si="54"/>
        <v>0</v>
      </c>
      <c r="BV70">
        <f t="shared" si="54"/>
        <v>0</v>
      </c>
      <c r="BW70">
        <f t="shared" si="54"/>
        <v>0</v>
      </c>
      <c r="BX70">
        <f t="shared" si="54"/>
        <v>0</v>
      </c>
      <c r="BY70">
        <f t="shared" si="54"/>
        <v>0</v>
      </c>
      <c r="BZ70">
        <f t="shared" si="54"/>
        <v>0</v>
      </c>
      <c r="CA70">
        <f t="shared" si="54"/>
        <v>0</v>
      </c>
      <c r="CB70">
        <f t="shared" si="54"/>
        <v>0</v>
      </c>
      <c r="CC70">
        <f t="shared" si="54"/>
        <v>0</v>
      </c>
      <c r="CD70">
        <f t="shared" si="54"/>
        <v>0</v>
      </c>
      <c r="CE70">
        <f t="shared" si="54"/>
        <v>0</v>
      </c>
      <c r="CF70">
        <f t="shared" si="54"/>
        <v>0</v>
      </c>
      <c r="CG70">
        <f t="shared" si="54"/>
        <v>0</v>
      </c>
      <c r="CH70">
        <f t="shared" si="54"/>
        <v>0</v>
      </c>
      <c r="CI70">
        <f t="shared" si="54"/>
        <v>0</v>
      </c>
      <c r="CJ70">
        <f t="shared" si="54"/>
        <v>0</v>
      </c>
      <c r="CK70">
        <f t="shared" si="54"/>
        <v>0</v>
      </c>
      <c r="CL70">
        <f t="shared" si="54"/>
        <v>0</v>
      </c>
      <c r="CM70">
        <f t="shared" si="54"/>
        <v>0</v>
      </c>
      <c r="CN70">
        <f t="shared" si="54"/>
        <v>0</v>
      </c>
      <c r="CO70">
        <f t="shared" si="54"/>
        <v>0</v>
      </c>
      <c r="CP70">
        <f t="shared" si="54"/>
        <v>0</v>
      </c>
      <c r="CQ70">
        <f t="shared" si="54"/>
        <v>0</v>
      </c>
      <c r="CR70">
        <f t="shared" si="54"/>
        <v>0</v>
      </c>
      <c r="CS70">
        <f t="shared" si="54"/>
        <v>0</v>
      </c>
      <c r="CT70">
        <f t="shared" si="54"/>
        <v>0</v>
      </c>
      <c r="CU70">
        <f t="shared" si="54"/>
        <v>0</v>
      </c>
      <c r="CV70">
        <f t="shared" si="54"/>
        <v>0</v>
      </c>
      <c r="CW70">
        <f t="shared" si="54"/>
        <v>0</v>
      </c>
      <c r="CX70">
        <f t="shared" si="54"/>
        <v>0</v>
      </c>
      <c r="CY70">
        <f t="shared" si="54"/>
        <v>0</v>
      </c>
      <c r="CZ70">
        <f t="shared" si="54"/>
        <v>0</v>
      </c>
      <c r="DA70">
        <f t="shared" si="54"/>
        <v>0</v>
      </c>
      <c r="DB70">
        <f t="shared" si="54"/>
        <v>0</v>
      </c>
      <c r="DC70">
        <f t="shared" si="54"/>
        <v>0</v>
      </c>
      <c r="DD70">
        <f t="shared" si="54"/>
        <v>0</v>
      </c>
      <c r="DE70">
        <f t="shared" si="54"/>
        <v>0</v>
      </c>
      <c r="DF70">
        <f t="shared" si="54"/>
        <v>0</v>
      </c>
      <c r="DG70">
        <f t="shared" si="54"/>
        <v>0</v>
      </c>
      <c r="DH70">
        <f t="shared" si="54"/>
        <v>0</v>
      </c>
      <c r="DI70">
        <f t="shared" si="54"/>
        <v>0</v>
      </c>
      <c r="DJ70">
        <f t="shared" si="54"/>
        <v>0</v>
      </c>
      <c r="DK70">
        <f t="shared" si="54"/>
        <v>0</v>
      </c>
      <c r="DL70">
        <f t="shared" si="54"/>
        <v>0</v>
      </c>
      <c r="DM70">
        <f t="shared" si="54"/>
        <v>0</v>
      </c>
      <c r="DN70">
        <f t="shared" si="54"/>
        <v>0</v>
      </c>
      <c r="DO70">
        <f t="shared" si="54"/>
        <v>0</v>
      </c>
      <c r="DP70">
        <f t="shared" si="54"/>
        <v>0</v>
      </c>
      <c r="DQ70">
        <f t="shared" si="54"/>
        <v>0</v>
      </c>
      <c r="DR70">
        <f t="shared" si="54"/>
        <v>0</v>
      </c>
      <c r="DS70">
        <f t="shared" si="54"/>
        <v>0</v>
      </c>
      <c r="DT70">
        <f t="shared" si="54"/>
        <v>0</v>
      </c>
      <c r="DU70">
        <f t="shared" si="54"/>
        <v>0</v>
      </c>
      <c r="DV70">
        <f t="shared" si="54"/>
        <v>0</v>
      </c>
      <c r="DW70">
        <f t="shared" si="54"/>
        <v>0</v>
      </c>
      <c r="DX70">
        <f t="shared" si="54"/>
        <v>0</v>
      </c>
      <c r="DY70">
        <f t="shared" si="54"/>
        <v>0</v>
      </c>
      <c r="DZ70">
        <f t="shared" si="54"/>
        <v>0</v>
      </c>
      <c r="EA70">
        <f t="shared" si="54"/>
        <v>0</v>
      </c>
      <c r="EB70">
        <f t="shared" si="54"/>
        <v>0</v>
      </c>
      <c r="EC70">
        <f t="shared" ref="EC70:FU74" si="58">EC30-ROUNDUP(EC30*0.3,2)</f>
        <v>0</v>
      </c>
      <c r="ED70">
        <f t="shared" si="58"/>
        <v>0</v>
      </c>
      <c r="EE70">
        <f t="shared" si="58"/>
        <v>0</v>
      </c>
      <c r="EF70">
        <f t="shared" si="58"/>
        <v>0</v>
      </c>
      <c r="EG70">
        <f t="shared" si="58"/>
        <v>0</v>
      </c>
      <c r="EH70">
        <f t="shared" si="58"/>
        <v>0</v>
      </c>
      <c r="EI70">
        <f t="shared" si="58"/>
        <v>0</v>
      </c>
      <c r="EJ70">
        <f t="shared" si="58"/>
        <v>0</v>
      </c>
      <c r="EK70">
        <f t="shared" si="58"/>
        <v>0</v>
      </c>
      <c r="EL70">
        <f t="shared" si="58"/>
        <v>0</v>
      </c>
      <c r="EM70">
        <f t="shared" si="58"/>
        <v>0</v>
      </c>
      <c r="EN70">
        <f t="shared" si="58"/>
        <v>0</v>
      </c>
      <c r="EO70">
        <f t="shared" si="58"/>
        <v>0</v>
      </c>
      <c r="EP70">
        <f t="shared" si="58"/>
        <v>0</v>
      </c>
      <c r="EQ70">
        <f t="shared" si="58"/>
        <v>0</v>
      </c>
      <c r="ER70">
        <f t="shared" si="58"/>
        <v>0</v>
      </c>
      <c r="ES70">
        <f t="shared" si="58"/>
        <v>0</v>
      </c>
      <c r="ET70">
        <f t="shared" si="58"/>
        <v>0</v>
      </c>
      <c r="EU70">
        <f t="shared" si="58"/>
        <v>0</v>
      </c>
      <c r="EV70">
        <f t="shared" si="58"/>
        <v>0</v>
      </c>
      <c r="EW70">
        <f t="shared" si="58"/>
        <v>0</v>
      </c>
      <c r="EX70">
        <f t="shared" si="58"/>
        <v>0</v>
      </c>
      <c r="EY70">
        <f t="shared" si="58"/>
        <v>0</v>
      </c>
      <c r="EZ70">
        <f t="shared" si="58"/>
        <v>0</v>
      </c>
      <c r="FA70">
        <f t="shared" si="58"/>
        <v>0</v>
      </c>
      <c r="FB70">
        <f t="shared" si="58"/>
        <v>0</v>
      </c>
      <c r="FC70">
        <f t="shared" si="58"/>
        <v>0</v>
      </c>
      <c r="FD70">
        <f t="shared" si="58"/>
        <v>0</v>
      </c>
      <c r="FE70">
        <f t="shared" si="58"/>
        <v>0</v>
      </c>
      <c r="FF70">
        <f t="shared" si="58"/>
        <v>0</v>
      </c>
      <c r="FG70">
        <f t="shared" si="58"/>
        <v>0</v>
      </c>
      <c r="FH70">
        <f t="shared" si="58"/>
        <v>0</v>
      </c>
      <c r="FI70">
        <f t="shared" si="58"/>
        <v>0</v>
      </c>
      <c r="FJ70">
        <f t="shared" si="58"/>
        <v>0</v>
      </c>
      <c r="FK70">
        <f t="shared" si="58"/>
        <v>0</v>
      </c>
      <c r="FL70">
        <f t="shared" si="58"/>
        <v>0</v>
      </c>
      <c r="FM70">
        <f t="shared" si="58"/>
        <v>0</v>
      </c>
      <c r="FN70">
        <f t="shared" si="58"/>
        <v>0</v>
      </c>
      <c r="FO70">
        <f t="shared" si="58"/>
        <v>0</v>
      </c>
      <c r="FP70">
        <f t="shared" si="58"/>
        <v>0</v>
      </c>
      <c r="FQ70">
        <f t="shared" si="58"/>
        <v>0</v>
      </c>
      <c r="FR70">
        <f t="shared" si="58"/>
        <v>0</v>
      </c>
      <c r="FS70">
        <f t="shared" si="58"/>
        <v>0</v>
      </c>
      <c r="FT70">
        <f t="shared" si="58"/>
        <v>0</v>
      </c>
      <c r="FU70">
        <f t="shared" si="58"/>
        <v>0</v>
      </c>
    </row>
    <row r="71" spans="1:177" x14ac:dyDescent="0.25">
      <c r="A71" t="str">
        <f t="shared" ref="A71:D71" si="59">A31</f>
        <v>Tec-9</v>
      </c>
      <c r="B71" t="str">
        <f t="shared" si="59"/>
        <v>StatTrak Avalanche FT</v>
      </c>
      <c r="C71" t="str">
        <f t="shared" si="59"/>
        <v>Pistol</v>
      </c>
      <c r="D71" t="str">
        <f t="shared" si="59"/>
        <v>Revolver</v>
      </c>
      <c r="E71">
        <f t="shared" si="11"/>
        <v>1.8599999999999999</v>
      </c>
      <c r="F71">
        <f t="shared" si="57"/>
        <v>1.91</v>
      </c>
      <c r="G71">
        <f t="shared" si="57"/>
        <v>1.83</v>
      </c>
      <c r="H71">
        <f t="shared" si="57"/>
        <v>1.84</v>
      </c>
      <c r="I71">
        <f t="shared" si="57"/>
        <v>1.77</v>
      </c>
      <c r="J71">
        <f t="shared" si="57"/>
        <v>1.8</v>
      </c>
      <c r="K71">
        <f t="shared" si="57"/>
        <v>1.8900000000000001</v>
      </c>
      <c r="L71">
        <f t="shared" si="57"/>
        <v>1.88</v>
      </c>
      <c r="M71">
        <f t="shared" si="57"/>
        <v>1.8</v>
      </c>
      <c r="N71">
        <f t="shared" si="57"/>
        <v>1.7400000000000002</v>
      </c>
      <c r="O71">
        <f t="shared" si="57"/>
        <v>1.6500000000000001</v>
      </c>
      <c r="P71">
        <f t="shared" si="57"/>
        <v>1.66</v>
      </c>
      <c r="Q71">
        <f t="shared" si="57"/>
        <v>1.72</v>
      </c>
      <c r="R71">
        <f t="shared" si="57"/>
        <v>1.65</v>
      </c>
      <c r="S71">
        <f t="shared" si="57"/>
        <v>1.6700000000000002</v>
      </c>
      <c r="T71">
        <f t="shared" si="57"/>
        <v>1.61</v>
      </c>
      <c r="U71">
        <f t="shared" si="57"/>
        <v>1.61</v>
      </c>
      <c r="V71">
        <f t="shared" si="57"/>
        <v>1.6300000000000001</v>
      </c>
      <c r="W71">
        <f t="shared" si="57"/>
        <v>1.7000000000000002</v>
      </c>
      <c r="X71">
        <f t="shared" si="57"/>
        <v>1.7400000000000002</v>
      </c>
      <c r="Y71">
        <f t="shared" si="57"/>
        <v>1.69</v>
      </c>
      <c r="Z71">
        <f t="shared" si="57"/>
        <v>0</v>
      </c>
      <c r="AA71">
        <f t="shared" si="57"/>
        <v>0</v>
      </c>
      <c r="AB71">
        <f t="shared" si="57"/>
        <v>0</v>
      </c>
      <c r="AC71">
        <f t="shared" si="57"/>
        <v>0</v>
      </c>
      <c r="AD71">
        <f t="shared" si="57"/>
        <v>0</v>
      </c>
      <c r="AE71">
        <f t="shared" si="57"/>
        <v>0</v>
      </c>
      <c r="AF71">
        <f t="shared" si="57"/>
        <v>0</v>
      </c>
      <c r="AG71">
        <f t="shared" si="57"/>
        <v>0</v>
      </c>
      <c r="AH71">
        <f t="shared" si="57"/>
        <v>0</v>
      </c>
      <c r="AI71">
        <f t="shared" si="57"/>
        <v>0</v>
      </c>
      <c r="AJ71">
        <f t="shared" si="57"/>
        <v>0</v>
      </c>
      <c r="AK71">
        <f t="shared" si="57"/>
        <v>0</v>
      </c>
      <c r="AL71">
        <f t="shared" si="57"/>
        <v>0</v>
      </c>
      <c r="AM71">
        <f t="shared" si="57"/>
        <v>0</v>
      </c>
      <c r="AN71">
        <f t="shared" si="57"/>
        <v>0</v>
      </c>
      <c r="AO71">
        <f t="shared" si="57"/>
        <v>0</v>
      </c>
      <c r="AP71">
        <f t="shared" si="57"/>
        <v>0</v>
      </c>
      <c r="AQ71">
        <f t="shared" si="57"/>
        <v>0</v>
      </c>
      <c r="AR71">
        <f t="shared" si="57"/>
        <v>0</v>
      </c>
      <c r="AS71">
        <f t="shared" si="57"/>
        <v>0</v>
      </c>
      <c r="AT71">
        <f t="shared" si="57"/>
        <v>0</v>
      </c>
      <c r="AU71">
        <f t="shared" si="57"/>
        <v>0</v>
      </c>
      <c r="AV71">
        <f t="shared" si="57"/>
        <v>0</v>
      </c>
      <c r="AW71">
        <f t="shared" si="57"/>
        <v>0</v>
      </c>
      <c r="AX71">
        <f t="shared" si="57"/>
        <v>0</v>
      </c>
      <c r="AY71">
        <f t="shared" si="57"/>
        <v>0</v>
      </c>
      <c r="AZ71">
        <f t="shared" si="57"/>
        <v>0</v>
      </c>
      <c r="BA71">
        <f t="shared" si="57"/>
        <v>0</v>
      </c>
      <c r="BB71">
        <f t="shared" si="57"/>
        <v>0</v>
      </c>
      <c r="BC71">
        <f t="shared" si="57"/>
        <v>0</v>
      </c>
      <c r="BD71">
        <f t="shared" si="57"/>
        <v>0</v>
      </c>
      <c r="BE71">
        <f t="shared" si="57"/>
        <v>0</v>
      </c>
      <c r="BF71">
        <f t="shared" si="57"/>
        <v>0</v>
      </c>
      <c r="BG71">
        <f t="shared" si="57"/>
        <v>0</v>
      </c>
      <c r="BH71">
        <f t="shared" si="57"/>
        <v>0</v>
      </c>
      <c r="BI71">
        <f t="shared" si="57"/>
        <v>0</v>
      </c>
      <c r="BJ71">
        <f t="shared" si="57"/>
        <v>0</v>
      </c>
      <c r="BK71">
        <f t="shared" si="57"/>
        <v>0</v>
      </c>
      <c r="BL71">
        <f t="shared" si="57"/>
        <v>0</v>
      </c>
      <c r="BM71">
        <f t="shared" si="57"/>
        <v>0</v>
      </c>
      <c r="BN71">
        <f t="shared" si="57"/>
        <v>0</v>
      </c>
      <c r="BO71">
        <f t="shared" si="57"/>
        <v>0</v>
      </c>
      <c r="BP71">
        <f t="shared" si="57"/>
        <v>0</v>
      </c>
      <c r="BQ71">
        <f t="shared" si="57"/>
        <v>0</v>
      </c>
      <c r="BR71">
        <f t="shared" si="54"/>
        <v>0</v>
      </c>
      <c r="BS71">
        <f t="shared" si="54"/>
        <v>0</v>
      </c>
      <c r="BT71">
        <f t="shared" si="54"/>
        <v>0</v>
      </c>
      <c r="BU71">
        <f t="shared" si="54"/>
        <v>0</v>
      </c>
      <c r="BV71">
        <f t="shared" si="54"/>
        <v>0</v>
      </c>
      <c r="BW71">
        <f t="shared" si="54"/>
        <v>0</v>
      </c>
      <c r="BX71">
        <f t="shared" si="54"/>
        <v>0</v>
      </c>
      <c r="BY71">
        <f t="shared" si="54"/>
        <v>0</v>
      </c>
      <c r="BZ71">
        <f t="shared" si="54"/>
        <v>0</v>
      </c>
      <c r="CA71">
        <f t="shared" si="54"/>
        <v>0</v>
      </c>
      <c r="CB71">
        <f t="shared" si="54"/>
        <v>0</v>
      </c>
      <c r="CC71">
        <f t="shared" si="54"/>
        <v>0</v>
      </c>
      <c r="CD71">
        <f t="shared" si="54"/>
        <v>0</v>
      </c>
      <c r="CE71">
        <f t="shared" si="54"/>
        <v>0</v>
      </c>
      <c r="CF71">
        <f t="shared" si="54"/>
        <v>0</v>
      </c>
      <c r="CG71">
        <f t="shared" si="54"/>
        <v>0</v>
      </c>
      <c r="CH71">
        <f t="shared" si="54"/>
        <v>0</v>
      </c>
      <c r="CI71">
        <f t="shared" si="54"/>
        <v>0</v>
      </c>
      <c r="CJ71">
        <f t="shared" si="54"/>
        <v>0</v>
      </c>
      <c r="CK71">
        <f t="shared" si="54"/>
        <v>0</v>
      </c>
      <c r="CL71">
        <f t="shared" si="54"/>
        <v>0</v>
      </c>
      <c r="CM71">
        <f t="shared" si="54"/>
        <v>0</v>
      </c>
      <c r="CN71">
        <f t="shared" si="54"/>
        <v>0</v>
      </c>
      <c r="CO71">
        <f t="shared" si="54"/>
        <v>0</v>
      </c>
      <c r="CP71">
        <f t="shared" si="54"/>
        <v>0</v>
      </c>
      <c r="CQ71">
        <f t="shared" si="54"/>
        <v>0</v>
      </c>
      <c r="CR71">
        <f t="shared" si="54"/>
        <v>0</v>
      </c>
      <c r="CS71">
        <f t="shared" si="54"/>
        <v>0</v>
      </c>
      <c r="CT71">
        <f t="shared" si="54"/>
        <v>0</v>
      </c>
      <c r="CU71">
        <f t="shared" si="54"/>
        <v>0</v>
      </c>
      <c r="CV71">
        <f t="shared" si="54"/>
        <v>0</v>
      </c>
      <c r="CW71">
        <f t="shared" si="54"/>
        <v>0</v>
      </c>
      <c r="CX71">
        <f t="shared" si="54"/>
        <v>0</v>
      </c>
      <c r="CY71">
        <f t="shared" si="54"/>
        <v>0</v>
      </c>
      <c r="CZ71">
        <f t="shared" si="54"/>
        <v>0</v>
      </c>
      <c r="DA71">
        <f t="shared" si="54"/>
        <v>0</v>
      </c>
      <c r="DB71">
        <f t="shared" si="54"/>
        <v>0</v>
      </c>
      <c r="DC71">
        <f t="shared" si="54"/>
        <v>0</v>
      </c>
      <c r="DD71">
        <f t="shared" si="54"/>
        <v>0</v>
      </c>
      <c r="DE71">
        <f t="shared" si="54"/>
        <v>0</v>
      </c>
      <c r="DF71">
        <f t="shared" si="54"/>
        <v>0</v>
      </c>
      <c r="DG71">
        <f t="shared" si="54"/>
        <v>0</v>
      </c>
      <c r="DH71">
        <f t="shared" si="54"/>
        <v>0</v>
      </c>
      <c r="DI71">
        <f t="shared" si="54"/>
        <v>0</v>
      </c>
      <c r="DJ71">
        <f t="shared" si="54"/>
        <v>0</v>
      </c>
      <c r="DK71">
        <f t="shared" si="54"/>
        <v>0</v>
      </c>
      <c r="DL71">
        <f t="shared" si="54"/>
        <v>0</v>
      </c>
      <c r="DM71">
        <f t="shared" si="54"/>
        <v>0</v>
      </c>
      <c r="DN71">
        <f t="shared" si="54"/>
        <v>0</v>
      </c>
      <c r="DO71">
        <f t="shared" si="54"/>
        <v>0</v>
      </c>
      <c r="DP71">
        <f t="shared" si="54"/>
        <v>0</v>
      </c>
      <c r="DQ71">
        <f t="shared" si="54"/>
        <v>0</v>
      </c>
      <c r="DR71">
        <f t="shared" si="54"/>
        <v>0</v>
      </c>
      <c r="DS71">
        <f t="shared" si="54"/>
        <v>0</v>
      </c>
      <c r="DT71">
        <f t="shared" si="54"/>
        <v>0</v>
      </c>
      <c r="DU71">
        <f t="shared" si="54"/>
        <v>0</v>
      </c>
      <c r="DV71">
        <f t="shared" si="54"/>
        <v>0</v>
      </c>
      <c r="DW71">
        <f t="shared" si="54"/>
        <v>0</v>
      </c>
      <c r="DX71">
        <f t="shared" si="54"/>
        <v>0</v>
      </c>
      <c r="DY71">
        <f t="shared" si="54"/>
        <v>0</v>
      </c>
      <c r="DZ71">
        <f t="shared" si="54"/>
        <v>0</v>
      </c>
      <c r="EA71">
        <f t="shared" si="54"/>
        <v>0</v>
      </c>
      <c r="EB71">
        <f t="shared" si="54"/>
        <v>0</v>
      </c>
      <c r="EC71">
        <f t="shared" si="58"/>
        <v>0</v>
      </c>
      <c r="ED71">
        <f t="shared" si="58"/>
        <v>0</v>
      </c>
      <c r="EE71">
        <f t="shared" si="58"/>
        <v>0</v>
      </c>
      <c r="EF71">
        <f t="shared" si="58"/>
        <v>0</v>
      </c>
      <c r="EG71">
        <f t="shared" si="58"/>
        <v>0</v>
      </c>
      <c r="EH71">
        <f t="shared" si="58"/>
        <v>0</v>
      </c>
      <c r="EI71">
        <f t="shared" si="58"/>
        <v>0</v>
      </c>
      <c r="EJ71">
        <f t="shared" si="58"/>
        <v>0</v>
      </c>
      <c r="EK71">
        <f t="shared" si="58"/>
        <v>0</v>
      </c>
      <c r="EL71">
        <f t="shared" si="58"/>
        <v>0</v>
      </c>
      <c r="EM71">
        <f t="shared" si="58"/>
        <v>0</v>
      </c>
      <c r="EN71">
        <f t="shared" si="58"/>
        <v>0</v>
      </c>
      <c r="EO71">
        <f t="shared" si="58"/>
        <v>0</v>
      </c>
      <c r="EP71">
        <f t="shared" si="58"/>
        <v>0</v>
      </c>
      <c r="EQ71">
        <f t="shared" si="58"/>
        <v>0</v>
      </c>
      <c r="ER71">
        <f t="shared" si="58"/>
        <v>0</v>
      </c>
      <c r="ES71">
        <f t="shared" si="58"/>
        <v>0</v>
      </c>
      <c r="ET71">
        <f t="shared" si="58"/>
        <v>0</v>
      </c>
      <c r="EU71">
        <f t="shared" si="58"/>
        <v>0</v>
      </c>
      <c r="EV71">
        <f t="shared" si="58"/>
        <v>0</v>
      </c>
      <c r="EW71">
        <f t="shared" si="58"/>
        <v>0</v>
      </c>
      <c r="EX71">
        <f t="shared" si="58"/>
        <v>0</v>
      </c>
      <c r="EY71">
        <f t="shared" si="58"/>
        <v>0</v>
      </c>
      <c r="EZ71">
        <f t="shared" si="58"/>
        <v>0</v>
      </c>
      <c r="FA71">
        <f t="shared" si="58"/>
        <v>0</v>
      </c>
      <c r="FB71">
        <f t="shared" si="58"/>
        <v>0</v>
      </c>
      <c r="FC71">
        <f t="shared" si="58"/>
        <v>0</v>
      </c>
      <c r="FD71">
        <f t="shared" si="58"/>
        <v>0</v>
      </c>
      <c r="FE71">
        <f t="shared" si="58"/>
        <v>0</v>
      </c>
      <c r="FF71">
        <f t="shared" si="58"/>
        <v>0</v>
      </c>
      <c r="FG71">
        <f t="shared" si="58"/>
        <v>0</v>
      </c>
      <c r="FH71">
        <f t="shared" si="58"/>
        <v>0</v>
      </c>
      <c r="FI71">
        <f t="shared" si="58"/>
        <v>0</v>
      </c>
      <c r="FJ71">
        <f t="shared" si="58"/>
        <v>0</v>
      </c>
      <c r="FK71">
        <f t="shared" si="58"/>
        <v>0</v>
      </c>
      <c r="FL71">
        <f t="shared" si="58"/>
        <v>0</v>
      </c>
      <c r="FM71">
        <f t="shared" si="58"/>
        <v>0</v>
      </c>
      <c r="FN71">
        <f t="shared" si="58"/>
        <v>0</v>
      </c>
      <c r="FO71">
        <f t="shared" si="58"/>
        <v>0</v>
      </c>
      <c r="FP71">
        <f t="shared" si="58"/>
        <v>0</v>
      </c>
      <c r="FQ71">
        <f t="shared" si="58"/>
        <v>0</v>
      </c>
      <c r="FR71">
        <f t="shared" si="58"/>
        <v>0</v>
      </c>
      <c r="FS71">
        <f t="shared" si="58"/>
        <v>0</v>
      </c>
      <c r="FT71">
        <f t="shared" si="58"/>
        <v>0</v>
      </c>
      <c r="FU71">
        <f t="shared" si="58"/>
        <v>0</v>
      </c>
    </row>
    <row r="72" spans="1:177" x14ac:dyDescent="0.25">
      <c r="A72" t="str">
        <f t="shared" ref="A72:D72" si="60">A32</f>
        <v>P250</v>
      </c>
      <c r="B72" t="str">
        <f t="shared" si="60"/>
        <v>StatTrak Wingshot MW</v>
      </c>
      <c r="C72" t="str">
        <f t="shared" si="60"/>
        <v>Pistol</v>
      </c>
      <c r="D72" t="str">
        <f t="shared" si="60"/>
        <v>Shadow</v>
      </c>
      <c r="E72">
        <f t="shared" si="11"/>
        <v>3.7800000000000002</v>
      </c>
      <c r="F72">
        <f t="shared" si="57"/>
        <v>3.8599999999999994</v>
      </c>
      <c r="G72">
        <f t="shared" si="57"/>
        <v>3.7800000000000002</v>
      </c>
      <c r="H72">
        <f t="shared" si="57"/>
        <v>3.87</v>
      </c>
      <c r="I72">
        <f t="shared" si="57"/>
        <v>3.8300000000000005</v>
      </c>
      <c r="J72">
        <f t="shared" si="57"/>
        <v>3.82</v>
      </c>
      <c r="K72">
        <f t="shared" si="57"/>
        <v>3.4699999999999998</v>
      </c>
      <c r="L72">
        <f t="shared" si="57"/>
        <v>3.36</v>
      </c>
      <c r="M72">
        <f t="shared" si="57"/>
        <v>3.72</v>
      </c>
      <c r="N72">
        <f t="shared" si="57"/>
        <v>3.66</v>
      </c>
      <c r="O72">
        <f t="shared" si="57"/>
        <v>3.6499999999999995</v>
      </c>
      <c r="P72">
        <f t="shared" si="57"/>
        <v>3.7</v>
      </c>
      <c r="Q72">
        <f t="shared" si="57"/>
        <v>3.67</v>
      </c>
      <c r="R72">
        <f t="shared" si="57"/>
        <v>3.44</v>
      </c>
      <c r="S72">
        <f t="shared" si="57"/>
        <v>3.79</v>
      </c>
      <c r="T72">
        <f t="shared" si="57"/>
        <v>3.82</v>
      </c>
      <c r="U72">
        <f t="shared" si="57"/>
        <v>3.7800000000000002</v>
      </c>
      <c r="V72">
        <f t="shared" si="57"/>
        <v>3.8100000000000005</v>
      </c>
      <c r="W72">
        <f t="shared" si="57"/>
        <v>3.7</v>
      </c>
      <c r="X72">
        <f t="shared" si="57"/>
        <v>3.4800000000000004</v>
      </c>
      <c r="Y72">
        <f t="shared" si="57"/>
        <v>3.9200000000000004</v>
      </c>
      <c r="Z72">
        <f t="shared" si="57"/>
        <v>0</v>
      </c>
      <c r="AA72">
        <f t="shared" si="57"/>
        <v>0</v>
      </c>
      <c r="AB72">
        <f t="shared" si="57"/>
        <v>0</v>
      </c>
      <c r="AC72">
        <f t="shared" si="57"/>
        <v>0</v>
      </c>
      <c r="AD72">
        <f t="shared" si="57"/>
        <v>0</v>
      </c>
      <c r="AE72">
        <f t="shared" si="57"/>
        <v>0</v>
      </c>
      <c r="AF72">
        <f t="shared" si="57"/>
        <v>0</v>
      </c>
      <c r="AG72">
        <f t="shared" si="57"/>
        <v>0</v>
      </c>
      <c r="AH72">
        <f t="shared" si="57"/>
        <v>0</v>
      </c>
      <c r="AI72">
        <f t="shared" si="57"/>
        <v>0</v>
      </c>
      <c r="AJ72">
        <f t="shared" si="57"/>
        <v>0</v>
      </c>
      <c r="AK72">
        <f t="shared" si="57"/>
        <v>0</v>
      </c>
      <c r="AL72">
        <f t="shared" si="57"/>
        <v>0</v>
      </c>
      <c r="AM72">
        <f t="shared" si="57"/>
        <v>0</v>
      </c>
      <c r="AN72">
        <f t="shared" si="57"/>
        <v>0</v>
      </c>
      <c r="AO72">
        <f t="shared" si="57"/>
        <v>0</v>
      </c>
      <c r="AP72">
        <f t="shared" si="57"/>
        <v>0</v>
      </c>
      <c r="AQ72">
        <f t="shared" si="57"/>
        <v>0</v>
      </c>
      <c r="AR72">
        <f t="shared" si="57"/>
        <v>0</v>
      </c>
      <c r="AS72">
        <f t="shared" si="57"/>
        <v>0</v>
      </c>
      <c r="AT72">
        <f t="shared" si="57"/>
        <v>0</v>
      </c>
      <c r="AU72">
        <f t="shared" si="57"/>
        <v>0</v>
      </c>
      <c r="AV72">
        <f t="shared" si="57"/>
        <v>0</v>
      </c>
      <c r="AW72">
        <f t="shared" si="57"/>
        <v>0</v>
      </c>
      <c r="AX72">
        <f t="shared" si="57"/>
        <v>0</v>
      </c>
      <c r="AY72">
        <f t="shared" si="57"/>
        <v>0</v>
      </c>
      <c r="AZ72">
        <f t="shared" si="57"/>
        <v>0</v>
      </c>
      <c r="BA72">
        <f t="shared" si="57"/>
        <v>0</v>
      </c>
      <c r="BB72">
        <f t="shared" si="57"/>
        <v>0</v>
      </c>
      <c r="BC72">
        <f t="shared" si="57"/>
        <v>0</v>
      </c>
      <c r="BD72">
        <f t="shared" si="57"/>
        <v>0</v>
      </c>
      <c r="BE72">
        <f t="shared" si="57"/>
        <v>0</v>
      </c>
      <c r="BF72">
        <f t="shared" si="57"/>
        <v>0</v>
      </c>
      <c r="BG72">
        <f t="shared" si="57"/>
        <v>0</v>
      </c>
      <c r="BH72">
        <f t="shared" si="57"/>
        <v>0</v>
      </c>
      <c r="BI72">
        <f t="shared" si="57"/>
        <v>0</v>
      </c>
      <c r="BJ72">
        <f t="shared" si="57"/>
        <v>0</v>
      </c>
      <c r="BK72">
        <f t="shared" si="57"/>
        <v>0</v>
      </c>
      <c r="BL72">
        <f t="shared" si="57"/>
        <v>0</v>
      </c>
      <c r="BM72">
        <f t="shared" si="57"/>
        <v>0</v>
      </c>
      <c r="BN72">
        <f t="shared" si="57"/>
        <v>0</v>
      </c>
      <c r="BO72">
        <f t="shared" si="57"/>
        <v>0</v>
      </c>
      <c r="BP72">
        <f t="shared" si="57"/>
        <v>0</v>
      </c>
      <c r="BQ72">
        <f t="shared" si="57"/>
        <v>0</v>
      </c>
      <c r="BR72">
        <f t="shared" si="54"/>
        <v>0</v>
      </c>
      <c r="BS72">
        <f t="shared" si="54"/>
        <v>0</v>
      </c>
      <c r="BT72">
        <f t="shared" si="54"/>
        <v>0</v>
      </c>
      <c r="BU72">
        <f t="shared" si="54"/>
        <v>0</v>
      </c>
      <c r="BV72">
        <f t="shared" si="54"/>
        <v>0</v>
      </c>
      <c r="BW72">
        <f t="shared" si="54"/>
        <v>0</v>
      </c>
      <c r="BX72">
        <f t="shared" si="54"/>
        <v>0</v>
      </c>
      <c r="BY72">
        <f t="shared" si="54"/>
        <v>0</v>
      </c>
      <c r="BZ72">
        <f t="shared" si="54"/>
        <v>0</v>
      </c>
      <c r="CA72">
        <f t="shared" si="54"/>
        <v>0</v>
      </c>
      <c r="CB72">
        <f t="shared" si="54"/>
        <v>0</v>
      </c>
      <c r="CC72">
        <f t="shared" si="54"/>
        <v>0</v>
      </c>
      <c r="CD72">
        <f t="shared" si="54"/>
        <v>0</v>
      </c>
      <c r="CE72">
        <f t="shared" si="54"/>
        <v>0</v>
      </c>
      <c r="CF72">
        <f t="shared" si="54"/>
        <v>0</v>
      </c>
      <c r="CG72">
        <f t="shared" si="54"/>
        <v>0</v>
      </c>
      <c r="CH72">
        <f t="shared" si="54"/>
        <v>0</v>
      </c>
      <c r="CI72">
        <f t="shared" si="54"/>
        <v>0</v>
      </c>
      <c r="CJ72">
        <f t="shared" si="54"/>
        <v>0</v>
      </c>
      <c r="CK72">
        <f t="shared" si="54"/>
        <v>0</v>
      </c>
      <c r="CL72">
        <f t="shared" si="54"/>
        <v>0</v>
      </c>
      <c r="CM72">
        <f t="shared" si="54"/>
        <v>0</v>
      </c>
      <c r="CN72">
        <f t="shared" si="54"/>
        <v>0</v>
      </c>
      <c r="CO72">
        <f t="shared" si="54"/>
        <v>0</v>
      </c>
      <c r="CP72">
        <f t="shared" si="54"/>
        <v>0</v>
      </c>
      <c r="CQ72">
        <f t="shared" si="54"/>
        <v>0</v>
      </c>
      <c r="CR72">
        <f t="shared" si="54"/>
        <v>0</v>
      </c>
      <c r="CS72">
        <f t="shared" si="54"/>
        <v>0</v>
      </c>
      <c r="CT72">
        <f t="shared" si="54"/>
        <v>0</v>
      </c>
      <c r="CU72">
        <f t="shared" si="54"/>
        <v>0</v>
      </c>
      <c r="CV72">
        <f t="shared" si="54"/>
        <v>0</v>
      </c>
      <c r="CW72">
        <f t="shared" si="54"/>
        <v>0</v>
      </c>
      <c r="CX72">
        <f t="shared" si="54"/>
        <v>0</v>
      </c>
      <c r="CY72">
        <f t="shared" si="54"/>
        <v>0</v>
      </c>
      <c r="CZ72">
        <f t="shared" si="54"/>
        <v>0</v>
      </c>
      <c r="DA72">
        <f t="shared" si="54"/>
        <v>0</v>
      </c>
      <c r="DB72">
        <f t="shared" si="54"/>
        <v>0</v>
      </c>
      <c r="DC72">
        <f t="shared" si="54"/>
        <v>0</v>
      </c>
      <c r="DD72">
        <f t="shared" si="54"/>
        <v>0</v>
      </c>
      <c r="DE72">
        <f t="shared" si="54"/>
        <v>0</v>
      </c>
      <c r="DF72">
        <f t="shared" si="54"/>
        <v>0</v>
      </c>
      <c r="DG72">
        <f t="shared" si="54"/>
        <v>0</v>
      </c>
      <c r="DH72">
        <f t="shared" si="54"/>
        <v>0</v>
      </c>
      <c r="DI72">
        <f t="shared" si="54"/>
        <v>0</v>
      </c>
      <c r="DJ72">
        <f t="shared" si="54"/>
        <v>0</v>
      </c>
      <c r="DK72">
        <f t="shared" si="54"/>
        <v>0</v>
      </c>
      <c r="DL72">
        <f t="shared" si="54"/>
        <v>0</v>
      </c>
      <c r="DM72">
        <f t="shared" si="54"/>
        <v>0</v>
      </c>
      <c r="DN72">
        <f t="shared" si="54"/>
        <v>0</v>
      </c>
      <c r="DO72">
        <f t="shared" si="54"/>
        <v>0</v>
      </c>
      <c r="DP72">
        <f t="shared" si="54"/>
        <v>0</v>
      </c>
      <c r="DQ72">
        <f t="shared" si="54"/>
        <v>0</v>
      </c>
      <c r="DR72">
        <f t="shared" si="54"/>
        <v>0</v>
      </c>
      <c r="DS72">
        <f t="shared" si="54"/>
        <v>0</v>
      </c>
      <c r="DT72">
        <f t="shared" si="54"/>
        <v>0</v>
      </c>
      <c r="DU72">
        <f t="shared" si="54"/>
        <v>0</v>
      </c>
      <c r="DV72">
        <f t="shared" si="54"/>
        <v>0</v>
      </c>
      <c r="DW72">
        <f t="shared" si="54"/>
        <v>0</v>
      </c>
      <c r="DX72">
        <f t="shared" si="54"/>
        <v>0</v>
      </c>
      <c r="DY72">
        <f t="shared" si="54"/>
        <v>0</v>
      </c>
      <c r="DZ72">
        <f t="shared" si="54"/>
        <v>0</v>
      </c>
      <c r="EA72">
        <f t="shared" si="54"/>
        <v>0</v>
      </c>
      <c r="EB72">
        <f t="shared" si="54"/>
        <v>0</v>
      </c>
      <c r="EC72">
        <f t="shared" si="58"/>
        <v>0</v>
      </c>
      <c r="ED72">
        <f t="shared" si="58"/>
        <v>0</v>
      </c>
      <c r="EE72">
        <f t="shared" si="58"/>
        <v>0</v>
      </c>
      <c r="EF72">
        <f t="shared" si="58"/>
        <v>0</v>
      </c>
      <c r="EG72">
        <f t="shared" si="58"/>
        <v>0</v>
      </c>
      <c r="EH72">
        <f t="shared" si="58"/>
        <v>0</v>
      </c>
      <c r="EI72">
        <f t="shared" si="58"/>
        <v>0</v>
      </c>
      <c r="EJ72">
        <f t="shared" si="58"/>
        <v>0</v>
      </c>
      <c r="EK72">
        <f t="shared" si="58"/>
        <v>0</v>
      </c>
      <c r="EL72">
        <f t="shared" si="58"/>
        <v>0</v>
      </c>
      <c r="EM72">
        <f t="shared" si="58"/>
        <v>0</v>
      </c>
      <c r="EN72">
        <f t="shared" si="58"/>
        <v>0</v>
      </c>
      <c r="EO72">
        <f t="shared" si="58"/>
        <v>0</v>
      </c>
      <c r="EP72">
        <f t="shared" si="58"/>
        <v>0</v>
      </c>
      <c r="EQ72">
        <f t="shared" si="58"/>
        <v>0</v>
      </c>
      <c r="ER72">
        <f t="shared" si="58"/>
        <v>0</v>
      </c>
      <c r="ES72">
        <f t="shared" si="58"/>
        <v>0</v>
      </c>
      <c r="ET72">
        <f t="shared" si="58"/>
        <v>0</v>
      </c>
      <c r="EU72">
        <f t="shared" si="58"/>
        <v>0</v>
      </c>
      <c r="EV72">
        <f t="shared" si="58"/>
        <v>0</v>
      </c>
      <c r="EW72">
        <f t="shared" si="58"/>
        <v>0</v>
      </c>
      <c r="EX72">
        <f t="shared" si="58"/>
        <v>0</v>
      </c>
      <c r="EY72">
        <f t="shared" si="58"/>
        <v>0</v>
      </c>
      <c r="EZ72">
        <f t="shared" si="58"/>
        <v>0</v>
      </c>
      <c r="FA72">
        <f t="shared" si="58"/>
        <v>0</v>
      </c>
      <c r="FB72">
        <f t="shared" si="58"/>
        <v>0</v>
      </c>
      <c r="FC72">
        <f t="shared" si="58"/>
        <v>0</v>
      </c>
      <c r="FD72">
        <f t="shared" si="58"/>
        <v>0</v>
      </c>
      <c r="FE72">
        <f t="shared" si="58"/>
        <v>0</v>
      </c>
      <c r="FF72">
        <f t="shared" si="58"/>
        <v>0</v>
      </c>
      <c r="FG72">
        <f t="shared" si="58"/>
        <v>0</v>
      </c>
      <c r="FH72">
        <f t="shared" si="58"/>
        <v>0</v>
      </c>
      <c r="FI72">
        <f t="shared" si="58"/>
        <v>0</v>
      </c>
      <c r="FJ72">
        <f t="shared" si="58"/>
        <v>0</v>
      </c>
      <c r="FK72">
        <f t="shared" si="58"/>
        <v>0</v>
      </c>
      <c r="FL72">
        <f t="shared" si="58"/>
        <v>0</v>
      </c>
      <c r="FM72">
        <f t="shared" si="58"/>
        <v>0</v>
      </c>
      <c r="FN72">
        <f t="shared" si="58"/>
        <v>0</v>
      </c>
      <c r="FO72">
        <f t="shared" si="58"/>
        <v>0</v>
      </c>
      <c r="FP72">
        <f t="shared" si="58"/>
        <v>0</v>
      </c>
      <c r="FQ72">
        <f t="shared" si="58"/>
        <v>0</v>
      </c>
      <c r="FR72">
        <f t="shared" si="58"/>
        <v>0</v>
      </c>
      <c r="FS72">
        <f t="shared" si="58"/>
        <v>0</v>
      </c>
      <c r="FT72">
        <f t="shared" si="58"/>
        <v>0</v>
      </c>
      <c r="FU72">
        <f t="shared" si="58"/>
        <v>0</v>
      </c>
    </row>
    <row r="73" spans="1:177" x14ac:dyDescent="0.25">
      <c r="A73" t="str">
        <f t="shared" ref="A73:D73" si="61">A33</f>
        <v>Dual Berettas</v>
      </c>
      <c r="B73" t="str">
        <f t="shared" si="61"/>
        <v>StatTrak Dualing Dragons MW</v>
      </c>
      <c r="C73" t="str">
        <f t="shared" si="61"/>
        <v>Pistol</v>
      </c>
      <c r="D73" t="str">
        <f t="shared" si="61"/>
        <v>Shadow</v>
      </c>
      <c r="E73">
        <f t="shared" si="11"/>
        <v>0.96</v>
      </c>
      <c r="F73">
        <f t="shared" si="57"/>
        <v>0.91</v>
      </c>
      <c r="G73">
        <f t="shared" si="57"/>
        <v>0.97</v>
      </c>
      <c r="H73">
        <f t="shared" si="57"/>
        <v>1</v>
      </c>
      <c r="I73">
        <f t="shared" si="57"/>
        <v>0.96</v>
      </c>
      <c r="J73">
        <f t="shared" si="57"/>
        <v>0.96</v>
      </c>
      <c r="K73">
        <f t="shared" si="57"/>
        <v>0.98</v>
      </c>
      <c r="L73">
        <f t="shared" si="57"/>
        <v>0.98</v>
      </c>
      <c r="M73">
        <f t="shared" si="57"/>
        <v>0.99</v>
      </c>
      <c r="N73">
        <f t="shared" si="57"/>
        <v>0.98</v>
      </c>
      <c r="O73">
        <f t="shared" si="57"/>
        <v>0.98</v>
      </c>
      <c r="P73">
        <f t="shared" si="57"/>
        <v>0.96</v>
      </c>
      <c r="Q73">
        <f t="shared" si="57"/>
        <v>0.94000000000000006</v>
      </c>
      <c r="R73">
        <f t="shared" si="57"/>
        <v>0.93</v>
      </c>
      <c r="S73">
        <f t="shared" si="57"/>
        <v>0.93</v>
      </c>
      <c r="T73">
        <f t="shared" si="57"/>
        <v>0.92</v>
      </c>
      <c r="U73">
        <f t="shared" si="57"/>
        <v>0.96</v>
      </c>
      <c r="V73">
        <f t="shared" si="57"/>
        <v>0.9</v>
      </c>
      <c r="W73">
        <f t="shared" si="57"/>
        <v>0.88</v>
      </c>
      <c r="X73">
        <f t="shared" si="57"/>
        <v>0.94000000000000006</v>
      </c>
      <c r="Y73">
        <f t="shared" si="57"/>
        <v>0.84</v>
      </c>
      <c r="Z73">
        <f t="shared" si="57"/>
        <v>0</v>
      </c>
      <c r="AA73">
        <f t="shared" si="57"/>
        <v>0</v>
      </c>
      <c r="AB73">
        <f t="shared" si="57"/>
        <v>0</v>
      </c>
      <c r="AC73">
        <f t="shared" si="57"/>
        <v>0</v>
      </c>
      <c r="AD73">
        <f t="shared" si="57"/>
        <v>0</v>
      </c>
      <c r="AE73">
        <f t="shared" si="57"/>
        <v>0</v>
      </c>
      <c r="AF73">
        <f t="shared" si="57"/>
        <v>0</v>
      </c>
      <c r="AG73">
        <f t="shared" si="57"/>
        <v>0</v>
      </c>
      <c r="AH73">
        <f t="shared" si="57"/>
        <v>0</v>
      </c>
      <c r="AI73">
        <f t="shared" si="57"/>
        <v>0</v>
      </c>
      <c r="AJ73">
        <f t="shared" si="57"/>
        <v>0</v>
      </c>
      <c r="AK73">
        <f t="shared" si="57"/>
        <v>0</v>
      </c>
      <c r="AL73">
        <f t="shared" si="57"/>
        <v>0</v>
      </c>
      <c r="AM73">
        <f t="shared" si="57"/>
        <v>0</v>
      </c>
      <c r="AN73">
        <f t="shared" si="57"/>
        <v>0</v>
      </c>
      <c r="AO73">
        <f t="shared" si="57"/>
        <v>0</v>
      </c>
      <c r="AP73">
        <f t="shared" si="57"/>
        <v>0</v>
      </c>
      <c r="AQ73">
        <f t="shared" si="57"/>
        <v>0</v>
      </c>
      <c r="AR73">
        <f t="shared" si="57"/>
        <v>0</v>
      </c>
      <c r="AS73">
        <f t="shared" si="57"/>
        <v>0</v>
      </c>
      <c r="AT73">
        <f t="shared" si="57"/>
        <v>0</v>
      </c>
      <c r="AU73">
        <f t="shared" si="57"/>
        <v>0</v>
      </c>
      <c r="AV73">
        <f t="shared" si="57"/>
        <v>0</v>
      </c>
      <c r="AW73">
        <f t="shared" si="57"/>
        <v>0</v>
      </c>
      <c r="AX73">
        <f t="shared" si="57"/>
        <v>0</v>
      </c>
      <c r="AY73">
        <f t="shared" si="57"/>
        <v>0</v>
      </c>
      <c r="AZ73">
        <f t="shared" si="57"/>
        <v>0</v>
      </c>
      <c r="BA73">
        <f t="shared" si="57"/>
        <v>0</v>
      </c>
      <c r="BB73">
        <f t="shared" si="57"/>
        <v>0</v>
      </c>
      <c r="BC73">
        <f t="shared" si="57"/>
        <v>0</v>
      </c>
      <c r="BD73">
        <f t="shared" si="57"/>
        <v>0</v>
      </c>
      <c r="BE73">
        <f t="shared" si="57"/>
        <v>0</v>
      </c>
      <c r="BF73">
        <f t="shared" si="57"/>
        <v>0</v>
      </c>
      <c r="BG73">
        <f t="shared" si="57"/>
        <v>0</v>
      </c>
      <c r="BH73">
        <f t="shared" si="57"/>
        <v>0</v>
      </c>
      <c r="BI73">
        <f t="shared" si="57"/>
        <v>0</v>
      </c>
      <c r="BJ73">
        <f t="shared" si="57"/>
        <v>0</v>
      </c>
      <c r="BK73">
        <f t="shared" si="57"/>
        <v>0</v>
      </c>
      <c r="BL73">
        <f t="shared" si="57"/>
        <v>0</v>
      </c>
      <c r="BM73">
        <f t="shared" si="57"/>
        <v>0</v>
      </c>
      <c r="BN73">
        <f t="shared" si="57"/>
        <v>0</v>
      </c>
      <c r="BO73">
        <f t="shared" si="57"/>
        <v>0</v>
      </c>
      <c r="BP73">
        <f t="shared" si="57"/>
        <v>0</v>
      </c>
      <c r="BQ73">
        <f t="shared" ref="BQ73:EB74" si="62">BQ33-ROUNDUP(BQ33*0.3,2)</f>
        <v>0</v>
      </c>
      <c r="BR73">
        <f t="shared" si="62"/>
        <v>0</v>
      </c>
      <c r="BS73">
        <f t="shared" si="62"/>
        <v>0</v>
      </c>
      <c r="BT73">
        <f t="shared" si="62"/>
        <v>0</v>
      </c>
      <c r="BU73">
        <f t="shared" si="62"/>
        <v>0</v>
      </c>
      <c r="BV73">
        <f t="shared" si="62"/>
        <v>0</v>
      </c>
      <c r="BW73">
        <f t="shared" si="62"/>
        <v>0</v>
      </c>
      <c r="BX73">
        <f t="shared" si="62"/>
        <v>0</v>
      </c>
      <c r="BY73">
        <f t="shared" si="62"/>
        <v>0</v>
      </c>
      <c r="BZ73">
        <f t="shared" si="62"/>
        <v>0</v>
      </c>
      <c r="CA73">
        <f t="shared" si="62"/>
        <v>0</v>
      </c>
      <c r="CB73">
        <f t="shared" si="62"/>
        <v>0</v>
      </c>
      <c r="CC73">
        <f t="shared" si="62"/>
        <v>0</v>
      </c>
      <c r="CD73">
        <f t="shared" si="62"/>
        <v>0</v>
      </c>
      <c r="CE73">
        <f t="shared" si="62"/>
        <v>0</v>
      </c>
      <c r="CF73">
        <f t="shared" si="62"/>
        <v>0</v>
      </c>
      <c r="CG73">
        <f t="shared" si="62"/>
        <v>0</v>
      </c>
      <c r="CH73">
        <f t="shared" si="62"/>
        <v>0</v>
      </c>
      <c r="CI73">
        <f t="shared" si="62"/>
        <v>0</v>
      </c>
      <c r="CJ73">
        <f t="shared" si="62"/>
        <v>0</v>
      </c>
      <c r="CK73">
        <f t="shared" si="62"/>
        <v>0</v>
      </c>
      <c r="CL73">
        <f t="shared" si="62"/>
        <v>0</v>
      </c>
      <c r="CM73">
        <f t="shared" si="62"/>
        <v>0</v>
      </c>
      <c r="CN73">
        <f t="shared" si="62"/>
        <v>0</v>
      </c>
      <c r="CO73">
        <f t="shared" si="62"/>
        <v>0</v>
      </c>
      <c r="CP73">
        <f t="shared" si="62"/>
        <v>0</v>
      </c>
      <c r="CQ73">
        <f t="shared" si="62"/>
        <v>0</v>
      </c>
      <c r="CR73">
        <f t="shared" si="62"/>
        <v>0</v>
      </c>
      <c r="CS73">
        <f t="shared" si="62"/>
        <v>0</v>
      </c>
      <c r="CT73">
        <f t="shared" si="62"/>
        <v>0</v>
      </c>
      <c r="CU73">
        <f t="shared" si="62"/>
        <v>0</v>
      </c>
      <c r="CV73">
        <f t="shared" si="62"/>
        <v>0</v>
      </c>
      <c r="CW73">
        <f t="shared" si="62"/>
        <v>0</v>
      </c>
      <c r="CX73">
        <f t="shared" si="62"/>
        <v>0</v>
      </c>
      <c r="CY73">
        <f t="shared" si="62"/>
        <v>0</v>
      </c>
      <c r="CZ73">
        <f t="shared" si="62"/>
        <v>0</v>
      </c>
      <c r="DA73">
        <f t="shared" si="62"/>
        <v>0</v>
      </c>
      <c r="DB73">
        <f t="shared" si="62"/>
        <v>0</v>
      </c>
      <c r="DC73">
        <f t="shared" si="62"/>
        <v>0</v>
      </c>
      <c r="DD73">
        <f t="shared" si="62"/>
        <v>0</v>
      </c>
      <c r="DE73">
        <f t="shared" si="62"/>
        <v>0</v>
      </c>
      <c r="DF73">
        <f t="shared" si="62"/>
        <v>0</v>
      </c>
      <c r="DG73">
        <f t="shared" si="62"/>
        <v>0</v>
      </c>
      <c r="DH73">
        <f t="shared" si="62"/>
        <v>0</v>
      </c>
      <c r="DI73">
        <f t="shared" si="62"/>
        <v>0</v>
      </c>
      <c r="DJ73">
        <f t="shared" si="62"/>
        <v>0</v>
      </c>
      <c r="DK73">
        <f t="shared" si="62"/>
        <v>0</v>
      </c>
      <c r="DL73">
        <f t="shared" si="62"/>
        <v>0</v>
      </c>
      <c r="DM73">
        <f t="shared" si="62"/>
        <v>0</v>
      </c>
      <c r="DN73">
        <f t="shared" si="62"/>
        <v>0</v>
      </c>
      <c r="DO73">
        <f t="shared" si="62"/>
        <v>0</v>
      </c>
      <c r="DP73">
        <f t="shared" si="62"/>
        <v>0</v>
      </c>
      <c r="DQ73">
        <f t="shared" si="62"/>
        <v>0</v>
      </c>
      <c r="DR73">
        <f t="shared" si="62"/>
        <v>0</v>
      </c>
      <c r="DS73">
        <f t="shared" si="62"/>
        <v>0</v>
      </c>
      <c r="DT73">
        <f t="shared" si="62"/>
        <v>0</v>
      </c>
      <c r="DU73">
        <f t="shared" si="62"/>
        <v>0</v>
      </c>
      <c r="DV73">
        <f t="shared" si="62"/>
        <v>0</v>
      </c>
      <c r="DW73">
        <f t="shared" si="62"/>
        <v>0</v>
      </c>
      <c r="DX73">
        <f t="shared" si="62"/>
        <v>0</v>
      </c>
      <c r="DY73">
        <f t="shared" si="62"/>
        <v>0</v>
      </c>
      <c r="DZ73">
        <f t="shared" si="62"/>
        <v>0</v>
      </c>
      <c r="EA73">
        <f t="shared" si="62"/>
        <v>0</v>
      </c>
      <c r="EB73">
        <f t="shared" si="62"/>
        <v>0</v>
      </c>
      <c r="EC73">
        <f t="shared" si="58"/>
        <v>0</v>
      </c>
      <c r="ED73">
        <f t="shared" si="58"/>
        <v>0</v>
      </c>
      <c r="EE73">
        <f t="shared" si="58"/>
        <v>0</v>
      </c>
      <c r="EF73">
        <f t="shared" si="58"/>
        <v>0</v>
      </c>
      <c r="EG73">
        <f t="shared" si="58"/>
        <v>0</v>
      </c>
      <c r="EH73">
        <f t="shared" si="58"/>
        <v>0</v>
      </c>
      <c r="EI73">
        <f t="shared" si="58"/>
        <v>0</v>
      </c>
      <c r="EJ73">
        <f t="shared" si="58"/>
        <v>0</v>
      </c>
      <c r="EK73">
        <f t="shared" si="58"/>
        <v>0</v>
      </c>
      <c r="EL73">
        <f t="shared" si="58"/>
        <v>0</v>
      </c>
      <c r="EM73">
        <f t="shared" si="58"/>
        <v>0</v>
      </c>
      <c r="EN73">
        <f t="shared" si="58"/>
        <v>0</v>
      </c>
      <c r="EO73">
        <f t="shared" si="58"/>
        <v>0</v>
      </c>
      <c r="EP73">
        <f t="shared" si="58"/>
        <v>0</v>
      </c>
      <c r="EQ73">
        <f t="shared" si="58"/>
        <v>0</v>
      </c>
      <c r="ER73">
        <f t="shared" si="58"/>
        <v>0</v>
      </c>
      <c r="ES73">
        <f t="shared" si="58"/>
        <v>0</v>
      </c>
      <c r="ET73">
        <f t="shared" si="58"/>
        <v>0</v>
      </c>
      <c r="EU73">
        <f t="shared" si="58"/>
        <v>0</v>
      </c>
      <c r="EV73">
        <f t="shared" si="58"/>
        <v>0</v>
      </c>
      <c r="EW73">
        <f t="shared" si="58"/>
        <v>0</v>
      </c>
      <c r="EX73">
        <f t="shared" si="58"/>
        <v>0</v>
      </c>
      <c r="EY73">
        <f t="shared" si="58"/>
        <v>0</v>
      </c>
      <c r="EZ73">
        <f t="shared" si="58"/>
        <v>0</v>
      </c>
      <c r="FA73">
        <f t="shared" si="58"/>
        <v>0</v>
      </c>
      <c r="FB73">
        <f t="shared" si="58"/>
        <v>0</v>
      </c>
      <c r="FC73">
        <f t="shared" si="58"/>
        <v>0</v>
      </c>
      <c r="FD73">
        <f t="shared" si="58"/>
        <v>0</v>
      </c>
      <c r="FE73">
        <f t="shared" si="58"/>
        <v>0</v>
      </c>
      <c r="FF73">
        <f t="shared" si="58"/>
        <v>0</v>
      </c>
      <c r="FG73">
        <f t="shared" si="58"/>
        <v>0</v>
      </c>
      <c r="FH73">
        <f t="shared" si="58"/>
        <v>0</v>
      </c>
      <c r="FI73">
        <f t="shared" si="58"/>
        <v>0</v>
      </c>
      <c r="FJ73">
        <f t="shared" si="58"/>
        <v>0</v>
      </c>
      <c r="FK73">
        <f t="shared" si="58"/>
        <v>0</v>
      </c>
      <c r="FL73">
        <f t="shared" si="58"/>
        <v>0</v>
      </c>
      <c r="FM73">
        <f t="shared" si="58"/>
        <v>0</v>
      </c>
      <c r="FN73">
        <f t="shared" si="58"/>
        <v>0</v>
      </c>
      <c r="FO73">
        <f t="shared" si="58"/>
        <v>0</v>
      </c>
      <c r="FP73">
        <f t="shared" si="58"/>
        <v>0</v>
      </c>
      <c r="FQ73">
        <f t="shared" si="58"/>
        <v>0</v>
      </c>
      <c r="FR73">
        <f t="shared" si="58"/>
        <v>0</v>
      </c>
      <c r="FS73">
        <f t="shared" si="58"/>
        <v>0</v>
      </c>
      <c r="FT73">
        <f t="shared" si="58"/>
        <v>0</v>
      </c>
      <c r="FU73">
        <f t="shared" si="58"/>
        <v>0</v>
      </c>
    </row>
    <row r="74" spans="1:177" x14ac:dyDescent="0.25">
      <c r="A74" t="str">
        <f t="shared" ref="A74:D74" si="63">A34</f>
        <v>USP-S</v>
      </c>
      <c r="B74" t="str">
        <f t="shared" si="63"/>
        <v>Kill Confirmed BS</v>
      </c>
      <c r="C74" t="str">
        <f t="shared" si="63"/>
        <v>Pistol</v>
      </c>
      <c r="D74" t="str">
        <f t="shared" si="63"/>
        <v>Shadow</v>
      </c>
      <c r="E74">
        <f t="shared" si="11"/>
        <v>32.81</v>
      </c>
      <c r="F74">
        <f t="shared" ref="F74:BQ74" si="64">F34-ROUNDUP(F34*0.3,2)</f>
        <v>33.78</v>
      </c>
      <c r="G74">
        <f t="shared" si="64"/>
        <v>32.22</v>
      </c>
      <c r="H74">
        <f t="shared" si="64"/>
        <v>31.32</v>
      </c>
      <c r="I74">
        <f t="shared" si="64"/>
        <v>31.42</v>
      </c>
      <c r="J74">
        <f t="shared" si="64"/>
        <v>32.64</v>
      </c>
      <c r="K74">
        <f t="shared" si="64"/>
        <v>32.24</v>
      </c>
      <c r="L74">
        <f t="shared" si="64"/>
        <v>28.979999999999997</v>
      </c>
      <c r="M74">
        <f t="shared" si="64"/>
        <v>31.08</v>
      </c>
      <c r="N74">
        <f t="shared" si="64"/>
        <v>30.479999999999997</v>
      </c>
      <c r="O74">
        <f t="shared" si="64"/>
        <v>30.72</v>
      </c>
      <c r="P74">
        <f t="shared" si="64"/>
        <v>30.6</v>
      </c>
      <c r="Q74">
        <f t="shared" si="64"/>
        <v>29.71</v>
      </c>
      <c r="R74">
        <f t="shared" si="64"/>
        <v>29.19</v>
      </c>
      <c r="S74">
        <f t="shared" si="64"/>
        <v>28.65</v>
      </c>
      <c r="T74">
        <f t="shared" si="64"/>
        <v>29.95</v>
      </c>
      <c r="U74">
        <f t="shared" si="64"/>
        <v>30.71</v>
      </c>
      <c r="V74">
        <f t="shared" si="64"/>
        <v>31.4</v>
      </c>
      <c r="W74">
        <f t="shared" si="64"/>
        <v>30.96</v>
      </c>
      <c r="X74">
        <f t="shared" si="64"/>
        <v>30.33</v>
      </c>
      <c r="Y74">
        <f t="shared" si="64"/>
        <v>29.89</v>
      </c>
      <c r="Z74">
        <f t="shared" si="64"/>
        <v>0</v>
      </c>
      <c r="AA74">
        <f t="shared" si="64"/>
        <v>0</v>
      </c>
      <c r="AB74">
        <f t="shared" si="64"/>
        <v>0</v>
      </c>
      <c r="AC74">
        <f t="shared" si="64"/>
        <v>0</v>
      </c>
      <c r="AD74">
        <f t="shared" si="64"/>
        <v>0</v>
      </c>
      <c r="AE74">
        <f t="shared" si="64"/>
        <v>0</v>
      </c>
      <c r="AF74">
        <f t="shared" si="64"/>
        <v>0</v>
      </c>
      <c r="AG74">
        <f t="shared" si="64"/>
        <v>0</v>
      </c>
      <c r="AH74">
        <f t="shared" si="64"/>
        <v>0</v>
      </c>
      <c r="AI74">
        <f t="shared" si="64"/>
        <v>0</v>
      </c>
      <c r="AJ74">
        <f t="shared" si="64"/>
        <v>0</v>
      </c>
      <c r="AK74">
        <f t="shared" si="64"/>
        <v>0</v>
      </c>
      <c r="AL74">
        <f t="shared" si="64"/>
        <v>0</v>
      </c>
      <c r="AM74">
        <f t="shared" si="64"/>
        <v>0</v>
      </c>
      <c r="AN74">
        <f t="shared" si="64"/>
        <v>0</v>
      </c>
      <c r="AO74">
        <f t="shared" si="64"/>
        <v>0</v>
      </c>
      <c r="AP74">
        <f t="shared" si="64"/>
        <v>0</v>
      </c>
      <c r="AQ74">
        <f t="shared" si="64"/>
        <v>0</v>
      </c>
      <c r="AR74">
        <f t="shared" si="64"/>
        <v>0</v>
      </c>
      <c r="AS74">
        <f t="shared" si="64"/>
        <v>0</v>
      </c>
      <c r="AT74">
        <f t="shared" si="64"/>
        <v>0</v>
      </c>
      <c r="AU74">
        <f t="shared" si="64"/>
        <v>0</v>
      </c>
      <c r="AV74">
        <f t="shared" si="64"/>
        <v>0</v>
      </c>
      <c r="AW74">
        <f t="shared" si="64"/>
        <v>0</v>
      </c>
      <c r="AX74">
        <f t="shared" si="64"/>
        <v>0</v>
      </c>
      <c r="AY74">
        <f t="shared" si="64"/>
        <v>0</v>
      </c>
      <c r="AZ74">
        <f t="shared" si="64"/>
        <v>0</v>
      </c>
      <c r="BA74">
        <f t="shared" si="64"/>
        <v>0</v>
      </c>
      <c r="BB74">
        <f t="shared" si="64"/>
        <v>0</v>
      </c>
      <c r="BC74">
        <f t="shared" si="64"/>
        <v>0</v>
      </c>
      <c r="BD74">
        <f t="shared" si="64"/>
        <v>0</v>
      </c>
      <c r="BE74">
        <f t="shared" si="64"/>
        <v>0</v>
      </c>
      <c r="BF74">
        <f t="shared" si="64"/>
        <v>0</v>
      </c>
      <c r="BG74">
        <f t="shared" si="64"/>
        <v>0</v>
      </c>
      <c r="BH74">
        <f t="shared" si="64"/>
        <v>0</v>
      </c>
      <c r="BI74">
        <f t="shared" si="64"/>
        <v>0</v>
      </c>
      <c r="BJ74">
        <f t="shared" si="64"/>
        <v>0</v>
      </c>
      <c r="BK74">
        <f t="shared" si="64"/>
        <v>0</v>
      </c>
      <c r="BL74">
        <f t="shared" si="64"/>
        <v>0</v>
      </c>
      <c r="BM74">
        <f t="shared" si="64"/>
        <v>0</v>
      </c>
      <c r="BN74">
        <f t="shared" si="64"/>
        <v>0</v>
      </c>
      <c r="BO74">
        <f t="shared" si="64"/>
        <v>0</v>
      </c>
      <c r="BP74">
        <f t="shared" si="64"/>
        <v>0</v>
      </c>
      <c r="BQ74">
        <f t="shared" si="64"/>
        <v>0</v>
      </c>
      <c r="BR74">
        <f t="shared" si="62"/>
        <v>0</v>
      </c>
      <c r="BS74">
        <f t="shared" si="62"/>
        <v>0</v>
      </c>
      <c r="BT74">
        <f t="shared" si="62"/>
        <v>0</v>
      </c>
      <c r="BU74">
        <f t="shared" si="62"/>
        <v>0</v>
      </c>
      <c r="BV74">
        <f t="shared" si="62"/>
        <v>0</v>
      </c>
      <c r="BW74">
        <f t="shared" si="62"/>
        <v>0</v>
      </c>
      <c r="BX74">
        <f t="shared" si="62"/>
        <v>0</v>
      </c>
      <c r="BY74">
        <f t="shared" si="62"/>
        <v>0</v>
      </c>
      <c r="BZ74">
        <f t="shared" si="62"/>
        <v>0</v>
      </c>
      <c r="CA74">
        <f t="shared" si="62"/>
        <v>0</v>
      </c>
      <c r="CB74">
        <f t="shared" si="62"/>
        <v>0</v>
      </c>
      <c r="CC74">
        <f t="shared" si="62"/>
        <v>0</v>
      </c>
      <c r="CD74">
        <f t="shared" si="62"/>
        <v>0</v>
      </c>
      <c r="CE74">
        <f t="shared" si="62"/>
        <v>0</v>
      </c>
      <c r="CF74">
        <f t="shared" si="62"/>
        <v>0</v>
      </c>
      <c r="CG74">
        <f t="shared" si="62"/>
        <v>0</v>
      </c>
      <c r="CH74">
        <f t="shared" si="62"/>
        <v>0</v>
      </c>
      <c r="CI74">
        <f t="shared" si="62"/>
        <v>0</v>
      </c>
      <c r="CJ74">
        <f t="shared" si="62"/>
        <v>0</v>
      </c>
      <c r="CK74">
        <f t="shared" si="62"/>
        <v>0</v>
      </c>
      <c r="CL74">
        <f t="shared" si="62"/>
        <v>0</v>
      </c>
      <c r="CM74">
        <f t="shared" si="62"/>
        <v>0</v>
      </c>
      <c r="CN74">
        <f t="shared" si="62"/>
        <v>0</v>
      </c>
      <c r="CO74">
        <f t="shared" si="62"/>
        <v>0</v>
      </c>
      <c r="CP74">
        <f t="shared" si="62"/>
        <v>0</v>
      </c>
      <c r="CQ74">
        <f t="shared" si="62"/>
        <v>0</v>
      </c>
      <c r="CR74">
        <f t="shared" si="62"/>
        <v>0</v>
      </c>
      <c r="CS74">
        <f t="shared" si="62"/>
        <v>0</v>
      </c>
      <c r="CT74">
        <f t="shared" si="62"/>
        <v>0</v>
      </c>
      <c r="CU74">
        <f t="shared" si="62"/>
        <v>0</v>
      </c>
      <c r="CV74">
        <f t="shared" si="62"/>
        <v>0</v>
      </c>
      <c r="CW74">
        <f t="shared" si="62"/>
        <v>0</v>
      </c>
      <c r="CX74">
        <f t="shared" si="62"/>
        <v>0</v>
      </c>
      <c r="CY74">
        <f t="shared" si="62"/>
        <v>0</v>
      </c>
      <c r="CZ74">
        <f t="shared" si="62"/>
        <v>0</v>
      </c>
      <c r="DA74">
        <f t="shared" si="62"/>
        <v>0</v>
      </c>
      <c r="DB74">
        <f t="shared" si="62"/>
        <v>0</v>
      </c>
      <c r="DC74">
        <f t="shared" si="62"/>
        <v>0</v>
      </c>
      <c r="DD74">
        <f t="shared" si="62"/>
        <v>0</v>
      </c>
      <c r="DE74">
        <f t="shared" si="62"/>
        <v>0</v>
      </c>
      <c r="DF74">
        <f t="shared" si="62"/>
        <v>0</v>
      </c>
      <c r="DG74">
        <f t="shared" si="62"/>
        <v>0</v>
      </c>
      <c r="DH74">
        <f t="shared" si="62"/>
        <v>0</v>
      </c>
      <c r="DI74">
        <f t="shared" si="62"/>
        <v>0</v>
      </c>
      <c r="DJ74">
        <f t="shared" si="62"/>
        <v>0</v>
      </c>
      <c r="DK74">
        <f t="shared" si="62"/>
        <v>0</v>
      </c>
      <c r="DL74">
        <f t="shared" si="62"/>
        <v>0</v>
      </c>
      <c r="DM74">
        <f t="shared" si="62"/>
        <v>0</v>
      </c>
      <c r="DN74">
        <f t="shared" si="62"/>
        <v>0</v>
      </c>
      <c r="DO74">
        <f t="shared" si="62"/>
        <v>0</v>
      </c>
      <c r="DP74">
        <f t="shared" si="62"/>
        <v>0</v>
      </c>
      <c r="DQ74">
        <f t="shared" si="62"/>
        <v>0</v>
      </c>
      <c r="DR74">
        <f t="shared" si="62"/>
        <v>0</v>
      </c>
      <c r="DS74">
        <f t="shared" si="62"/>
        <v>0</v>
      </c>
      <c r="DT74">
        <f t="shared" si="62"/>
        <v>0</v>
      </c>
      <c r="DU74">
        <f t="shared" si="62"/>
        <v>0</v>
      </c>
      <c r="DV74">
        <f t="shared" si="62"/>
        <v>0</v>
      </c>
      <c r="DW74">
        <f t="shared" si="62"/>
        <v>0</v>
      </c>
      <c r="DX74">
        <f t="shared" si="62"/>
        <v>0</v>
      </c>
      <c r="DY74">
        <f t="shared" si="62"/>
        <v>0</v>
      </c>
      <c r="DZ74">
        <f t="shared" si="62"/>
        <v>0</v>
      </c>
      <c r="EA74">
        <f t="shared" si="62"/>
        <v>0</v>
      </c>
      <c r="EB74">
        <f t="shared" si="62"/>
        <v>0</v>
      </c>
      <c r="EC74">
        <f t="shared" si="58"/>
        <v>0</v>
      </c>
      <c r="ED74">
        <f t="shared" si="58"/>
        <v>0</v>
      </c>
      <c r="EE74">
        <f t="shared" si="58"/>
        <v>0</v>
      </c>
      <c r="EF74">
        <f t="shared" si="58"/>
        <v>0</v>
      </c>
      <c r="EG74">
        <f t="shared" si="58"/>
        <v>0</v>
      </c>
      <c r="EH74">
        <f t="shared" si="58"/>
        <v>0</v>
      </c>
      <c r="EI74">
        <f t="shared" si="58"/>
        <v>0</v>
      </c>
      <c r="EJ74">
        <f t="shared" si="58"/>
        <v>0</v>
      </c>
      <c r="EK74">
        <f t="shared" si="58"/>
        <v>0</v>
      </c>
      <c r="EL74">
        <f t="shared" si="58"/>
        <v>0</v>
      </c>
      <c r="EM74">
        <f t="shared" si="58"/>
        <v>0</v>
      </c>
      <c r="EN74">
        <f t="shared" si="58"/>
        <v>0</v>
      </c>
      <c r="EO74">
        <f t="shared" si="58"/>
        <v>0</v>
      </c>
      <c r="EP74">
        <f t="shared" si="58"/>
        <v>0</v>
      </c>
      <c r="EQ74">
        <f t="shared" si="58"/>
        <v>0</v>
      </c>
      <c r="ER74">
        <f t="shared" si="58"/>
        <v>0</v>
      </c>
      <c r="ES74">
        <f t="shared" si="58"/>
        <v>0</v>
      </c>
      <c r="ET74">
        <f t="shared" si="58"/>
        <v>0</v>
      </c>
      <c r="EU74">
        <f t="shared" si="58"/>
        <v>0</v>
      </c>
      <c r="EV74">
        <f t="shared" si="58"/>
        <v>0</v>
      </c>
      <c r="EW74">
        <f t="shared" si="58"/>
        <v>0</v>
      </c>
      <c r="EX74">
        <f t="shared" si="58"/>
        <v>0</v>
      </c>
      <c r="EY74">
        <f t="shared" si="58"/>
        <v>0</v>
      </c>
      <c r="EZ74">
        <f t="shared" si="58"/>
        <v>0</v>
      </c>
      <c r="FA74">
        <f t="shared" si="58"/>
        <v>0</v>
      </c>
      <c r="FB74">
        <f t="shared" si="58"/>
        <v>0</v>
      </c>
      <c r="FC74">
        <f t="shared" si="58"/>
        <v>0</v>
      </c>
      <c r="FD74">
        <f t="shared" si="58"/>
        <v>0</v>
      </c>
      <c r="FE74">
        <f t="shared" si="58"/>
        <v>0</v>
      </c>
      <c r="FF74">
        <f t="shared" si="58"/>
        <v>0</v>
      </c>
      <c r="FG74">
        <f t="shared" si="58"/>
        <v>0</v>
      </c>
      <c r="FH74">
        <f t="shared" si="58"/>
        <v>0</v>
      </c>
      <c r="FI74">
        <f t="shared" si="58"/>
        <v>0</v>
      </c>
      <c r="FJ74">
        <f t="shared" si="58"/>
        <v>0</v>
      </c>
      <c r="FK74">
        <f t="shared" si="58"/>
        <v>0</v>
      </c>
      <c r="FL74">
        <f t="shared" si="58"/>
        <v>0</v>
      </c>
      <c r="FM74">
        <f t="shared" si="58"/>
        <v>0</v>
      </c>
      <c r="FN74">
        <f t="shared" si="58"/>
        <v>0</v>
      </c>
      <c r="FO74">
        <f t="shared" si="58"/>
        <v>0</v>
      </c>
      <c r="FP74">
        <f t="shared" si="58"/>
        <v>0</v>
      </c>
      <c r="FQ74">
        <f t="shared" si="58"/>
        <v>0</v>
      </c>
      <c r="FR74">
        <f t="shared" si="58"/>
        <v>0</v>
      </c>
      <c r="FS74">
        <f t="shared" si="58"/>
        <v>0</v>
      </c>
      <c r="FT74">
        <f t="shared" si="58"/>
        <v>0</v>
      </c>
      <c r="FU74">
        <f t="shared" si="58"/>
        <v>0</v>
      </c>
    </row>
    <row r="77" spans="1:177" x14ac:dyDescent="0.25">
      <c r="D77" s="1" t="s">
        <v>186</v>
      </c>
      <c r="E77">
        <f>SUM(E44:E74)</f>
        <v>242.49</v>
      </c>
      <c r="F77">
        <f t="shared" ref="F77:BQ77" si="65">SUM(F44:F74)</f>
        <v>238.36000000000007</v>
      </c>
      <c r="G77">
        <f t="shared" si="65"/>
        <v>239.60000000000005</v>
      </c>
      <c r="H77">
        <f t="shared" si="65"/>
        <v>244.81</v>
      </c>
      <c r="I77">
        <f t="shared" si="65"/>
        <v>241.79000000000008</v>
      </c>
      <c r="J77">
        <f t="shared" si="65"/>
        <v>243.17000000000007</v>
      </c>
      <c r="K77">
        <f t="shared" si="65"/>
        <v>245.47</v>
      </c>
      <c r="L77">
        <f t="shared" si="65"/>
        <v>244.68999999999997</v>
      </c>
      <c r="M77">
        <f t="shared" si="65"/>
        <v>248.35000000000008</v>
      </c>
      <c r="N77">
        <f t="shared" si="65"/>
        <v>252.42999999999998</v>
      </c>
      <c r="O77">
        <f t="shared" si="65"/>
        <v>250.45</v>
      </c>
      <c r="P77">
        <f t="shared" si="65"/>
        <v>251.79999999999995</v>
      </c>
      <c r="Q77">
        <f t="shared" si="65"/>
        <v>250.02999999999997</v>
      </c>
      <c r="R77">
        <f t="shared" si="65"/>
        <v>249.55000000000004</v>
      </c>
      <c r="S77">
        <f t="shared" si="65"/>
        <v>246.60000000000002</v>
      </c>
      <c r="T77">
        <f t="shared" si="65"/>
        <v>255.02999999999997</v>
      </c>
      <c r="U77">
        <f t="shared" si="65"/>
        <v>258.98</v>
      </c>
      <c r="V77">
        <f t="shared" si="65"/>
        <v>262.26</v>
      </c>
      <c r="W77">
        <f t="shared" si="65"/>
        <v>262.79999999999995</v>
      </c>
      <c r="X77">
        <f t="shared" si="65"/>
        <v>280.91999999999996</v>
      </c>
      <c r="Y77">
        <f t="shared" si="65"/>
        <v>282.14999999999998</v>
      </c>
      <c r="Z77">
        <f t="shared" si="65"/>
        <v>0</v>
      </c>
      <c r="AA77">
        <f t="shared" si="65"/>
        <v>0</v>
      </c>
      <c r="AB77">
        <f t="shared" si="65"/>
        <v>0</v>
      </c>
      <c r="AC77">
        <f t="shared" si="65"/>
        <v>0</v>
      </c>
      <c r="AD77">
        <f t="shared" si="65"/>
        <v>0</v>
      </c>
      <c r="AE77">
        <f t="shared" si="65"/>
        <v>0</v>
      </c>
      <c r="AF77">
        <f t="shared" si="65"/>
        <v>0</v>
      </c>
      <c r="AG77">
        <f t="shared" si="65"/>
        <v>0</v>
      </c>
      <c r="AH77">
        <f t="shared" si="65"/>
        <v>0</v>
      </c>
      <c r="AI77">
        <f t="shared" si="65"/>
        <v>0</v>
      </c>
      <c r="AJ77">
        <f t="shared" si="65"/>
        <v>0</v>
      </c>
      <c r="AK77">
        <f t="shared" si="65"/>
        <v>0</v>
      </c>
      <c r="AL77">
        <f t="shared" si="65"/>
        <v>0</v>
      </c>
      <c r="AM77">
        <f t="shared" si="65"/>
        <v>0</v>
      </c>
      <c r="AN77">
        <f t="shared" si="65"/>
        <v>0</v>
      </c>
      <c r="AO77">
        <f t="shared" si="65"/>
        <v>0</v>
      </c>
      <c r="AP77">
        <f t="shared" si="65"/>
        <v>0</v>
      </c>
      <c r="AQ77">
        <f t="shared" si="65"/>
        <v>0</v>
      </c>
      <c r="AR77">
        <f t="shared" si="65"/>
        <v>0</v>
      </c>
      <c r="AS77">
        <f t="shared" si="65"/>
        <v>0</v>
      </c>
      <c r="AT77">
        <f t="shared" si="65"/>
        <v>0</v>
      </c>
      <c r="AU77">
        <f t="shared" si="65"/>
        <v>0</v>
      </c>
      <c r="AV77">
        <f t="shared" si="65"/>
        <v>0</v>
      </c>
      <c r="AW77">
        <f t="shared" si="65"/>
        <v>0</v>
      </c>
      <c r="AX77">
        <f t="shared" si="65"/>
        <v>0</v>
      </c>
      <c r="AY77">
        <f t="shared" si="65"/>
        <v>0</v>
      </c>
      <c r="AZ77">
        <f t="shared" si="65"/>
        <v>0</v>
      </c>
      <c r="BA77">
        <f t="shared" si="65"/>
        <v>0</v>
      </c>
      <c r="BB77">
        <f t="shared" si="65"/>
        <v>0</v>
      </c>
      <c r="BC77">
        <f t="shared" si="65"/>
        <v>0</v>
      </c>
      <c r="BD77">
        <f t="shared" si="65"/>
        <v>0</v>
      </c>
      <c r="BE77">
        <f t="shared" si="65"/>
        <v>0</v>
      </c>
      <c r="BF77">
        <f t="shared" si="65"/>
        <v>0</v>
      </c>
      <c r="BG77">
        <f t="shared" si="65"/>
        <v>0</v>
      </c>
      <c r="BH77">
        <f t="shared" si="65"/>
        <v>0</v>
      </c>
      <c r="BI77">
        <f t="shared" si="65"/>
        <v>0</v>
      </c>
      <c r="BJ77">
        <f t="shared" si="65"/>
        <v>0</v>
      </c>
      <c r="BK77">
        <f t="shared" si="65"/>
        <v>0</v>
      </c>
      <c r="BL77">
        <f t="shared" si="65"/>
        <v>0</v>
      </c>
      <c r="BM77">
        <f t="shared" si="65"/>
        <v>0</v>
      </c>
      <c r="BN77">
        <f t="shared" si="65"/>
        <v>0</v>
      </c>
      <c r="BO77">
        <f t="shared" si="65"/>
        <v>0</v>
      </c>
      <c r="BP77">
        <f t="shared" si="65"/>
        <v>0</v>
      </c>
      <c r="BQ77">
        <f t="shared" si="65"/>
        <v>0</v>
      </c>
      <c r="BR77">
        <f t="shared" ref="BR77:EC77" si="66">SUM(BR44:BR74)</f>
        <v>0</v>
      </c>
      <c r="BS77">
        <f t="shared" si="66"/>
        <v>0</v>
      </c>
      <c r="BT77">
        <f t="shared" si="66"/>
        <v>0</v>
      </c>
      <c r="BU77">
        <f t="shared" si="66"/>
        <v>0</v>
      </c>
      <c r="BV77">
        <f t="shared" si="66"/>
        <v>0</v>
      </c>
      <c r="BW77">
        <f t="shared" si="66"/>
        <v>0</v>
      </c>
      <c r="BX77">
        <f t="shared" si="66"/>
        <v>0</v>
      </c>
      <c r="BY77">
        <f t="shared" si="66"/>
        <v>0</v>
      </c>
      <c r="BZ77">
        <f t="shared" si="66"/>
        <v>0</v>
      </c>
      <c r="CA77">
        <f t="shared" si="66"/>
        <v>0</v>
      </c>
      <c r="CB77">
        <f t="shared" si="66"/>
        <v>0</v>
      </c>
      <c r="CC77">
        <f t="shared" si="66"/>
        <v>0</v>
      </c>
      <c r="CD77">
        <f t="shared" si="66"/>
        <v>0</v>
      </c>
      <c r="CE77">
        <f t="shared" si="66"/>
        <v>0</v>
      </c>
      <c r="CF77">
        <f t="shared" si="66"/>
        <v>0</v>
      </c>
      <c r="CG77">
        <f t="shared" si="66"/>
        <v>0</v>
      </c>
      <c r="CH77">
        <f t="shared" si="66"/>
        <v>0</v>
      </c>
      <c r="CI77">
        <f t="shared" si="66"/>
        <v>0</v>
      </c>
      <c r="CJ77">
        <f t="shared" si="66"/>
        <v>0</v>
      </c>
      <c r="CK77">
        <f t="shared" si="66"/>
        <v>0</v>
      </c>
      <c r="CL77">
        <f t="shared" si="66"/>
        <v>0</v>
      </c>
      <c r="CM77">
        <f t="shared" si="66"/>
        <v>0</v>
      </c>
      <c r="CN77">
        <f t="shared" si="66"/>
        <v>0</v>
      </c>
      <c r="CO77">
        <f t="shared" si="66"/>
        <v>0</v>
      </c>
      <c r="CP77">
        <f t="shared" si="66"/>
        <v>0</v>
      </c>
      <c r="CQ77">
        <f t="shared" si="66"/>
        <v>0</v>
      </c>
      <c r="CR77">
        <f t="shared" si="66"/>
        <v>0</v>
      </c>
      <c r="CS77">
        <f t="shared" si="66"/>
        <v>0</v>
      </c>
      <c r="CT77">
        <f t="shared" si="66"/>
        <v>0</v>
      </c>
      <c r="CU77">
        <f t="shared" si="66"/>
        <v>0</v>
      </c>
      <c r="CV77">
        <f t="shared" si="66"/>
        <v>0</v>
      </c>
      <c r="CW77">
        <f t="shared" si="66"/>
        <v>0</v>
      </c>
      <c r="CX77">
        <f t="shared" si="66"/>
        <v>0</v>
      </c>
      <c r="CY77">
        <f t="shared" si="66"/>
        <v>0</v>
      </c>
      <c r="CZ77">
        <f t="shared" si="66"/>
        <v>0</v>
      </c>
      <c r="DA77">
        <f t="shared" si="66"/>
        <v>0</v>
      </c>
      <c r="DB77">
        <f t="shared" si="66"/>
        <v>0</v>
      </c>
      <c r="DC77">
        <f t="shared" si="66"/>
        <v>0</v>
      </c>
      <c r="DD77">
        <f t="shared" si="66"/>
        <v>0</v>
      </c>
      <c r="DE77">
        <f t="shared" si="66"/>
        <v>0</v>
      </c>
      <c r="DF77">
        <f t="shared" si="66"/>
        <v>0</v>
      </c>
      <c r="DG77">
        <f t="shared" si="66"/>
        <v>0</v>
      </c>
      <c r="DH77">
        <f t="shared" si="66"/>
        <v>0</v>
      </c>
      <c r="DI77">
        <f t="shared" si="66"/>
        <v>0</v>
      </c>
      <c r="DJ77">
        <f t="shared" si="66"/>
        <v>0</v>
      </c>
      <c r="DK77">
        <f t="shared" si="66"/>
        <v>0</v>
      </c>
      <c r="DL77">
        <f t="shared" si="66"/>
        <v>0</v>
      </c>
      <c r="DM77">
        <f t="shared" si="66"/>
        <v>0</v>
      </c>
      <c r="DN77">
        <f t="shared" si="66"/>
        <v>0</v>
      </c>
      <c r="DO77">
        <f t="shared" si="66"/>
        <v>0</v>
      </c>
      <c r="DP77">
        <f t="shared" si="66"/>
        <v>0</v>
      </c>
      <c r="DQ77">
        <f t="shared" si="66"/>
        <v>0</v>
      </c>
      <c r="DR77">
        <f t="shared" si="66"/>
        <v>0</v>
      </c>
      <c r="DS77">
        <f t="shared" si="66"/>
        <v>0</v>
      </c>
      <c r="DT77">
        <f t="shared" si="66"/>
        <v>0</v>
      </c>
      <c r="DU77">
        <f t="shared" si="66"/>
        <v>0</v>
      </c>
      <c r="DV77">
        <f t="shared" si="66"/>
        <v>0</v>
      </c>
      <c r="DW77">
        <f t="shared" si="66"/>
        <v>0</v>
      </c>
      <c r="DX77">
        <f t="shared" si="66"/>
        <v>0</v>
      </c>
      <c r="DY77">
        <f t="shared" si="66"/>
        <v>0</v>
      </c>
      <c r="DZ77">
        <f t="shared" si="66"/>
        <v>0</v>
      </c>
      <c r="EA77">
        <f t="shared" si="66"/>
        <v>0</v>
      </c>
      <c r="EB77">
        <f t="shared" si="66"/>
        <v>0</v>
      </c>
      <c r="EC77">
        <f t="shared" si="66"/>
        <v>0</v>
      </c>
      <c r="ED77">
        <f t="shared" ref="ED77:FU77" si="67">SUM(ED44:ED74)</f>
        <v>0</v>
      </c>
      <c r="EE77">
        <f t="shared" si="67"/>
        <v>0</v>
      </c>
      <c r="EF77">
        <f t="shared" si="67"/>
        <v>0</v>
      </c>
      <c r="EG77">
        <f t="shared" si="67"/>
        <v>0</v>
      </c>
      <c r="EH77">
        <f t="shared" si="67"/>
        <v>0</v>
      </c>
      <c r="EI77">
        <f t="shared" si="67"/>
        <v>0</v>
      </c>
      <c r="EJ77">
        <f t="shared" si="67"/>
        <v>0</v>
      </c>
      <c r="EK77">
        <f t="shared" si="67"/>
        <v>0</v>
      </c>
      <c r="EL77">
        <f t="shared" si="67"/>
        <v>0</v>
      </c>
      <c r="EM77">
        <f t="shared" si="67"/>
        <v>0</v>
      </c>
      <c r="EN77">
        <f t="shared" si="67"/>
        <v>0</v>
      </c>
      <c r="EO77">
        <f t="shared" si="67"/>
        <v>0</v>
      </c>
      <c r="EP77">
        <f t="shared" si="67"/>
        <v>0</v>
      </c>
      <c r="EQ77">
        <f t="shared" si="67"/>
        <v>0</v>
      </c>
      <c r="ER77">
        <f t="shared" si="67"/>
        <v>0</v>
      </c>
      <c r="ES77">
        <f t="shared" si="67"/>
        <v>0</v>
      </c>
      <c r="ET77">
        <f t="shared" si="67"/>
        <v>0</v>
      </c>
      <c r="EU77">
        <f t="shared" si="67"/>
        <v>0</v>
      </c>
      <c r="EV77">
        <f t="shared" si="67"/>
        <v>0</v>
      </c>
      <c r="EW77">
        <f t="shared" si="67"/>
        <v>0</v>
      </c>
      <c r="EX77">
        <f t="shared" si="67"/>
        <v>0</v>
      </c>
      <c r="EY77">
        <f t="shared" si="67"/>
        <v>0</v>
      </c>
      <c r="EZ77">
        <f t="shared" si="67"/>
        <v>0</v>
      </c>
      <c r="FA77">
        <f t="shared" si="67"/>
        <v>0</v>
      </c>
      <c r="FB77">
        <f t="shared" si="67"/>
        <v>0</v>
      </c>
      <c r="FC77">
        <f t="shared" si="67"/>
        <v>0</v>
      </c>
      <c r="FD77">
        <f t="shared" si="67"/>
        <v>0</v>
      </c>
      <c r="FE77">
        <f t="shared" si="67"/>
        <v>0</v>
      </c>
      <c r="FF77">
        <f t="shared" si="67"/>
        <v>0</v>
      </c>
      <c r="FG77">
        <f t="shared" si="67"/>
        <v>0</v>
      </c>
      <c r="FH77">
        <f t="shared" si="67"/>
        <v>0</v>
      </c>
      <c r="FI77">
        <f t="shared" si="67"/>
        <v>0</v>
      </c>
      <c r="FJ77">
        <f t="shared" si="67"/>
        <v>0</v>
      </c>
      <c r="FK77">
        <f t="shared" si="67"/>
        <v>0</v>
      </c>
      <c r="FL77">
        <f t="shared" si="67"/>
        <v>0</v>
      </c>
      <c r="FM77">
        <f t="shared" si="67"/>
        <v>0</v>
      </c>
      <c r="FN77">
        <f t="shared" si="67"/>
        <v>0</v>
      </c>
      <c r="FO77">
        <f t="shared" si="67"/>
        <v>0</v>
      </c>
      <c r="FP77">
        <f t="shared" si="67"/>
        <v>0</v>
      </c>
      <c r="FQ77">
        <f t="shared" si="67"/>
        <v>0</v>
      </c>
      <c r="FR77">
        <f t="shared" si="67"/>
        <v>0</v>
      </c>
      <c r="FS77">
        <f t="shared" si="67"/>
        <v>0</v>
      </c>
      <c r="FT77">
        <f t="shared" si="67"/>
        <v>0</v>
      </c>
      <c r="FU77">
        <f t="shared" si="67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0415-09CF-4A1C-9484-A4A3D60CED5D}">
  <dimension ref="A1:FU37"/>
  <sheetViews>
    <sheetView topLeftCell="A4" workbookViewId="0">
      <pane xSplit="4" topLeftCell="E1" activePane="topRight" state="frozen"/>
      <selection pane="topRight" activeCell="E19" sqref="E19"/>
    </sheetView>
  </sheetViews>
  <sheetFormatPr defaultRowHeight="15" x14ac:dyDescent="0.25"/>
  <cols>
    <col min="1" max="1" width="17" customWidth="1"/>
    <col min="2" max="2" width="28.140625" customWidth="1"/>
    <col min="3" max="3" width="0" hidden="1" customWidth="1"/>
    <col min="5" max="177" width="10.42578125" customWidth="1"/>
  </cols>
  <sheetData>
    <row r="1" spans="1:177" x14ac:dyDescent="0.25">
      <c r="B1" t="s">
        <v>6</v>
      </c>
    </row>
    <row r="3" spans="1:177" x14ac:dyDescent="0.25">
      <c r="A3" s="1" t="s">
        <v>0</v>
      </c>
      <c r="B3" s="1" t="s">
        <v>1</v>
      </c>
      <c r="C3" s="1" t="s">
        <v>2</v>
      </c>
      <c r="D3" s="1" t="s">
        <v>8</v>
      </c>
      <c r="E3" s="2">
        <f>Inventory!E1</f>
        <v>44331</v>
      </c>
      <c r="F3" s="2">
        <f>Inventory!F1</f>
        <v>44332</v>
      </c>
      <c r="G3" s="2">
        <f>Inventory!G1</f>
        <v>44334</v>
      </c>
      <c r="H3" s="2">
        <f>Inventory!H1</f>
        <v>44336</v>
      </c>
      <c r="I3" s="2">
        <f>Inventory!I1</f>
        <v>44337</v>
      </c>
      <c r="J3" s="2">
        <f>Inventory!J1</f>
        <v>44338</v>
      </c>
      <c r="K3" s="2">
        <f>Inventory!K1</f>
        <v>44339</v>
      </c>
      <c r="L3" s="2">
        <f>Inventory!L1</f>
        <v>44340</v>
      </c>
      <c r="M3" s="2">
        <f>Inventory!M1</f>
        <v>44341</v>
      </c>
      <c r="N3" s="2">
        <f>Inventory!N1</f>
        <v>44342</v>
      </c>
      <c r="O3" s="2">
        <f>Inventory!O1</f>
        <v>44343</v>
      </c>
      <c r="P3" s="2">
        <f>Inventory!P1</f>
        <v>44344</v>
      </c>
      <c r="Q3" s="2">
        <f>Inventory!Q1</f>
        <v>44345</v>
      </c>
      <c r="R3" s="2">
        <f>Inventory!R1</f>
        <v>44346</v>
      </c>
      <c r="S3" s="2">
        <f>Inventory!S1</f>
        <v>44347</v>
      </c>
      <c r="T3" s="2">
        <f>Inventory!T1</f>
        <v>44348</v>
      </c>
      <c r="U3" s="2">
        <f>Inventory!U1</f>
        <v>44349</v>
      </c>
      <c r="V3" s="2">
        <f>Inventory!V1</f>
        <v>44350</v>
      </c>
      <c r="W3" s="2">
        <f>Inventory!W1</f>
        <v>44351</v>
      </c>
      <c r="X3" s="2">
        <f>Inventory!X1</f>
        <v>44352</v>
      </c>
      <c r="Y3" s="2">
        <f>Inventory!Y1</f>
        <v>44353</v>
      </c>
      <c r="Z3" s="2">
        <f>Inventory!Z1</f>
        <v>44354</v>
      </c>
      <c r="AA3" s="2">
        <f>Inventory!AA1</f>
        <v>44355</v>
      </c>
      <c r="AB3" s="2">
        <f>Inventory!AB1</f>
        <v>44356</v>
      </c>
      <c r="AC3" s="2">
        <f>Inventory!AC1</f>
        <v>44357</v>
      </c>
      <c r="AD3" s="2">
        <f>Inventory!AD1</f>
        <v>44358</v>
      </c>
      <c r="AE3" s="2">
        <f>Inventory!AE1</f>
        <v>44359</v>
      </c>
      <c r="AF3" s="2">
        <f>Inventory!AF1</f>
        <v>44360</v>
      </c>
      <c r="AG3" s="2">
        <f>Inventory!AG1</f>
        <v>44361</v>
      </c>
      <c r="AH3" s="2">
        <f>Inventory!AH1</f>
        <v>44362</v>
      </c>
      <c r="AI3" s="2">
        <f>Inventory!AI1</f>
        <v>44363</v>
      </c>
      <c r="AJ3" s="2">
        <f>Inventory!AJ1</f>
        <v>44364</v>
      </c>
      <c r="AK3" s="2">
        <f>Inventory!AK1</f>
        <v>44365</v>
      </c>
      <c r="AL3" s="2">
        <f>Inventory!AL1</f>
        <v>44366</v>
      </c>
      <c r="AM3" s="2">
        <f>Inventory!AM1</f>
        <v>44367</v>
      </c>
      <c r="AN3" s="2">
        <f>Inventory!AN1</f>
        <v>44368</v>
      </c>
      <c r="AO3" s="2">
        <f>Inventory!AO1</f>
        <v>44369</v>
      </c>
      <c r="AP3" s="2">
        <f>Inventory!AP1</f>
        <v>44370</v>
      </c>
      <c r="AQ3" s="2">
        <f>Inventory!AQ1</f>
        <v>44371</v>
      </c>
      <c r="AR3" s="2">
        <f>Inventory!AR1</f>
        <v>44372</v>
      </c>
      <c r="AS3" s="2">
        <f>Inventory!AS1</f>
        <v>44373</v>
      </c>
      <c r="AT3" s="2">
        <f>Inventory!AT1</f>
        <v>44374</v>
      </c>
      <c r="AU3" s="2">
        <f>Inventory!AU1</f>
        <v>44375</v>
      </c>
      <c r="AV3" s="2">
        <f>Inventory!AV1</f>
        <v>44376</v>
      </c>
      <c r="AW3" s="2">
        <f>Inventory!AW1</f>
        <v>44377</v>
      </c>
      <c r="AX3" s="2">
        <f>Inventory!AX1</f>
        <v>44378</v>
      </c>
      <c r="AY3" s="2">
        <f>Inventory!AY1</f>
        <v>44379</v>
      </c>
      <c r="AZ3" s="2">
        <f>Inventory!AZ1</f>
        <v>44380</v>
      </c>
      <c r="BA3" s="2">
        <f>Inventory!BA1</f>
        <v>44381</v>
      </c>
      <c r="BB3" s="2">
        <f>Inventory!BB1</f>
        <v>44382</v>
      </c>
      <c r="BC3" s="2">
        <f>Inventory!BC1</f>
        <v>44383</v>
      </c>
      <c r="BD3" s="2">
        <f>Inventory!BD1</f>
        <v>44384</v>
      </c>
      <c r="BE3" s="2">
        <f>Inventory!BE1</f>
        <v>44385</v>
      </c>
      <c r="BF3" s="2">
        <f>Inventory!BF1</f>
        <v>44386</v>
      </c>
      <c r="BG3" s="2">
        <f>Inventory!BG1</f>
        <v>44387</v>
      </c>
      <c r="BH3" s="2">
        <f>Inventory!BH1</f>
        <v>44388</v>
      </c>
      <c r="BI3" s="2">
        <f>Inventory!BI1</f>
        <v>44389</v>
      </c>
      <c r="BJ3" s="2">
        <f>Inventory!BJ1</f>
        <v>44390</v>
      </c>
      <c r="BK3" s="2">
        <f>Inventory!BK1</f>
        <v>44391</v>
      </c>
      <c r="BL3" s="2">
        <f>Inventory!BL1</f>
        <v>44392</v>
      </c>
      <c r="BM3" s="2">
        <f>Inventory!BM1</f>
        <v>44393</v>
      </c>
      <c r="BN3" s="2">
        <f>Inventory!BN1</f>
        <v>44394</v>
      </c>
      <c r="BO3" s="2">
        <f>Inventory!BO1</f>
        <v>44395</v>
      </c>
      <c r="BP3" s="2">
        <f>Inventory!BP1</f>
        <v>44396</v>
      </c>
      <c r="BQ3" s="2">
        <f>Inventory!BQ1</f>
        <v>44397</v>
      </c>
      <c r="BR3" s="2">
        <f>Inventory!BR1</f>
        <v>44398</v>
      </c>
      <c r="BS3" s="2">
        <f>Inventory!BS1</f>
        <v>44399</v>
      </c>
      <c r="BT3" s="2">
        <f>Inventory!BT1</f>
        <v>44400</v>
      </c>
      <c r="BU3" s="2">
        <f>Inventory!BU1</f>
        <v>44401</v>
      </c>
      <c r="BV3" s="2">
        <f>Inventory!BV1</f>
        <v>44402</v>
      </c>
      <c r="BW3" s="2">
        <f>Inventory!BW1</f>
        <v>44403</v>
      </c>
      <c r="BX3" s="2">
        <f>Inventory!BX1</f>
        <v>44404</v>
      </c>
      <c r="BY3" s="2">
        <f>Inventory!BY1</f>
        <v>44405</v>
      </c>
      <c r="BZ3" s="2">
        <f>Inventory!BZ1</f>
        <v>44406</v>
      </c>
      <c r="CA3" s="2">
        <f>Inventory!CA1</f>
        <v>44407</v>
      </c>
      <c r="CB3" s="2">
        <f>Inventory!CB1</f>
        <v>44408</v>
      </c>
      <c r="CC3" s="2">
        <f>Inventory!CC1</f>
        <v>44409</v>
      </c>
      <c r="CD3" s="2">
        <f>Inventory!CD1</f>
        <v>44410</v>
      </c>
      <c r="CE3" s="2">
        <f>Inventory!CE1</f>
        <v>44411</v>
      </c>
      <c r="CF3" s="2">
        <f>Inventory!CF1</f>
        <v>44412</v>
      </c>
      <c r="CG3" s="2">
        <f>Inventory!CG1</f>
        <v>44413</v>
      </c>
      <c r="CH3" s="2">
        <f>Inventory!CH1</f>
        <v>44414</v>
      </c>
      <c r="CI3" s="2">
        <f>Inventory!CI1</f>
        <v>44415</v>
      </c>
      <c r="CJ3" s="2">
        <f>Inventory!CJ1</f>
        <v>44416</v>
      </c>
      <c r="CK3" s="2">
        <f>Inventory!CK1</f>
        <v>44417</v>
      </c>
      <c r="CL3" s="2">
        <f>Inventory!CL1</f>
        <v>44418</v>
      </c>
      <c r="CM3" s="2">
        <f>Inventory!CM1</f>
        <v>44419</v>
      </c>
      <c r="CN3" s="2">
        <f>Inventory!CN1</f>
        <v>44420</v>
      </c>
      <c r="CO3" s="2">
        <f>Inventory!CO1</f>
        <v>44421</v>
      </c>
      <c r="CP3" s="2">
        <f>Inventory!CP1</f>
        <v>44422</v>
      </c>
      <c r="CQ3" s="2">
        <f>Inventory!CQ1</f>
        <v>44423</v>
      </c>
      <c r="CR3" s="2">
        <f>Inventory!CR1</f>
        <v>44424</v>
      </c>
      <c r="CS3" s="2">
        <f>Inventory!CS1</f>
        <v>44425</v>
      </c>
      <c r="CT3" s="2">
        <f>Inventory!CT1</f>
        <v>44426</v>
      </c>
      <c r="CU3" s="2">
        <f>Inventory!CU1</f>
        <v>44427</v>
      </c>
      <c r="CV3" s="2">
        <f>Inventory!CV1</f>
        <v>44428</v>
      </c>
      <c r="CW3" s="2">
        <f>Inventory!CW1</f>
        <v>44429</v>
      </c>
      <c r="CX3" s="2">
        <f>Inventory!CX1</f>
        <v>44430</v>
      </c>
      <c r="CY3" s="2">
        <f>Inventory!CY1</f>
        <v>44431</v>
      </c>
      <c r="CZ3" s="2">
        <f>Inventory!CZ1</f>
        <v>44432</v>
      </c>
      <c r="DA3" s="2">
        <f>Inventory!DA1</f>
        <v>44433</v>
      </c>
      <c r="DB3" s="2">
        <f>Inventory!DB1</f>
        <v>44434</v>
      </c>
      <c r="DC3" s="2">
        <f>Inventory!DC1</f>
        <v>44435</v>
      </c>
      <c r="DD3" s="2">
        <f>Inventory!DD1</f>
        <v>44436</v>
      </c>
      <c r="DE3" s="2">
        <f>Inventory!DE1</f>
        <v>44437</v>
      </c>
      <c r="DF3" s="2">
        <f>Inventory!DF1</f>
        <v>44438</v>
      </c>
      <c r="DG3" s="2">
        <f>Inventory!DG1</f>
        <v>44439</v>
      </c>
      <c r="DH3" s="2">
        <f>Inventory!DH1</f>
        <v>44440</v>
      </c>
      <c r="DI3" s="2">
        <f>Inventory!DI1</f>
        <v>44441</v>
      </c>
      <c r="DJ3" s="2">
        <f>Inventory!DJ1</f>
        <v>44442</v>
      </c>
      <c r="DK3" s="2">
        <f>Inventory!DK1</f>
        <v>44443</v>
      </c>
      <c r="DL3" s="2">
        <f>Inventory!DL1</f>
        <v>44444</v>
      </c>
      <c r="DM3" s="2">
        <f>Inventory!DM1</f>
        <v>44445</v>
      </c>
      <c r="DN3" s="2">
        <f>Inventory!DN1</f>
        <v>44446</v>
      </c>
      <c r="DO3" s="2">
        <f>Inventory!DO1</f>
        <v>44447</v>
      </c>
      <c r="DP3" s="2">
        <f>Inventory!DP1</f>
        <v>44448</v>
      </c>
      <c r="DQ3" s="2">
        <f>Inventory!DQ1</f>
        <v>44449</v>
      </c>
      <c r="DR3" s="2">
        <f>Inventory!DR1</f>
        <v>44450</v>
      </c>
      <c r="DS3" s="2">
        <f>Inventory!DS1</f>
        <v>44451</v>
      </c>
      <c r="DT3" s="2">
        <f>Inventory!DT1</f>
        <v>44452</v>
      </c>
      <c r="DU3" s="2">
        <f>Inventory!DU1</f>
        <v>44453</v>
      </c>
      <c r="DV3" s="2">
        <f>Inventory!DV1</f>
        <v>44454</v>
      </c>
      <c r="DW3" s="2">
        <f>Inventory!DW1</f>
        <v>44455</v>
      </c>
      <c r="DX3" s="2">
        <f>Inventory!DX1</f>
        <v>44456</v>
      </c>
      <c r="DY3" s="2">
        <f>Inventory!DY1</f>
        <v>44457</v>
      </c>
      <c r="DZ3" s="2">
        <f>Inventory!DZ1</f>
        <v>44458</v>
      </c>
      <c r="EA3" s="2">
        <f>Inventory!EA1</f>
        <v>44459</v>
      </c>
      <c r="EB3" s="2">
        <f>Inventory!EB1</f>
        <v>44460</v>
      </c>
      <c r="EC3" s="2">
        <f>Inventory!EC1</f>
        <v>44461</v>
      </c>
      <c r="ED3" s="2">
        <f>Inventory!ED1</f>
        <v>44462</v>
      </c>
      <c r="EE3" s="2">
        <f>Inventory!EE1</f>
        <v>44463</v>
      </c>
      <c r="EF3" s="2">
        <f>Inventory!EF1</f>
        <v>44464</v>
      </c>
      <c r="EG3" s="2">
        <f>Inventory!EG1</f>
        <v>44465</v>
      </c>
      <c r="EH3" s="2">
        <f>Inventory!EH1</f>
        <v>44466</v>
      </c>
      <c r="EI3" s="2">
        <f>Inventory!EI1</f>
        <v>44467</v>
      </c>
      <c r="EJ3" s="2">
        <f>Inventory!EJ1</f>
        <v>44468</v>
      </c>
      <c r="EK3" s="2">
        <f>Inventory!EK1</f>
        <v>44469</v>
      </c>
      <c r="EL3" s="2">
        <f>Inventory!EL1</f>
        <v>44470</v>
      </c>
      <c r="EM3" s="2">
        <f>Inventory!EM1</f>
        <v>44471</v>
      </c>
      <c r="EN3" s="2">
        <f>Inventory!EN1</f>
        <v>44472</v>
      </c>
      <c r="EO3" s="2">
        <f>Inventory!EO1</f>
        <v>44473</v>
      </c>
      <c r="EP3" s="2">
        <f>Inventory!EP1</f>
        <v>44474</v>
      </c>
      <c r="EQ3" s="2">
        <f>Inventory!EQ1</f>
        <v>44475</v>
      </c>
      <c r="ER3" s="2">
        <f>Inventory!ER1</f>
        <v>44476</v>
      </c>
      <c r="ES3" s="2">
        <f>Inventory!ES1</f>
        <v>44477</v>
      </c>
      <c r="ET3" s="2">
        <f>Inventory!ET1</f>
        <v>44478</v>
      </c>
      <c r="EU3" s="2">
        <f>Inventory!EU1</f>
        <v>44479</v>
      </c>
      <c r="EV3" s="2">
        <f>Inventory!EV1</f>
        <v>44480</v>
      </c>
      <c r="EW3" s="2">
        <f>Inventory!EW1</f>
        <v>44481</v>
      </c>
      <c r="EX3" s="2">
        <f>Inventory!EX1</f>
        <v>44482</v>
      </c>
      <c r="EY3" s="2">
        <f>Inventory!EY1</f>
        <v>44483</v>
      </c>
      <c r="EZ3" s="2">
        <f>Inventory!EZ1</f>
        <v>44484</v>
      </c>
      <c r="FA3" s="2">
        <f>Inventory!FA1</f>
        <v>44485</v>
      </c>
      <c r="FB3" s="2">
        <f>Inventory!FB1</f>
        <v>44486</v>
      </c>
      <c r="FC3" s="2">
        <f>Inventory!FC1</f>
        <v>44487</v>
      </c>
      <c r="FD3" s="2">
        <f>Inventory!FD1</f>
        <v>44488</v>
      </c>
      <c r="FE3" s="2">
        <f>Inventory!FE1</f>
        <v>44489</v>
      </c>
      <c r="FF3" s="2">
        <f>Inventory!FF1</f>
        <v>44490</v>
      </c>
      <c r="FG3" s="2">
        <f>Inventory!FG1</f>
        <v>44491</v>
      </c>
      <c r="FH3" s="2">
        <f>Inventory!FH1</f>
        <v>44492</v>
      </c>
      <c r="FI3" s="2">
        <f>Inventory!FI1</f>
        <v>44493</v>
      </c>
      <c r="FJ3" s="2">
        <f>Inventory!FJ1</f>
        <v>44494</v>
      </c>
      <c r="FK3" s="2">
        <f>Inventory!FK1</f>
        <v>44495</v>
      </c>
      <c r="FL3" s="2">
        <f>Inventory!FL1</f>
        <v>44496</v>
      </c>
      <c r="FM3" s="2">
        <f>Inventory!FM1</f>
        <v>44497</v>
      </c>
      <c r="FN3" s="2">
        <f>Inventory!FN1</f>
        <v>44498</v>
      </c>
      <c r="FO3" s="2">
        <f>Inventory!FO1</f>
        <v>44499</v>
      </c>
      <c r="FP3" s="2">
        <f>Inventory!FP1</f>
        <v>44500</v>
      </c>
      <c r="FQ3" s="2">
        <f>Inventory!FQ1</f>
        <v>44501</v>
      </c>
      <c r="FR3" s="2">
        <f>Inventory!FR1</f>
        <v>44502</v>
      </c>
      <c r="FS3" s="2">
        <f>Inventory!FS1</f>
        <v>44503</v>
      </c>
      <c r="FT3" s="2">
        <f>Inventory!FT1</f>
        <v>44504</v>
      </c>
      <c r="FU3" s="2">
        <f>Inventory!FU1</f>
        <v>44505</v>
      </c>
    </row>
    <row r="4" spans="1:177" x14ac:dyDescent="0.25">
      <c r="A4" t="str" cm="1">
        <f t="array" ref="A4:FU14">_xlfn._xlws.FILTER(Inventory!$A$2:$FU$103, (Inventory!C2:C103="Heavy"))</f>
        <v>Sawed-Off</v>
      </c>
      <c r="B4" t="str">
        <v>Limelight MW</v>
      </c>
      <c r="C4" t="str">
        <v>Heavy</v>
      </c>
      <c r="D4" t="str">
        <v>Gamma</v>
      </c>
      <c r="E4">
        <v>0.89</v>
      </c>
      <c r="F4">
        <v>0.88</v>
      </c>
      <c r="G4">
        <v>0.96</v>
      </c>
      <c r="H4">
        <v>0.92</v>
      </c>
      <c r="I4">
        <v>0.87</v>
      </c>
      <c r="J4">
        <v>0.92</v>
      </c>
      <c r="K4">
        <v>0.86</v>
      </c>
      <c r="L4">
        <v>0.87</v>
      </c>
      <c r="M4">
        <v>0.88</v>
      </c>
      <c r="N4">
        <v>0.94</v>
      </c>
      <c r="O4">
        <v>0.93</v>
      </c>
      <c r="P4">
        <v>0.84</v>
      </c>
      <c r="Q4">
        <v>0.87</v>
      </c>
      <c r="R4">
        <v>0.86</v>
      </c>
      <c r="S4">
        <v>0.93</v>
      </c>
      <c r="T4">
        <v>0.82</v>
      </c>
      <c r="U4">
        <v>0.88</v>
      </c>
      <c r="V4">
        <v>0.77</v>
      </c>
      <c r="W4">
        <v>0.89</v>
      </c>
      <c r="X4">
        <v>0.92</v>
      </c>
      <c r="Y4">
        <v>0.85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</row>
    <row r="5" spans="1:177" x14ac:dyDescent="0.25">
      <c r="A5" t="str">
        <v>MAG-7</v>
      </c>
      <c r="B5" t="str">
        <v>Popdog FN</v>
      </c>
      <c r="C5" t="str">
        <v>Heavy</v>
      </c>
      <c r="D5" t="str">
        <v>CS20</v>
      </c>
      <c r="E5">
        <v>0.3</v>
      </c>
      <c r="F5">
        <v>0.3</v>
      </c>
      <c r="G5">
        <v>0.34</v>
      </c>
      <c r="H5">
        <v>0.34</v>
      </c>
      <c r="I5">
        <v>0.32</v>
      </c>
      <c r="J5">
        <v>0.36</v>
      </c>
      <c r="K5">
        <v>0.34</v>
      </c>
      <c r="L5">
        <v>0.3</v>
      </c>
      <c r="M5">
        <v>0.34</v>
      </c>
      <c r="N5">
        <v>0.32</v>
      </c>
      <c r="O5">
        <v>0.34</v>
      </c>
      <c r="P5">
        <v>0.3</v>
      </c>
      <c r="Q5">
        <v>0.31</v>
      </c>
      <c r="R5">
        <v>0.32</v>
      </c>
      <c r="S5">
        <v>0.3</v>
      </c>
      <c r="T5">
        <v>0.32</v>
      </c>
      <c r="U5">
        <v>0.32</v>
      </c>
      <c r="V5">
        <v>0.28999999999999998</v>
      </c>
      <c r="W5">
        <v>0.28999999999999998</v>
      </c>
      <c r="X5">
        <v>0.28999999999999998</v>
      </c>
      <c r="Y5">
        <v>0.28000000000000003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</row>
    <row r="6" spans="1:177" x14ac:dyDescent="0.25">
      <c r="A6" t="str">
        <v>XM1014</v>
      </c>
      <c r="B6" t="str">
        <v>Souvenir VariCamo Blue FN</v>
      </c>
      <c r="C6" t="str">
        <v>Heavy</v>
      </c>
      <c r="D6" t="str">
        <v>Overpass</v>
      </c>
      <c r="E6">
        <v>3.61</v>
      </c>
      <c r="F6">
        <v>3.49</v>
      </c>
      <c r="G6">
        <v>3.47</v>
      </c>
      <c r="H6">
        <v>3.92</v>
      </c>
      <c r="I6">
        <v>3.58</v>
      </c>
      <c r="J6">
        <v>3.49</v>
      </c>
      <c r="K6">
        <v>3.49</v>
      </c>
      <c r="L6">
        <v>3.49</v>
      </c>
      <c r="M6">
        <v>3.05</v>
      </c>
      <c r="N6">
        <v>3.46</v>
      </c>
      <c r="O6">
        <v>3.46</v>
      </c>
      <c r="P6">
        <v>4.21</v>
      </c>
      <c r="Q6">
        <v>3.94</v>
      </c>
      <c r="R6">
        <v>3.62</v>
      </c>
      <c r="S6">
        <v>3.86</v>
      </c>
      <c r="T6">
        <v>3.8</v>
      </c>
      <c r="U6">
        <v>3.8</v>
      </c>
      <c r="V6">
        <v>3.72</v>
      </c>
      <c r="W6">
        <v>3.1</v>
      </c>
      <c r="X6">
        <v>3.06</v>
      </c>
      <c r="Y6">
        <v>3.08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</row>
    <row r="7" spans="1:177" x14ac:dyDescent="0.25">
      <c r="A7" t="str">
        <v>MAG-7</v>
      </c>
      <c r="B7" t="str">
        <v>SWAG-7 FT</v>
      </c>
      <c r="C7" t="str">
        <v>Heavy</v>
      </c>
      <c r="D7" t="str">
        <v>Clutch</v>
      </c>
      <c r="E7">
        <v>0.35</v>
      </c>
      <c r="F7">
        <v>0.34</v>
      </c>
      <c r="G7">
        <v>0.34</v>
      </c>
      <c r="H7">
        <v>0.34</v>
      </c>
      <c r="I7">
        <v>0.31</v>
      </c>
      <c r="J7">
        <v>0.3</v>
      </c>
      <c r="K7">
        <v>0.3</v>
      </c>
      <c r="L7">
        <v>0.31</v>
      </c>
      <c r="M7">
        <v>0.34</v>
      </c>
      <c r="N7">
        <v>0.34</v>
      </c>
      <c r="O7">
        <v>0.32</v>
      </c>
      <c r="P7">
        <v>0.31</v>
      </c>
      <c r="Q7">
        <v>0.31</v>
      </c>
      <c r="R7">
        <v>0.31</v>
      </c>
      <c r="S7">
        <v>0.32</v>
      </c>
      <c r="T7">
        <v>0.3</v>
      </c>
      <c r="U7">
        <v>0.31</v>
      </c>
      <c r="V7">
        <v>0.32</v>
      </c>
      <c r="W7">
        <v>0.3</v>
      </c>
      <c r="X7">
        <v>0.3</v>
      </c>
      <c r="Y7">
        <v>0.28000000000000003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</row>
    <row r="8" spans="1:177" x14ac:dyDescent="0.25">
      <c r="A8" t="str">
        <v>Nova</v>
      </c>
      <c r="B8" t="str">
        <v>Toy Soldier MW</v>
      </c>
      <c r="C8" t="str">
        <v>Heavy</v>
      </c>
      <c r="D8" t="str">
        <v>Horizon</v>
      </c>
      <c r="E8">
        <v>0.82</v>
      </c>
      <c r="F8">
        <v>0.77</v>
      </c>
      <c r="G8">
        <v>0.8</v>
      </c>
      <c r="H8">
        <v>0.78</v>
      </c>
      <c r="I8">
        <v>0.76</v>
      </c>
      <c r="J8">
        <v>0.76</v>
      </c>
      <c r="K8">
        <v>0.78</v>
      </c>
      <c r="L8">
        <v>0.73</v>
      </c>
      <c r="M8">
        <v>0.75</v>
      </c>
      <c r="N8">
        <v>0.74</v>
      </c>
      <c r="O8">
        <v>0.77</v>
      </c>
      <c r="P8">
        <v>0.78</v>
      </c>
      <c r="Q8">
        <v>0.84</v>
      </c>
      <c r="R8">
        <v>0.83</v>
      </c>
      <c r="S8">
        <v>0.92</v>
      </c>
      <c r="T8">
        <v>0.83</v>
      </c>
      <c r="U8">
        <v>0.85</v>
      </c>
      <c r="V8">
        <v>0.82</v>
      </c>
      <c r="W8">
        <v>0.8</v>
      </c>
      <c r="X8">
        <v>0.8</v>
      </c>
      <c r="Y8">
        <v>0.87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</row>
    <row r="9" spans="1:177" x14ac:dyDescent="0.25">
      <c r="A9" t="str">
        <v>Nova</v>
      </c>
      <c r="B9" t="str">
        <v>Wild Six FT</v>
      </c>
      <c r="C9" t="str">
        <v>Heavy</v>
      </c>
      <c r="D9" t="str">
        <v>Clutch</v>
      </c>
      <c r="E9">
        <v>0.36</v>
      </c>
      <c r="F9">
        <v>0.34</v>
      </c>
      <c r="G9">
        <v>0.35</v>
      </c>
      <c r="H9">
        <v>0.32</v>
      </c>
      <c r="I9">
        <v>0.35</v>
      </c>
      <c r="J9">
        <v>0.32</v>
      </c>
      <c r="K9">
        <v>0.32</v>
      </c>
      <c r="L9">
        <v>0.34</v>
      </c>
      <c r="M9">
        <v>0.38</v>
      </c>
      <c r="N9">
        <v>0.35</v>
      </c>
      <c r="O9">
        <v>0.35</v>
      </c>
      <c r="P9">
        <v>0.35</v>
      </c>
      <c r="Q9">
        <v>0.32</v>
      </c>
      <c r="R9">
        <v>0.35</v>
      </c>
      <c r="S9">
        <v>0.3</v>
      </c>
      <c r="T9">
        <v>0.32</v>
      </c>
      <c r="U9">
        <v>0.35</v>
      </c>
      <c r="V9">
        <v>0.35</v>
      </c>
      <c r="W9">
        <v>0.31</v>
      </c>
      <c r="X9">
        <v>0.32</v>
      </c>
      <c r="Y9">
        <v>0.31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</row>
    <row r="10" spans="1:177" x14ac:dyDescent="0.25">
      <c r="A10" t="str">
        <v>Nova</v>
      </c>
      <c r="B10" t="str">
        <v>Hyper Beast FT</v>
      </c>
      <c r="C10" t="str">
        <v>Heavy</v>
      </c>
      <c r="D10" t="str">
        <v>Wildfire</v>
      </c>
      <c r="E10">
        <v>7.22</v>
      </c>
      <c r="F10">
        <v>7.74</v>
      </c>
      <c r="G10">
        <v>6.67</v>
      </c>
      <c r="H10">
        <v>6.74</v>
      </c>
      <c r="I10">
        <v>6.72</v>
      </c>
      <c r="J10">
        <v>6.86</v>
      </c>
      <c r="K10">
        <v>6.36</v>
      </c>
      <c r="L10">
        <v>7.02</v>
      </c>
      <c r="M10">
        <v>7.16</v>
      </c>
      <c r="N10">
        <v>7.02</v>
      </c>
      <c r="O10">
        <v>7.25</v>
      </c>
      <c r="P10">
        <v>7.31</v>
      </c>
      <c r="Q10">
        <v>7.05</v>
      </c>
      <c r="R10">
        <v>6.58</v>
      </c>
      <c r="S10">
        <v>6.44</v>
      </c>
      <c r="T10">
        <v>7.54</v>
      </c>
      <c r="U10">
        <v>7.54</v>
      </c>
      <c r="V10">
        <v>7.63</v>
      </c>
      <c r="W10">
        <v>7.36</v>
      </c>
      <c r="X10">
        <v>7.63</v>
      </c>
      <c r="Y10">
        <v>7.55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</row>
    <row r="11" spans="1:177" x14ac:dyDescent="0.25">
      <c r="A11" t="str">
        <v>Negev</v>
      </c>
      <c r="B11" t="str">
        <v>Power Loader MW</v>
      </c>
      <c r="C11" t="str">
        <v>Heavy</v>
      </c>
      <c r="D11" t="str">
        <v>Revolver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</row>
    <row r="12" spans="1:177" x14ac:dyDescent="0.25">
      <c r="A12" t="str">
        <v>XM1014</v>
      </c>
      <c r="B12" t="str">
        <v>Heaven Guard FT</v>
      </c>
      <c r="C12" t="str">
        <v>Heavy</v>
      </c>
      <c r="D12" t="str">
        <v>Huntsman</v>
      </c>
      <c r="E12">
        <v>3.12</v>
      </c>
      <c r="F12">
        <v>2.89</v>
      </c>
      <c r="G12">
        <v>2.5</v>
      </c>
      <c r="H12">
        <v>2.6</v>
      </c>
      <c r="I12">
        <v>2.8</v>
      </c>
      <c r="J12">
        <v>3.02</v>
      </c>
      <c r="K12">
        <v>2.69</v>
      </c>
      <c r="L12">
        <v>2.81</v>
      </c>
      <c r="M12">
        <v>2.8</v>
      </c>
      <c r="N12">
        <v>2.84</v>
      </c>
      <c r="O12">
        <v>2.82</v>
      </c>
      <c r="P12">
        <v>2.83</v>
      </c>
      <c r="Q12">
        <v>2.82</v>
      </c>
      <c r="R12">
        <v>2.91</v>
      </c>
      <c r="S12">
        <v>2.93</v>
      </c>
      <c r="T12">
        <v>2.91</v>
      </c>
      <c r="U12">
        <v>3</v>
      </c>
      <c r="V12">
        <v>2.76</v>
      </c>
      <c r="W12">
        <v>3</v>
      </c>
      <c r="X12">
        <v>3.77</v>
      </c>
      <c r="Y12">
        <v>3.84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</row>
    <row r="13" spans="1:177" x14ac:dyDescent="0.25">
      <c r="A13" t="str">
        <v>Sawed-Off</v>
      </c>
      <c r="B13" t="str">
        <v>The Kraken MW</v>
      </c>
      <c r="C13" t="str">
        <v>Heavy</v>
      </c>
      <c r="D13" t="str">
        <v>Winter Offensive</v>
      </c>
      <c r="E13">
        <v>5.92</v>
      </c>
      <c r="F13">
        <v>5.49</v>
      </c>
      <c r="G13">
        <v>5.64</v>
      </c>
      <c r="H13">
        <v>5.75</v>
      </c>
      <c r="I13">
        <v>5.59</v>
      </c>
      <c r="J13">
        <v>5.93</v>
      </c>
      <c r="K13">
        <v>5.7</v>
      </c>
      <c r="L13">
        <v>5.9</v>
      </c>
      <c r="M13">
        <v>5.59</v>
      </c>
      <c r="N13">
        <v>5.82</v>
      </c>
      <c r="O13">
        <v>5.41</v>
      </c>
      <c r="P13">
        <v>5.44</v>
      </c>
      <c r="Q13">
        <v>5.83</v>
      </c>
      <c r="R13">
        <v>5.8</v>
      </c>
      <c r="S13">
        <v>5.9</v>
      </c>
      <c r="T13">
        <v>5.9</v>
      </c>
      <c r="U13">
        <v>6.17</v>
      </c>
      <c r="V13">
        <v>5.99</v>
      </c>
      <c r="W13">
        <v>6.35</v>
      </c>
      <c r="X13">
        <v>5.54</v>
      </c>
      <c r="Y13">
        <v>5.88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</row>
    <row r="14" spans="1:177" x14ac:dyDescent="0.25">
      <c r="A14" t="str">
        <v>MAG-7</v>
      </c>
      <c r="B14" t="str">
        <v>StatTrak Heat FT</v>
      </c>
      <c r="C14" t="str">
        <v>Heavy</v>
      </c>
      <c r="D14" t="str">
        <v>Chroma 2</v>
      </c>
      <c r="E14">
        <v>0.88</v>
      </c>
      <c r="F14">
        <v>0.93</v>
      </c>
      <c r="G14">
        <v>0.94</v>
      </c>
      <c r="H14">
        <v>0.89</v>
      </c>
      <c r="I14">
        <v>0.92</v>
      </c>
      <c r="J14">
        <v>0.93</v>
      </c>
      <c r="K14">
        <v>0.93</v>
      </c>
      <c r="L14">
        <v>0.96</v>
      </c>
      <c r="M14">
        <v>0.97</v>
      </c>
      <c r="N14">
        <v>0.97</v>
      </c>
      <c r="O14">
        <v>1.03</v>
      </c>
      <c r="P14">
        <v>1.04</v>
      </c>
      <c r="Q14">
        <v>0.97</v>
      </c>
      <c r="R14">
        <v>0.93</v>
      </c>
      <c r="S14">
        <v>0.95</v>
      </c>
      <c r="T14">
        <v>0.84</v>
      </c>
      <c r="U14">
        <v>0.87</v>
      </c>
      <c r="V14">
        <v>0.95</v>
      </c>
      <c r="W14">
        <v>0.93</v>
      </c>
      <c r="X14">
        <v>0.93</v>
      </c>
      <c r="Y14">
        <v>0.93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</row>
    <row r="17" spans="1:177" x14ac:dyDescent="0.25">
      <c r="D17" s="1" t="s">
        <v>186</v>
      </c>
      <c r="E17">
        <f>SUM(E4:E14)</f>
        <v>23.470000000000002</v>
      </c>
      <c r="F17">
        <f t="shared" ref="F17:BQ17" si="0">SUM(F4:F14)</f>
        <v>23.17</v>
      </c>
      <c r="G17">
        <f t="shared" si="0"/>
        <v>22.01</v>
      </c>
      <c r="H17">
        <f t="shared" si="0"/>
        <v>22.6</v>
      </c>
      <c r="I17">
        <f t="shared" si="0"/>
        <v>22.22</v>
      </c>
      <c r="J17">
        <f t="shared" si="0"/>
        <v>22.89</v>
      </c>
      <c r="K17">
        <f t="shared" si="0"/>
        <v>21.77</v>
      </c>
      <c r="L17">
        <f t="shared" si="0"/>
        <v>22.73</v>
      </c>
      <c r="M17">
        <f t="shared" si="0"/>
        <v>22.259999999999998</v>
      </c>
      <c r="N17">
        <f t="shared" si="0"/>
        <v>22.799999999999997</v>
      </c>
      <c r="O17">
        <f t="shared" si="0"/>
        <v>22.68</v>
      </c>
      <c r="P17">
        <f t="shared" si="0"/>
        <v>23.41</v>
      </c>
      <c r="Q17">
        <f t="shared" si="0"/>
        <v>23.259999999999998</v>
      </c>
      <c r="R17">
        <f t="shared" si="0"/>
        <v>22.509999999999998</v>
      </c>
      <c r="S17">
        <f t="shared" si="0"/>
        <v>22.849999999999998</v>
      </c>
      <c r="T17">
        <f t="shared" si="0"/>
        <v>23.580000000000002</v>
      </c>
      <c r="U17">
        <f t="shared" si="0"/>
        <v>24.09</v>
      </c>
      <c r="V17">
        <f t="shared" si="0"/>
        <v>23.599999999999998</v>
      </c>
      <c r="W17">
        <f t="shared" si="0"/>
        <v>23.33</v>
      </c>
      <c r="X17">
        <f t="shared" si="0"/>
        <v>23.56</v>
      </c>
      <c r="Y17">
        <f t="shared" si="0"/>
        <v>23.869999999999997</v>
      </c>
      <c r="Z17">
        <f t="shared" si="0"/>
        <v>0</v>
      </c>
      <c r="AA17">
        <f t="shared" si="0"/>
        <v>0</v>
      </c>
      <c r="AB17">
        <f t="shared" si="0"/>
        <v>0</v>
      </c>
      <c r="AC17">
        <f t="shared" si="0"/>
        <v>0</v>
      </c>
      <c r="AD17">
        <f t="shared" si="0"/>
        <v>0</v>
      </c>
      <c r="AE17">
        <f t="shared" si="0"/>
        <v>0</v>
      </c>
      <c r="AF17">
        <f t="shared" si="0"/>
        <v>0</v>
      </c>
      <c r="AG17">
        <f t="shared" si="0"/>
        <v>0</v>
      </c>
      <c r="AH17">
        <f t="shared" si="0"/>
        <v>0</v>
      </c>
      <c r="AI17">
        <f t="shared" si="0"/>
        <v>0</v>
      </c>
      <c r="AJ17">
        <f t="shared" si="0"/>
        <v>0</v>
      </c>
      <c r="AK17">
        <f t="shared" si="0"/>
        <v>0</v>
      </c>
      <c r="AL17">
        <f t="shared" si="0"/>
        <v>0</v>
      </c>
      <c r="AM17">
        <f t="shared" si="0"/>
        <v>0</v>
      </c>
      <c r="AN17">
        <f t="shared" si="0"/>
        <v>0</v>
      </c>
      <c r="AO17">
        <f t="shared" si="0"/>
        <v>0</v>
      </c>
      <c r="AP17">
        <f t="shared" si="0"/>
        <v>0</v>
      </c>
      <c r="AQ17">
        <f t="shared" si="0"/>
        <v>0</v>
      </c>
      <c r="AR17">
        <f t="shared" si="0"/>
        <v>0</v>
      </c>
      <c r="AS17">
        <f t="shared" si="0"/>
        <v>0</v>
      </c>
      <c r="AT17">
        <f t="shared" si="0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  <c r="BB17">
        <f t="shared" si="0"/>
        <v>0</v>
      </c>
      <c r="BC17">
        <f t="shared" si="0"/>
        <v>0</v>
      </c>
      <c r="BD17">
        <f t="shared" si="0"/>
        <v>0</v>
      </c>
      <c r="BE17">
        <f t="shared" si="0"/>
        <v>0</v>
      </c>
      <c r="BF17">
        <f t="shared" si="0"/>
        <v>0</v>
      </c>
      <c r="BG17">
        <f t="shared" si="0"/>
        <v>0</v>
      </c>
      <c r="BH17">
        <f t="shared" si="0"/>
        <v>0</v>
      </c>
      <c r="BI17">
        <f t="shared" si="0"/>
        <v>0</v>
      </c>
      <c r="BJ17">
        <f t="shared" si="0"/>
        <v>0</v>
      </c>
      <c r="BK17">
        <f t="shared" si="0"/>
        <v>0</v>
      </c>
      <c r="BL17">
        <f t="shared" si="0"/>
        <v>0</v>
      </c>
      <c r="BM17">
        <f t="shared" si="0"/>
        <v>0</v>
      </c>
      <c r="BN17">
        <f t="shared" si="0"/>
        <v>0</v>
      </c>
      <c r="BO17">
        <f t="shared" si="0"/>
        <v>0</v>
      </c>
      <c r="BP17">
        <f t="shared" si="0"/>
        <v>0</v>
      </c>
      <c r="BQ17">
        <f t="shared" si="0"/>
        <v>0</v>
      </c>
      <c r="BR17">
        <f t="shared" ref="BR17:EC17" si="1">SUM(BR4:BR14)</f>
        <v>0</v>
      </c>
      <c r="BS17">
        <f t="shared" si="1"/>
        <v>0</v>
      </c>
      <c r="BT17">
        <f t="shared" si="1"/>
        <v>0</v>
      </c>
      <c r="BU17">
        <f t="shared" si="1"/>
        <v>0</v>
      </c>
      <c r="BV17">
        <f t="shared" si="1"/>
        <v>0</v>
      </c>
      <c r="BW17">
        <f t="shared" si="1"/>
        <v>0</v>
      </c>
      <c r="BX17">
        <f t="shared" si="1"/>
        <v>0</v>
      </c>
      <c r="BY17">
        <f t="shared" si="1"/>
        <v>0</v>
      </c>
      <c r="BZ17">
        <f t="shared" si="1"/>
        <v>0</v>
      </c>
      <c r="CA17">
        <f t="shared" si="1"/>
        <v>0</v>
      </c>
      <c r="CB17">
        <f t="shared" si="1"/>
        <v>0</v>
      </c>
      <c r="CC17">
        <f t="shared" si="1"/>
        <v>0</v>
      </c>
      <c r="CD17">
        <f t="shared" si="1"/>
        <v>0</v>
      </c>
      <c r="CE17">
        <f t="shared" si="1"/>
        <v>0</v>
      </c>
      <c r="CF17">
        <f t="shared" si="1"/>
        <v>0</v>
      </c>
      <c r="CG17">
        <f t="shared" si="1"/>
        <v>0</v>
      </c>
      <c r="CH17">
        <f t="shared" si="1"/>
        <v>0</v>
      </c>
      <c r="CI17">
        <f t="shared" si="1"/>
        <v>0</v>
      </c>
      <c r="CJ17">
        <f t="shared" si="1"/>
        <v>0</v>
      </c>
      <c r="CK17">
        <f t="shared" si="1"/>
        <v>0</v>
      </c>
      <c r="CL17">
        <f t="shared" si="1"/>
        <v>0</v>
      </c>
      <c r="CM17">
        <f t="shared" si="1"/>
        <v>0</v>
      </c>
      <c r="CN17">
        <f t="shared" si="1"/>
        <v>0</v>
      </c>
      <c r="CO17">
        <f t="shared" si="1"/>
        <v>0</v>
      </c>
      <c r="CP17">
        <f t="shared" si="1"/>
        <v>0</v>
      </c>
      <c r="CQ17">
        <f t="shared" si="1"/>
        <v>0</v>
      </c>
      <c r="CR17">
        <f t="shared" si="1"/>
        <v>0</v>
      </c>
      <c r="CS17">
        <f t="shared" si="1"/>
        <v>0</v>
      </c>
      <c r="CT17">
        <f t="shared" si="1"/>
        <v>0</v>
      </c>
      <c r="CU17">
        <f t="shared" si="1"/>
        <v>0</v>
      </c>
      <c r="CV17">
        <f t="shared" si="1"/>
        <v>0</v>
      </c>
      <c r="CW17">
        <f t="shared" si="1"/>
        <v>0</v>
      </c>
      <c r="CX17">
        <f t="shared" si="1"/>
        <v>0</v>
      </c>
      <c r="CY17">
        <f t="shared" si="1"/>
        <v>0</v>
      </c>
      <c r="CZ17">
        <f t="shared" si="1"/>
        <v>0</v>
      </c>
      <c r="DA17">
        <f t="shared" si="1"/>
        <v>0</v>
      </c>
      <c r="DB17">
        <f t="shared" si="1"/>
        <v>0</v>
      </c>
      <c r="DC17">
        <f t="shared" si="1"/>
        <v>0</v>
      </c>
      <c r="DD17">
        <f t="shared" si="1"/>
        <v>0</v>
      </c>
      <c r="DE17">
        <f t="shared" si="1"/>
        <v>0</v>
      </c>
      <c r="DF17">
        <f t="shared" si="1"/>
        <v>0</v>
      </c>
      <c r="DG17">
        <f t="shared" si="1"/>
        <v>0</v>
      </c>
      <c r="DH17">
        <f t="shared" si="1"/>
        <v>0</v>
      </c>
      <c r="DI17">
        <f t="shared" si="1"/>
        <v>0</v>
      </c>
      <c r="DJ17">
        <f t="shared" si="1"/>
        <v>0</v>
      </c>
      <c r="DK17">
        <f t="shared" si="1"/>
        <v>0</v>
      </c>
      <c r="DL17">
        <f t="shared" si="1"/>
        <v>0</v>
      </c>
      <c r="DM17">
        <f t="shared" si="1"/>
        <v>0</v>
      </c>
      <c r="DN17">
        <f t="shared" si="1"/>
        <v>0</v>
      </c>
      <c r="DO17">
        <f t="shared" si="1"/>
        <v>0</v>
      </c>
      <c r="DP17">
        <f t="shared" si="1"/>
        <v>0</v>
      </c>
      <c r="DQ17">
        <f t="shared" si="1"/>
        <v>0</v>
      </c>
      <c r="DR17">
        <f t="shared" si="1"/>
        <v>0</v>
      </c>
      <c r="DS17">
        <f t="shared" si="1"/>
        <v>0</v>
      </c>
      <c r="DT17">
        <f t="shared" si="1"/>
        <v>0</v>
      </c>
      <c r="DU17">
        <f t="shared" si="1"/>
        <v>0</v>
      </c>
      <c r="DV17">
        <f t="shared" si="1"/>
        <v>0</v>
      </c>
      <c r="DW17">
        <f t="shared" si="1"/>
        <v>0</v>
      </c>
      <c r="DX17">
        <f t="shared" si="1"/>
        <v>0</v>
      </c>
      <c r="DY17">
        <f t="shared" si="1"/>
        <v>0</v>
      </c>
      <c r="DZ17">
        <f t="shared" si="1"/>
        <v>0</v>
      </c>
      <c r="EA17">
        <f t="shared" si="1"/>
        <v>0</v>
      </c>
      <c r="EB17">
        <f t="shared" si="1"/>
        <v>0</v>
      </c>
      <c r="EC17">
        <f t="shared" si="1"/>
        <v>0</v>
      </c>
      <c r="ED17">
        <f t="shared" ref="ED17:FU17" si="2">SUM(ED4:ED14)</f>
        <v>0</v>
      </c>
      <c r="EE17">
        <f t="shared" si="2"/>
        <v>0</v>
      </c>
      <c r="EF17">
        <f t="shared" si="2"/>
        <v>0</v>
      </c>
      <c r="EG17">
        <f t="shared" si="2"/>
        <v>0</v>
      </c>
      <c r="EH17">
        <f t="shared" si="2"/>
        <v>0</v>
      </c>
      <c r="EI17">
        <f t="shared" si="2"/>
        <v>0</v>
      </c>
      <c r="EJ17">
        <f t="shared" si="2"/>
        <v>0</v>
      </c>
      <c r="EK17">
        <f t="shared" si="2"/>
        <v>0</v>
      </c>
      <c r="EL17">
        <f t="shared" si="2"/>
        <v>0</v>
      </c>
      <c r="EM17">
        <f t="shared" si="2"/>
        <v>0</v>
      </c>
      <c r="EN17">
        <f t="shared" si="2"/>
        <v>0</v>
      </c>
      <c r="EO17">
        <f t="shared" si="2"/>
        <v>0</v>
      </c>
      <c r="EP17">
        <f t="shared" si="2"/>
        <v>0</v>
      </c>
      <c r="EQ17">
        <f t="shared" si="2"/>
        <v>0</v>
      </c>
      <c r="ER17">
        <f t="shared" si="2"/>
        <v>0</v>
      </c>
      <c r="ES17">
        <f t="shared" si="2"/>
        <v>0</v>
      </c>
      <c r="ET17">
        <f t="shared" si="2"/>
        <v>0</v>
      </c>
      <c r="EU17">
        <f t="shared" si="2"/>
        <v>0</v>
      </c>
      <c r="EV17">
        <f t="shared" si="2"/>
        <v>0</v>
      </c>
      <c r="EW17">
        <f t="shared" si="2"/>
        <v>0</v>
      </c>
      <c r="EX17">
        <f t="shared" si="2"/>
        <v>0</v>
      </c>
      <c r="EY17">
        <f t="shared" si="2"/>
        <v>0</v>
      </c>
      <c r="EZ17">
        <f t="shared" si="2"/>
        <v>0</v>
      </c>
      <c r="FA17">
        <f t="shared" si="2"/>
        <v>0</v>
      </c>
      <c r="FB17">
        <f t="shared" si="2"/>
        <v>0</v>
      </c>
      <c r="FC17">
        <f t="shared" si="2"/>
        <v>0</v>
      </c>
      <c r="FD17">
        <f t="shared" si="2"/>
        <v>0</v>
      </c>
      <c r="FE17">
        <f t="shared" si="2"/>
        <v>0</v>
      </c>
      <c r="FF17">
        <f t="shared" si="2"/>
        <v>0</v>
      </c>
      <c r="FG17">
        <f t="shared" si="2"/>
        <v>0</v>
      </c>
      <c r="FH17">
        <f t="shared" si="2"/>
        <v>0</v>
      </c>
      <c r="FI17">
        <f t="shared" si="2"/>
        <v>0</v>
      </c>
      <c r="FJ17">
        <f t="shared" si="2"/>
        <v>0</v>
      </c>
      <c r="FK17">
        <f t="shared" si="2"/>
        <v>0</v>
      </c>
      <c r="FL17">
        <f t="shared" si="2"/>
        <v>0</v>
      </c>
      <c r="FM17">
        <f t="shared" si="2"/>
        <v>0</v>
      </c>
      <c r="FN17">
        <f t="shared" si="2"/>
        <v>0</v>
      </c>
      <c r="FO17">
        <f t="shared" si="2"/>
        <v>0</v>
      </c>
      <c r="FP17">
        <f t="shared" si="2"/>
        <v>0</v>
      </c>
      <c r="FQ17">
        <f t="shared" si="2"/>
        <v>0</v>
      </c>
      <c r="FR17">
        <f t="shared" si="2"/>
        <v>0</v>
      </c>
      <c r="FS17">
        <f t="shared" si="2"/>
        <v>0</v>
      </c>
      <c r="FT17">
        <f t="shared" si="2"/>
        <v>0</v>
      </c>
      <c r="FU17">
        <f t="shared" si="2"/>
        <v>0</v>
      </c>
    </row>
    <row r="23" spans="1:177" x14ac:dyDescent="0.25">
      <c r="A23" s="1" t="s">
        <v>0</v>
      </c>
      <c r="B23" s="1" t="s">
        <v>1</v>
      </c>
      <c r="C23" s="1" t="s">
        <v>2</v>
      </c>
      <c r="D23" s="1" t="s">
        <v>8</v>
      </c>
      <c r="E23" s="2">
        <f>E3</f>
        <v>44331</v>
      </c>
      <c r="F23" s="2">
        <f t="shared" ref="F23:BQ23" si="3">F3</f>
        <v>44332</v>
      </c>
      <c r="G23" s="2">
        <f t="shared" si="3"/>
        <v>44334</v>
      </c>
      <c r="H23" s="2">
        <f t="shared" si="3"/>
        <v>44336</v>
      </c>
      <c r="I23" s="2">
        <f t="shared" si="3"/>
        <v>44337</v>
      </c>
      <c r="J23" s="2">
        <f t="shared" si="3"/>
        <v>44338</v>
      </c>
      <c r="K23" s="2">
        <f t="shared" si="3"/>
        <v>44339</v>
      </c>
      <c r="L23" s="2">
        <f t="shared" si="3"/>
        <v>44340</v>
      </c>
      <c r="M23" s="2">
        <f t="shared" si="3"/>
        <v>44341</v>
      </c>
      <c r="N23" s="2">
        <f t="shared" si="3"/>
        <v>44342</v>
      </c>
      <c r="O23" s="2">
        <f t="shared" si="3"/>
        <v>44343</v>
      </c>
      <c r="P23" s="2">
        <f t="shared" si="3"/>
        <v>44344</v>
      </c>
      <c r="Q23" s="2">
        <f t="shared" si="3"/>
        <v>44345</v>
      </c>
      <c r="R23" s="2">
        <f t="shared" si="3"/>
        <v>44346</v>
      </c>
      <c r="S23" s="2">
        <f t="shared" si="3"/>
        <v>44347</v>
      </c>
      <c r="T23" s="2">
        <f t="shared" si="3"/>
        <v>44348</v>
      </c>
      <c r="U23" s="2">
        <f t="shared" si="3"/>
        <v>44349</v>
      </c>
      <c r="V23" s="2">
        <f t="shared" si="3"/>
        <v>44350</v>
      </c>
      <c r="W23" s="2">
        <f t="shared" si="3"/>
        <v>44351</v>
      </c>
      <c r="X23" s="2">
        <f t="shared" si="3"/>
        <v>44352</v>
      </c>
      <c r="Y23" s="2">
        <f t="shared" si="3"/>
        <v>44353</v>
      </c>
      <c r="Z23" s="2">
        <f t="shared" si="3"/>
        <v>44354</v>
      </c>
      <c r="AA23" s="2">
        <f t="shared" si="3"/>
        <v>44355</v>
      </c>
      <c r="AB23" s="2">
        <f t="shared" si="3"/>
        <v>44356</v>
      </c>
      <c r="AC23" s="2">
        <f t="shared" si="3"/>
        <v>44357</v>
      </c>
      <c r="AD23" s="2">
        <f t="shared" si="3"/>
        <v>44358</v>
      </c>
      <c r="AE23" s="2">
        <f t="shared" si="3"/>
        <v>44359</v>
      </c>
      <c r="AF23" s="2">
        <f t="shared" si="3"/>
        <v>44360</v>
      </c>
      <c r="AG23" s="2">
        <f t="shared" si="3"/>
        <v>44361</v>
      </c>
      <c r="AH23" s="2">
        <f t="shared" si="3"/>
        <v>44362</v>
      </c>
      <c r="AI23" s="2">
        <f t="shared" si="3"/>
        <v>44363</v>
      </c>
      <c r="AJ23" s="2">
        <f t="shared" si="3"/>
        <v>44364</v>
      </c>
      <c r="AK23" s="2">
        <f t="shared" si="3"/>
        <v>44365</v>
      </c>
      <c r="AL23" s="2">
        <f t="shared" si="3"/>
        <v>44366</v>
      </c>
      <c r="AM23" s="2">
        <f t="shared" si="3"/>
        <v>44367</v>
      </c>
      <c r="AN23" s="2">
        <f t="shared" si="3"/>
        <v>44368</v>
      </c>
      <c r="AO23" s="2">
        <f t="shared" si="3"/>
        <v>44369</v>
      </c>
      <c r="AP23" s="2">
        <f t="shared" si="3"/>
        <v>44370</v>
      </c>
      <c r="AQ23" s="2">
        <f t="shared" si="3"/>
        <v>44371</v>
      </c>
      <c r="AR23" s="2">
        <f t="shared" si="3"/>
        <v>44372</v>
      </c>
      <c r="AS23" s="2">
        <f t="shared" si="3"/>
        <v>44373</v>
      </c>
      <c r="AT23" s="2">
        <f t="shared" si="3"/>
        <v>44374</v>
      </c>
      <c r="AU23" s="2">
        <f t="shared" si="3"/>
        <v>44375</v>
      </c>
      <c r="AV23" s="2">
        <f t="shared" si="3"/>
        <v>44376</v>
      </c>
      <c r="AW23" s="2">
        <f t="shared" si="3"/>
        <v>44377</v>
      </c>
      <c r="AX23" s="2">
        <f t="shared" si="3"/>
        <v>44378</v>
      </c>
      <c r="AY23" s="2">
        <f t="shared" si="3"/>
        <v>44379</v>
      </c>
      <c r="AZ23" s="2">
        <f t="shared" si="3"/>
        <v>44380</v>
      </c>
      <c r="BA23" s="2">
        <f t="shared" si="3"/>
        <v>44381</v>
      </c>
      <c r="BB23" s="2">
        <f t="shared" si="3"/>
        <v>44382</v>
      </c>
      <c r="BC23" s="2">
        <f t="shared" si="3"/>
        <v>44383</v>
      </c>
      <c r="BD23" s="2">
        <f t="shared" si="3"/>
        <v>44384</v>
      </c>
      <c r="BE23" s="2">
        <f t="shared" si="3"/>
        <v>44385</v>
      </c>
      <c r="BF23" s="2">
        <f t="shared" si="3"/>
        <v>44386</v>
      </c>
      <c r="BG23" s="2">
        <f t="shared" si="3"/>
        <v>44387</v>
      </c>
      <c r="BH23" s="2">
        <f t="shared" si="3"/>
        <v>44388</v>
      </c>
      <c r="BI23" s="2">
        <f t="shared" si="3"/>
        <v>44389</v>
      </c>
      <c r="BJ23" s="2">
        <f t="shared" si="3"/>
        <v>44390</v>
      </c>
      <c r="BK23" s="2">
        <f t="shared" si="3"/>
        <v>44391</v>
      </c>
      <c r="BL23" s="2">
        <f t="shared" si="3"/>
        <v>44392</v>
      </c>
      <c r="BM23" s="2">
        <f t="shared" si="3"/>
        <v>44393</v>
      </c>
      <c r="BN23" s="2">
        <f t="shared" si="3"/>
        <v>44394</v>
      </c>
      <c r="BO23" s="2">
        <f t="shared" si="3"/>
        <v>44395</v>
      </c>
      <c r="BP23" s="2">
        <f t="shared" si="3"/>
        <v>44396</v>
      </c>
      <c r="BQ23" s="2">
        <f t="shared" si="3"/>
        <v>44397</v>
      </c>
      <c r="BR23" s="2">
        <f t="shared" ref="BR23:EC23" si="4">BR3</f>
        <v>44398</v>
      </c>
      <c r="BS23" s="2">
        <f t="shared" si="4"/>
        <v>44399</v>
      </c>
      <c r="BT23" s="2">
        <f t="shared" si="4"/>
        <v>44400</v>
      </c>
      <c r="BU23" s="2">
        <f t="shared" si="4"/>
        <v>44401</v>
      </c>
      <c r="BV23" s="2">
        <f t="shared" si="4"/>
        <v>44402</v>
      </c>
      <c r="BW23" s="2">
        <f t="shared" si="4"/>
        <v>44403</v>
      </c>
      <c r="BX23" s="2">
        <f t="shared" si="4"/>
        <v>44404</v>
      </c>
      <c r="BY23" s="2">
        <f t="shared" si="4"/>
        <v>44405</v>
      </c>
      <c r="BZ23" s="2">
        <f t="shared" si="4"/>
        <v>44406</v>
      </c>
      <c r="CA23" s="2">
        <f t="shared" si="4"/>
        <v>44407</v>
      </c>
      <c r="CB23" s="2">
        <f t="shared" si="4"/>
        <v>44408</v>
      </c>
      <c r="CC23" s="2">
        <f t="shared" si="4"/>
        <v>44409</v>
      </c>
      <c r="CD23" s="2">
        <f t="shared" si="4"/>
        <v>44410</v>
      </c>
      <c r="CE23" s="2">
        <f t="shared" si="4"/>
        <v>44411</v>
      </c>
      <c r="CF23" s="2">
        <f t="shared" si="4"/>
        <v>44412</v>
      </c>
      <c r="CG23" s="2">
        <f t="shared" si="4"/>
        <v>44413</v>
      </c>
      <c r="CH23" s="2">
        <f t="shared" si="4"/>
        <v>44414</v>
      </c>
      <c r="CI23" s="2">
        <f t="shared" si="4"/>
        <v>44415</v>
      </c>
      <c r="CJ23" s="2">
        <f t="shared" si="4"/>
        <v>44416</v>
      </c>
      <c r="CK23" s="2">
        <f t="shared" si="4"/>
        <v>44417</v>
      </c>
      <c r="CL23" s="2">
        <f t="shared" si="4"/>
        <v>44418</v>
      </c>
      <c r="CM23" s="2">
        <f t="shared" si="4"/>
        <v>44419</v>
      </c>
      <c r="CN23" s="2">
        <f t="shared" si="4"/>
        <v>44420</v>
      </c>
      <c r="CO23" s="2">
        <f t="shared" si="4"/>
        <v>44421</v>
      </c>
      <c r="CP23" s="2">
        <f t="shared" si="4"/>
        <v>44422</v>
      </c>
      <c r="CQ23" s="2">
        <f t="shared" si="4"/>
        <v>44423</v>
      </c>
      <c r="CR23" s="2">
        <f t="shared" si="4"/>
        <v>44424</v>
      </c>
      <c r="CS23" s="2">
        <f t="shared" si="4"/>
        <v>44425</v>
      </c>
      <c r="CT23" s="2">
        <f t="shared" si="4"/>
        <v>44426</v>
      </c>
      <c r="CU23" s="2">
        <f t="shared" si="4"/>
        <v>44427</v>
      </c>
      <c r="CV23" s="2">
        <f t="shared" si="4"/>
        <v>44428</v>
      </c>
      <c r="CW23" s="2">
        <f t="shared" si="4"/>
        <v>44429</v>
      </c>
      <c r="CX23" s="2">
        <f t="shared" si="4"/>
        <v>44430</v>
      </c>
      <c r="CY23" s="2">
        <f t="shared" si="4"/>
        <v>44431</v>
      </c>
      <c r="CZ23" s="2">
        <f t="shared" si="4"/>
        <v>44432</v>
      </c>
      <c r="DA23" s="2">
        <f t="shared" si="4"/>
        <v>44433</v>
      </c>
      <c r="DB23" s="2">
        <f t="shared" si="4"/>
        <v>44434</v>
      </c>
      <c r="DC23" s="2">
        <f t="shared" si="4"/>
        <v>44435</v>
      </c>
      <c r="DD23" s="2">
        <f t="shared" si="4"/>
        <v>44436</v>
      </c>
      <c r="DE23" s="2">
        <f t="shared" si="4"/>
        <v>44437</v>
      </c>
      <c r="DF23" s="2">
        <f t="shared" si="4"/>
        <v>44438</v>
      </c>
      <c r="DG23" s="2">
        <f t="shared" si="4"/>
        <v>44439</v>
      </c>
      <c r="DH23" s="2">
        <f t="shared" si="4"/>
        <v>44440</v>
      </c>
      <c r="DI23" s="2">
        <f t="shared" si="4"/>
        <v>44441</v>
      </c>
      <c r="DJ23" s="2">
        <f t="shared" si="4"/>
        <v>44442</v>
      </c>
      <c r="DK23" s="2">
        <f t="shared" si="4"/>
        <v>44443</v>
      </c>
      <c r="DL23" s="2">
        <f t="shared" si="4"/>
        <v>44444</v>
      </c>
      <c r="DM23" s="2">
        <f t="shared" si="4"/>
        <v>44445</v>
      </c>
      <c r="DN23" s="2">
        <f t="shared" si="4"/>
        <v>44446</v>
      </c>
      <c r="DO23" s="2">
        <f t="shared" si="4"/>
        <v>44447</v>
      </c>
      <c r="DP23" s="2">
        <f t="shared" si="4"/>
        <v>44448</v>
      </c>
      <c r="DQ23" s="2">
        <f t="shared" si="4"/>
        <v>44449</v>
      </c>
      <c r="DR23" s="2">
        <f t="shared" si="4"/>
        <v>44450</v>
      </c>
      <c r="DS23" s="2">
        <f t="shared" si="4"/>
        <v>44451</v>
      </c>
      <c r="DT23" s="2">
        <f t="shared" si="4"/>
        <v>44452</v>
      </c>
      <c r="DU23" s="2">
        <f t="shared" si="4"/>
        <v>44453</v>
      </c>
      <c r="DV23" s="2">
        <f t="shared" si="4"/>
        <v>44454</v>
      </c>
      <c r="DW23" s="2">
        <f t="shared" si="4"/>
        <v>44455</v>
      </c>
      <c r="DX23" s="2">
        <f t="shared" si="4"/>
        <v>44456</v>
      </c>
      <c r="DY23" s="2">
        <f t="shared" si="4"/>
        <v>44457</v>
      </c>
      <c r="DZ23" s="2">
        <f t="shared" si="4"/>
        <v>44458</v>
      </c>
      <c r="EA23" s="2">
        <f t="shared" si="4"/>
        <v>44459</v>
      </c>
      <c r="EB23" s="2">
        <f t="shared" si="4"/>
        <v>44460</v>
      </c>
      <c r="EC23" s="2">
        <f t="shared" si="4"/>
        <v>44461</v>
      </c>
      <c r="ED23" s="2">
        <f t="shared" ref="ED23:FU23" si="5">ED3</f>
        <v>44462</v>
      </c>
      <c r="EE23" s="2">
        <f t="shared" si="5"/>
        <v>44463</v>
      </c>
      <c r="EF23" s="2">
        <f t="shared" si="5"/>
        <v>44464</v>
      </c>
      <c r="EG23" s="2">
        <f t="shared" si="5"/>
        <v>44465</v>
      </c>
      <c r="EH23" s="2">
        <f t="shared" si="5"/>
        <v>44466</v>
      </c>
      <c r="EI23" s="2">
        <f t="shared" si="5"/>
        <v>44467</v>
      </c>
      <c r="EJ23" s="2">
        <f t="shared" si="5"/>
        <v>44468</v>
      </c>
      <c r="EK23" s="2">
        <f t="shared" si="5"/>
        <v>44469</v>
      </c>
      <c r="EL23" s="2">
        <f t="shared" si="5"/>
        <v>44470</v>
      </c>
      <c r="EM23" s="2">
        <f t="shared" si="5"/>
        <v>44471</v>
      </c>
      <c r="EN23" s="2">
        <f t="shared" si="5"/>
        <v>44472</v>
      </c>
      <c r="EO23" s="2">
        <f t="shared" si="5"/>
        <v>44473</v>
      </c>
      <c r="EP23" s="2">
        <f t="shared" si="5"/>
        <v>44474</v>
      </c>
      <c r="EQ23" s="2">
        <f t="shared" si="5"/>
        <v>44475</v>
      </c>
      <c r="ER23" s="2">
        <f t="shared" si="5"/>
        <v>44476</v>
      </c>
      <c r="ES23" s="2">
        <f t="shared" si="5"/>
        <v>44477</v>
      </c>
      <c r="ET23" s="2">
        <f t="shared" si="5"/>
        <v>44478</v>
      </c>
      <c r="EU23" s="2">
        <f t="shared" si="5"/>
        <v>44479</v>
      </c>
      <c r="EV23" s="2">
        <f t="shared" si="5"/>
        <v>44480</v>
      </c>
      <c r="EW23" s="2">
        <f t="shared" si="5"/>
        <v>44481</v>
      </c>
      <c r="EX23" s="2">
        <f t="shared" si="5"/>
        <v>44482</v>
      </c>
      <c r="EY23" s="2">
        <f t="shared" si="5"/>
        <v>44483</v>
      </c>
      <c r="EZ23" s="2">
        <f t="shared" si="5"/>
        <v>44484</v>
      </c>
      <c r="FA23" s="2">
        <f t="shared" si="5"/>
        <v>44485</v>
      </c>
      <c r="FB23" s="2">
        <f t="shared" si="5"/>
        <v>44486</v>
      </c>
      <c r="FC23" s="2">
        <f t="shared" si="5"/>
        <v>44487</v>
      </c>
      <c r="FD23" s="2">
        <f t="shared" si="5"/>
        <v>44488</v>
      </c>
      <c r="FE23" s="2">
        <f t="shared" si="5"/>
        <v>44489</v>
      </c>
      <c r="FF23" s="2">
        <f t="shared" si="5"/>
        <v>44490</v>
      </c>
      <c r="FG23" s="2">
        <f t="shared" si="5"/>
        <v>44491</v>
      </c>
      <c r="FH23" s="2">
        <f t="shared" si="5"/>
        <v>44492</v>
      </c>
      <c r="FI23" s="2">
        <f t="shared" si="5"/>
        <v>44493</v>
      </c>
      <c r="FJ23" s="2">
        <f t="shared" si="5"/>
        <v>44494</v>
      </c>
      <c r="FK23" s="2">
        <f t="shared" si="5"/>
        <v>44495</v>
      </c>
      <c r="FL23" s="2">
        <f t="shared" si="5"/>
        <v>44496</v>
      </c>
      <c r="FM23" s="2">
        <f t="shared" si="5"/>
        <v>44497</v>
      </c>
      <c r="FN23" s="2">
        <f t="shared" si="5"/>
        <v>44498</v>
      </c>
      <c r="FO23" s="2">
        <f t="shared" si="5"/>
        <v>44499</v>
      </c>
      <c r="FP23" s="2">
        <f t="shared" si="5"/>
        <v>44500</v>
      </c>
      <c r="FQ23" s="2">
        <f t="shared" si="5"/>
        <v>44501</v>
      </c>
      <c r="FR23" s="2">
        <f t="shared" si="5"/>
        <v>44502</v>
      </c>
      <c r="FS23" s="2">
        <f t="shared" si="5"/>
        <v>44503</v>
      </c>
      <c r="FT23" s="2">
        <f t="shared" si="5"/>
        <v>44504</v>
      </c>
      <c r="FU23" s="2">
        <f t="shared" si="5"/>
        <v>44505</v>
      </c>
    </row>
    <row r="24" spans="1:177" x14ac:dyDescent="0.25">
      <c r="A24" t="str">
        <f>A4</f>
        <v>Sawed-Off</v>
      </c>
      <c r="B24" t="str">
        <f t="shared" ref="B24:D24" si="6">B4</f>
        <v>Limelight MW</v>
      </c>
      <c r="C24" t="str">
        <f t="shared" si="6"/>
        <v>Heavy</v>
      </c>
      <c r="D24" t="str">
        <f t="shared" si="6"/>
        <v>Gamma</v>
      </c>
      <c r="E24">
        <f>E4-ROUNDUP(E4*0.3,2)</f>
        <v>0.62</v>
      </c>
      <c r="F24">
        <f t="shared" ref="F24:BQ25" si="7">F4-ROUNDUP(F4*0.3,2)</f>
        <v>0.61</v>
      </c>
      <c r="G24">
        <f t="shared" si="7"/>
        <v>0.66999999999999993</v>
      </c>
      <c r="H24">
        <f t="shared" si="7"/>
        <v>0.64</v>
      </c>
      <c r="I24">
        <f t="shared" si="7"/>
        <v>0.6</v>
      </c>
      <c r="J24">
        <f t="shared" si="7"/>
        <v>0.64</v>
      </c>
      <c r="K24">
        <f t="shared" si="7"/>
        <v>0.6</v>
      </c>
      <c r="L24">
        <f t="shared" si="7"/>
        <v>0.6</v>
      </c>
      <c r="M24">
        <f t="shared" si="7"/>
        <v>0.61</v>
      </c>
      <c r="N24">
        <f t="shared" si="7"/>
        <v>0.64999999999999991</v>
      </c>
      <c r="O24">
        <f t="shared" si="7"/>
        <v>0.65</v>
      </c>
      <c r="P24">
        <f t="shared" si="7"/>
        <v>0.57999999999999996</v>
      </c>
      <c r="Q24">
        <f t="shared" si="7"/>
        <v>0.6</v>
      </c>
      <c r="R24">
        <f t="shared" si="7"/>
        <v>0.6</v>
      </c>
      <c r="S24">
        <f t="shared" si="7"/>
        <v>0.65</v>
      </c>
      <c r="T24">
        <f t="shared" si="7"/>
        <v>0.56999999999999995</v>
      </c>
      <c r="U24">
        <f t="shared" si="7"/>
        <v>0.61</v>
      </c>
      <c r="V24">
        <f t="shared" si="7"/>
        <v>0.53</v>
      </c>
      <c r="W24">
        <f t="shared" si="7"/>
        <v>0.62</v>
      </c>
      <c r="X24">
        <f t="shared" si="7"/>
        <v>0.64</v>
      </c>
      <c r="Y24">
        <f t="shared" si="7"/>
        <v>0.59</v>
      </c>
      <c r="Z24">
        <f t="shared" si="7"/>
        <v>0</v>
      </c>
      <c r="AA24">
        <f t="shared" si="7"/>
        <v>0</v>
      </c>
      <c r="AB24">
        <f t="shared" si="7"/>
        <v>0</v>
      </c>
      <c r="AC24">
        <f t="shared" si="7"/>
        <v>0</v>
      </c>
      <c r="AD24">
        <f t="shared" si="7"/>
        <v>0</v>
      </c>
      <c r="AE24">
        <f t="shared" si="7"/>
        <v>0</v>
      </c>
      <c r="AF24">
        <f t="shared" si="7"/>
        <v>0</v>
      </c>
      <c r="AG24">
        <f t="shared" si="7"/>
        <v>0</v>
      </c>
      <c r="AH24">
        <f t="shared" si="7"/>
        <v>0</v>
      </c>
      <c r="AI24">
        <f t="shared" si="7"/>
        <v>0</v>
      </c>
      <c r="AJ24">
        <f t="shared" si="7"/>
        <v>0</v>
      </c>
      <c r="AK24">
        <f t="shared" si="7"/>
        <v>0</v>
      </c>
      <c r="AL24">
        <f t="shared" si="7"/>
        <v>0</v>
      </c>
      <c r="AM24">
        <f t="shared" si="7"/>
        <v>0</v>
      </c>
      <c r="AN24">
        <f t="shared" si="7"/>
        <v>0</v>
      </c>
      <c r="AO24">
        <f t="shared" si="7"/>
        <v>0</v>
      </c>
      <c r="AP24">
        <f t="shared" si="7"/>
        <v>0</v>
      </c>
      <c r="AQ24">
        <f t="shared" si="7"/>
        <v>0</v>
      </c>
      <c r="AR24">
        <f t="shared" si="7"/>
        <v>0</v>
      </c>
      <c r="AS24">
        <f t="shared" si="7"/>
        <v>0</v>
      </c>
      <c r="AT24">
        <f t="shared" si="7"/>
        <v>0</v>
      </c>
      <c r="AU24">
        <f t="shared" si="7"/>
        <v>0</v>
      </c>
      <c r="AV24">
        <f t="shared" si="7"/>
        <v>0</v>
      </c>
      <c r="AW24">
        <f t="shared" si="7"/>
        <v>0</v>
      </c>
      <c r="AX24">
        <f t="shared" si="7"/>
        <v>0</v>
      </c>
      <c r="AY24">
        <f t="shared" si="7"/>
        <v>0</v>
      </c>
      <c r="AZ24">
        <f t="shared" si="7"/>
        <v>0</v>
      </c>
      <c r="BA24">
        <f t="shared" si="7"/>
        <v>0</v>
      </c>
      <c r="BB24">
        <f t="shared" si="7"/>
        <v>0</v>
      </c>
      <c r="BC24">
        <f t="shared" si="7"/>
        <v>0</v>
      </c>
      <c r="BD24">
        <f t="shared" si="7"/>
        <v>0</v>
      </c>
      <c r="BE24">
        <f t="shared" si="7"/>
        <v>0</v>
      </c>
      <c r="BF24">
        <f t="shared" si="7"/>
        <v>0</v>
      </c>
      <c r="BG24">
        <f t="shared" si="7"/>
        <v>0</v>
      </c>
      <c r="BH24">
        <f t="shared" si="7"/>
        <v>0</v>
      </c>
      <c r="BI24">
        <f t="shared" si="7"/>
        <v>0</v>
      </c>
      <c r="BJ24">
        <f t="shared" si="7"/>
        <v>0</v>
      </c>
      <c r="BK24">
        <f t="shared" si="7"/>
        <v>0</v>
      </c>
      <c r="BL24">
        <f t="shared" si="7"/>
        <v>0</v>
      </c>
      <c r="BM24">
        <f t="shared" si="7"/>
        <v>0</v>
      </c>
      <c r="BN24">
        <f t="shared" si="7"/>
        <v>0</v>
      </c>
      <c r="BO24">
        <f t="shared" si="7"/>
        <v>0</v>
      </c>
      <c r="BP24">
        <f t="shared" si="7"/>
        <v>0</v>
      </c>
      <c r="BQ24">
        <f t="shared" si="7"/>
        <v>0</v>
      </c>
      <c r="BR24">
        <f t="shared" ref="BR24:EC27" si="8">BR4-ROUNDUP(BR4*0.3,2)</f>
        <v>0</v>
      </c>
      <c r="BS24">
        <f t="shared" si="8"/>
        <v>0</v>
      </c>
      <c r="BT24">
        <f t="shared" si="8"/>
        <v>0</v>
      </c>
      <c r="BU24">
        <f t="shared" si="8"/>
        <v>0</v>
      </c>
      <c r="BV24">
        <f t="shared" si="8"/>
        <v>0</v>
      </c>
      <c r="BW24">
        <f t="shared" si="8"/>
        <v>0</v>
      </c>
      <c r="BX24">
        <f t="shared" si="8"/>
        <v>0</v>
      </c>
      <c r="BY24">
        <f t="shared" si="8"/>
        <v>0</v>
      </c>
      <c r="BZ24">
        <f t="shared" si="8"/>
        <v>0</v>
      </c>
      <c r="CA24">
        <f t="shared" si="8"/>
        <v>0</v>
      </c>
      <c r="CB24">
        <f t="shared" si="8"/>
        <v>0</v>
      </c>
      <c r="CC24">
        <f t="shared" si="8"/>
        <v>0</v>
      </c>
      <c r="CD24">
        <f t="shared" si="8"/>
        <v>0</v>
      </c>
      <c r="CE24">
        <f t="shared" si="8"/>
        <v>0</v>
      </c>
      <c r="CF24">
        <f t="shared" si="8"/>
        <v>0</v>
      </c>
      <c r="CG24">
        <f t="shared" si="8"/>
        <v>0</v>
      </c>
      <c r="CH24">
        <f t="shared" si="8"/>
        <v>0</v>
      </c>
      <c r="CI24">
        <f t="shared" si="8"/>
        <v>0</v>
      </c>
      <c r="CJ24">
        <f t="shared" si="8"/>
        <v>0</v>
      </c>
      <c r="CK24">
        <f t="shared" si="8"/>
        <v>0</v>
      </c>
      <c r="CL24">
        <f t="shared" si="8"/>
        <v>0</v>
      </c>
      <c r="CM24">
        <f t="shared" si="8"/>
        <v>0</v>
      </c>
      <c r="CN24">
        <f t="shared" si="8"/>
        <v>0</v>
      </c>
      <c r="CO24">
        <f t="shared" si="8"/>
        <v>0</v>
      </c>
      <c r="CP24">
        <f t="shared" si="8"/>
        <v>0</v>
      </c>
      <c r="CQ24">
        <f t="shared" si="8"/>
        <v>0</v>
      </c>
      <c r="CR24">
        <f t="shared" si="8"/>
        <v>0</v>
      </c>
      <c r="CS24">
        <f t="shared" si="8"/>
        <v>0</v>
      </c>
      <c r="CT24">
        <f t="shared" si="8"/>
        <v>0</v>
      </c>
      <c r="CU24">
        <f t="shared" si="8"/>
        <v>0</v>
      </c>
      <c r="CV24">
        <f t="shared" si="8"/>
        <v>0</v>
      </c>
      <c r="CW24">
        <f t="shared" si="8"/>
        <v>0</v>
      </c>
      <c r="CX24">
        <f t="shared" si="8"/>
        <v>0</v>
      </c>
      <c r="CY24">
        <f t="shared" si="8"/>
        <v>0</v>
      </c>
      <c r="CZ24">
        <f t="shared" si="8"/>
        <v>0</v>
      </c>
      <c r="DA24">
        <f t="shared" si="8"/>
        <v>0</v>
      </c>
      <c r="DB24">
        <f t="shared" si="8"/>
        <v>0</v>
      </c>
      <c r="DC24">
        <f t="shared" si="8"/>
        <v>0</v>
      </c>
      <c r="DD24">
        <f t="shared" si="8"/>
        <v>0</v>
      </c>
      <c r="DE24">
        <f t="shared" si="8"/>
        <v>0</v>
      </c>
      <c r="DF24">
        <f t="shared" si="8"/>
        <v>0</v>
      </c>
      <c r="DG24">
        <f t="shared" si="8"/>
        <v>0</v>
      </c>
      <c r="DH24">
        <f t="shared" si="8"/>
        <v>0</v>
      </c>
      <c r="DI24">
        <f t="shared" si="8"/>
        <v>0</v>
      </c>
      <c r="DJ24">
        <f t="shared" si="8"/>
        <v>0</v>
      </c>
      <c r="DK24">
        <f t="shared" si="8"/>
        <v>0</v>
      </c>
      <c r="DL24">
        <f t="shared" si="8"/>
        <v>0</v>
      </c>
      <c r="DM24">
        <f t="shared" si="8"/>
        <v>0</v>
      </c>
      <c r="DN24">
        <f t="shared" si="8"/>
        <v>0</v>
      </c>
      <c r="DO24">
        <f t="shared" si="8"/>
        <v>0</v>
      </c>
      <c r="DP24">
        <f t="shared" si="8"/>
        <v>0</v>
      </c>
      <c r="DQ24">
        <f t="shared" si="8"/>
        <v>0</v>
      </c>
      <c r="DR24">
        <f t="shared" si="8"/>
        <v>0</v>
      </c>
      <c r="DS24">
        <f t="shared" si="8"/>
        <v>0</v>
      </c>
      <c r="DT24">
        <f t="shared" si="8"/>
        <v>0</v>
      </c>
      <c r="DU24">
        <f t="shared" si="8"/>
        <v>0</v>
      </c>
      <c r="DV24">
        <f t="shared" si="8"/>
        <v>0</v>
      </c>
      <c r="DW24">
        <f t="shared" si="8"/>
        <v>0</v>
      </c>
      <c r="DX24">
        <f t="shared" si="8"/>
        <v>0</v>
      </c>
      <c r="DY24">
        <f t="shared" si="8"/>
        <v>0</v>
      </c>
      <c r="DZ24">
        <f t="shared" si="8"/>
        <v>0</v>
      </c>
      <c r="EA24">
        <f t="shared" si="8"/>
        <v>0</v>
      </c>
      <c r="EB24">
        <f t="shared" si="8"/>
        <v>0</v>
      </c>
      <c r="EC24">
        <f t="shared" si="8"/>
        <v>0</v>
      </c>
      <c r="ED24">
        <f t="shared" ref="ED24:FU26" si="9">ED4-ROUNDUP(ED4*0.3,2)</f>
        <v>0</v>
      </c>
      <c r="EE24">
        <f t="shared" si="9"/>
        <v>0</v>
      </c>
      <c r="EF24">
        <f t="shared" si="9"/>
        <v>0</v>
      </c>
      <c r="EG24">
        <f t="shared" si="9"/>
        <v>0</v>
      </c>
      <c r="EH24">
        <f t="shared" si="9"/>
        <v>0</v>
      </c>
      <c r="EI24">
        <f t="shared" si="9"/>
        <v>0</v>
      </c>
      <c r="EJ24">
        <f t="shared" si="9"/>
        <v>0</v>
      </c>
      <c r="EK24">
        <f t="shared" si="9"/>
        <v>0</v>
      </c>
      <c r="EL24">
        <f t="shared" si="9"/>
        <v>0</v>
      </c>
      <c r="EM24">
        <f t="shared" si="9"/>
        <v>0</v>
      </c>
      <c r="EN24">
        <f t="shared" si="9"/>
        <v>0</v>
      </c>
      <c r="EO24">
        <f t="shared" si="9"/>
        <v>0</v>
      </c>
      <c r="EP24">
        <f t="shared" si="9"/>
        <v>0</v>
      </c>
      <c r="EQ24">
        <f t="shared" si="9"/>
        <v>0</v>
      </c>
      <c r="ER24">
        <f t="shared" si="9"/>
        <v>0</v>
      </c>
      <c r="ES24">
        <f t="shared" si="9"/>
        <v>0</v>
      </c>
      <c r="ET24">
        <f t="shared" si="9"/>
        <v>0</v>
      </c>
      <c r="EU24">
        <f t="shared" si="9"/>
        <v>0</v>
      </c>
      <c r="EV24">
        <f t="shared" si="9"/>
        <v>0</v>
      </c>
      <c r="EW24">
        <f t="shared" si="9"/>
        <v>0</v>
      </c>
      <c r="EX24">
        <f t="shared" si="9"/>
        <v>0</v>
      </c>
      <c r="EY24">
        <f t="shared" si="9"/>
        <v>0</v>
      </c>
      <c r="EZ24">
        <f t="shared" si="9"/>
        <v>0</v>
      </c>
      <c r="FA24">
        <f t="shared" si="9"/>
        <v>0</v>
      </c>
      <c r="FB24">
        <f t="shared" si="9"/>
        <v>0</v>
      </c>
      <c r="FC24">
        <f t="shared" si="9"/>
        <v>0</v>
      </c>
      <c r="FD24">
        <f t="shared" si="9"/>
        <v>0</v>
      </c>
      <c r="FE24">
        <f t="shared" si="9"/>
        <v>0</v>
      </c>
      <c r="FF24">
        <f t="shared" si="9"/>
        <v>0</v>
      </c>
      <c r="FG24">
        <f t="shared" si="9"/>
        <v>0</v>
      </c>
      <c r="FH24">
        <f t="shared" si="9"/>
        <v>0</v>
      </c>
      <c r="FI24">
        <f t="shared" si="9"/>
        <v>0</v>
      </c>
      <c r="FJ24">
        <f t="shared" si="9"/>
        <v>0</v>
      </c>
      <c r="FK24">
        <f t="shared" si="9"/>
        <v>0</v>
      </c>
      <c r="FL24">
        <f t="shared" si="9"/>
        <v>0</v>
      </c>
      <c r="FM24">
        <f t="shared" si="9"/>
        <v>0</v>
      </c>
      <c r="FN24">
        <f t="shared" si="9"/>
        <v>0</v>
      </c>
      <c r="FO24">
        <f t="shared" si="9"/>
        <v>0</v>
      </c>
      <c r="FP24">
        <f t="shared" si="9"/>
        <v>0</v>
      </c>
      <c r="FQ24">
        <f t="shared" si="9"/>
        <v>0</v>
      </c>
      <c r="FR24">
        <f t="shared" si="9"/>
        <v>0</v>
      </c>
      <c r="FS24">
        <f t="shared" si="9"/>
        <v>0</v>
      </c>
      <c r="FT24">
        <f t="shared" si="9"/>
        <v>0</v>
      </c>
      <c r="FU24">
        <f t="shared" si="9"/>
        <v>0</v>
      </c>
    </row>
    <row r="25" spans="1:177" x14ac:dyDescent="0.25">
      <c r="A25" t="str">
        <f t="shared" ref="A25:D25" si="10">A5</f>
        <v>MAG-7</v>
      </c>
      <c r="B25" t="str">
        <f t="shared" si="10"/>
        <v>Popdog FN</v>
      </c>
      <c r="C25" t="str">
        <f t="shared" si="10"/>
        <v>Heavy</v>
      </c>
      <c r="D25" t="str">
        <f t="shared" si="10"/>
        <v>CS20</v>
      </c>
      <c r="E25">
        <f t="shared" ref="E25:T34" si="11">E5-ROUNDUP(E5*0.3,2)</f>
        <v>0.21</v>
      </c>
      <c r="F25">
        <f t="shared" si="11"/>
        <v>0.21</v>
      </c>
      <c r="G25">
        <f t="shared" si="11"/>
        <v>0.23000000000000004</v>
      </c>
      <c r="H25">
        <f t="shared" si="11"/>
        <v>0.23000000000000004</v>
      </c>
      <c r="I25">
        <f t="shared" si="11"/>
        <v>0.22000000000000003</v>
      </c>
      <c r="J25">
        <f t="shared" si="11"/>
        <v>0.25</v>
      </c>
      <c r="K25">
        <f t="shared" si="11"/>
        <v>0.23000000000000004</v>
      </c>
      <c r="L25">
        <f t="shared" si="11"/>
        <v>0.21</v>
      </c>
      <c r="M25">
        <f t="shared" si="11"/>
        <v>0.23000000000000004</v>
      </c>
      <c r="N25">
        <f t="shared" si="11"/>
        <v>0.22000000000000003</v>
      </c>
      <c r="O25">
        <f t="shared" si="11"/>
        <v>0.23000000000000004</v>
      </c>
      <c r="P25">
        <f t="shared" si="11"/>
        <v>0.21</v>
      </c>
      <c r="Q25">
        <f t="shared" si="11"/>
        <v>0.21000000000000002</v>
      </c>
      <c r="R25">
        <f t="shared" si="11"/>
        <v>0.22000000000000003</v>
      </c>
      <c r="S25">
        <f t="shared" si="11"/>
        <v>0.21</v>
      </c>
      <c r="T25">
        <f t="shared" si="11"/>
        <v>0.22000000000000003</v>
      </c>
      <c r="U25">
        <f t="shared" si="7"/>
        <v>0.22000000000000003</v>
      </c>
      <c r="V25">
        <f t="shared" si="7"/>
        <v>0.19999999999999998</v>
      </c>
      <c r="W25">
        <f t="shared" si="7"/>
        <v>0.19999999999999998</v>
      </c>
      <c r="X25">
        <f t="shared" si="7"/>
        <v>0.19999999999999998</v>
      </c>
      <c r="Y25">
        <f t="shared" si="7"/>
        <v>0.19000000000000003</v>
      </c>
      <c r="Z25">
        <f t="shared" si="7"/>
        <v>0</v>
      </c>
      <c r="AA25">
        <f t="shared" si="7"/>
        <v>0</v>
      </c>
      <c r="AB25">
        <f t="shared" si="7"/>
        <v>0</v>
      </c>
      <c r="AC25">
        <f t="shared" si="7"/>
        <v>0</v>
      </c>
      <c r="AD25">
        <f t="shared" si="7"/>
        <v>0</v>
      </c>
      <c r="AE25">
        <f t="shared" si="7"/>
        <v>0</v>
      </c>
      <c r="AF25">
        <f t="shared" si="7"/>
        <v>0</v>
      </c>
      <c r="AG25">
        <f t="shared" si="7"/>
        <v>0</v>
      </c>
      <c r="AH25">
        <f t="shared" si="7"/>
        <v>0</v>
      </c>
      <c r="AI25">
        <f t="shared" si="7"/>
        <v>0</v>
      </c>
      <c r="AJ25">
        <f t="shared" si="7"/>
        <v>0</v>
      </c>
      <c r="AK25">
        <f t="shared" si="7"/>
        <v>0</v>
      </c>
      <c r="AL25">
        <f t="shared" si="7"/>
        <v>0</v>
      </c>
      <c r="AM25">
        <f t="shared" si="7"/>
        <v>0</v>
      </c>
      <c r="AN25">
        <f t="shared" si="7"/>
        <v>0</v>
      </c>
      <c r="AO25">
        <f t="shared" si="7"/>
        <v>0</v>
      </c>
      <c r="AP25">
        <f t="shared" si="7"/>
        <v>0</v>
      </c>
      <c r="AQ25">
        <f t="shared" si="7"/>
        <v>0</v>
      </c>
      <c r="AR25">
        <f t="shared" si="7"/>
        <v>0</v>
      </c>
      <c r="AS25">
        <f t="shared" si="7"/>
        <v>0</v>
      </c>
      <c r="AT25">
        <f t="shared" si="7"/>
        <v>0</v>
      </c>
      <c r="AU25">
        <f t="shared" si="7"/>
        <v>0</v>
      </c>
      <c r="AV25">
        <f t="shared" si="7"/>
        <v>0</v>
      </c>
      <c r="AW25">
        <f t="shared" si="7"/>
        <v>0</v>
      </c>
      <c r="AX25">
        <f t="shared" si="7"/>
        <v>0</v>
      </c>
      <c r="AY25">
        <f t="shared" si="7"/>
        <v>0</v>
      </c>
      <c r="AZ25">
        <f t="shared" si="7"/>
        <v>0</v>
      </c>
      <c r="BA25">
        <f t="shared" si="7"/>
        <v>0</v>
      </c>
      <c r="BB25">
        <f t="shared" si="7"/>
        <v>0</v>
      </c>
      <c r="BC25">
        <f t="shared" si="7"/>
        <v>0</v>
      </c>
      <c r="BD25">
        <f t="shared" si="7"/>
        <v>0</v>
      </c>
      <c r="BE25">
        <f t="shared" si="7"/>
        <v>0</v>
      </c>
      <c r="BF25">
        <f t="shared" si="7"/>
        <v>0</v>
      </c>
      <c r="BG25">
        <f t="shared" si="7"/>
        <v>0</v>
      </c>
      <c r="BH25">
        <f t="shared" si="7"/>
        <v>0</v>
      </c>
      <c r="BI25">
        <f t="shared" si="7"/>
        <v>0</v>
      </c>
      <c r="BJ25">
        <f t="shared" si="7"/>
        <v>0</v>
      </c>
      <c r="BK25">
        <f t="shared" si="7"/>
        <v>0</v>
      </c>
      <c r="BL25">
        <f t="shared" si="7"/>
        <v>0</v>
      </c>
      <c r="BM25">
        <f t="shared" si="7"/>
        <v>0</v>
      </c>
      <c r="BN25">
        <f t="shared" si="7"/>
        <v>0</v>
      </c>
      <c r="BO25">
        <f t="shared" si="7"/>
        <v>0</v>
      </c>
      <c r="BP25">
        <f t="shared" si="7"/>
        <v>0</v>
      </c>
      <c r="BQ25">
        <f t="shared" si="7"/>
        <v>0</v>
      </c>
      <c r="BR25">
        <f t="shared" si="8"/>
        <v>0</v>
      </c>
      <c r="BS25">
        <f t="shared" si="8"/>
        <v>0</v>
      </c>
      <c r="BT25">
        <f t="shared" si="8"/>
        <v>0</v>
      </c>
      <c r="BU25">
        <f t="shared" si="8"/>
        <v>0</v>
      </c>
      <c r="BV25">
        <f t="shared" si="8"/>
        <v>0</v>
      </c>
      <c r="BW25">
        <f t="shared" si="8"/>
        <v>0</v>
      </c>
      <c r="BX25">
        <f t="shared" si="8"/>
        <v>0</v>
      </c>
      <c r="BY25">
        <f t="shared" si="8"/>
        <v>0</v>
      </c>
      <c r="BZ25">
        <f t="shared" si="8"/>
        <v>0</v>
      </c>
      <c r="CA25">
        <f t="shared" si="8"/>
        <v>0</v>
      </c>
      <c r="CB25">
        <f t="shared" si="8"/>
        <v>0</v>
      </c>
      <c r="CC25">
        <f t="shared" si="8"/>
        <v>0</v>
      </c>
      <c r="CD25">
        <f t="shared" si="8"/>
        <v>0</v>
      </c>
      <c r="CE25">
        <f t="shared" si="8"/>
        <v>0</v>
      </c>
      <c r="CF25">
        <f t="shared" si="8"/>
        <v>0</v>
      </c>
      <c r="CG25">
        <f t="shared" si="8"/>
        <v>0</v>
      </c>
      <c r="CH25">
        <f t="shared" si="8"/>
        <v>0</v>
      </c>
      <c r="CI25">
        <f t="shared" si="8"/>
        <v>0</v>
      </c>
      <c r="CJ25">
        <f t="shared" si="8"/>
        <v>0</v>
      </c>
      <c r="CK25">
        <f t="shared" si="8"/>
        <v>0</v>
      </c>
      <c r="CL25">
        <f t="shared" si="8"/>
        <v>0</v>
      </c>
      <c r="CM25">
        <f t="shared" si="8"/>
        <v>0</v>
      </c>
      <c r="CN25">
        <f t="shared" si="8"/>
        <v>0</v>
      </c>
      <c r="CO25">
        <f t="shared" si="8"/>
        <v>0</v>
      </c>
      <c r="CP25">
        <f t="shared" si="8"/>
        <v>0</v>
      </c>
      <c r="CQ25">
        <f t="shared" si="8"/>
        <v>0</v>
      </c>
      <c r="CR25">
        <f t="shared" si="8"/>
        <v>0</v>
      </c>
      <c r="CS25">
        <f t="shared" si="8"/>
        <v>0</v>
      </c>
      <c r="CT25">
        <f t="shared" si="8"/>
        <v>0</v>
      </c>
      <c r="CU25">
        <f t="shared" si="8"/>
        <v>0</v>
      </c>
      <c r="CV25">
        <f t="shared" si="8"/>
        <v>0</v>
      </c>
      <c r="CW25">
        <f t="shared" si="8"/>
        <v>0</v>
      </c>
      <c r="CX25">
        <f t="shared" si="8"/>
        <v>0</v>
      </c>
      <c r="CY25">
        <f t="shared" si="8"/>
        <v>0</v>
      </c>
      <c r="CZ25">
        <f t="shared" si="8"/>
        <v>0</v>
      </c>
      <c r="DA25">
        <f t="shared" si="8"/>
        <v>0</v>
      </c>
      <c r="DB25">
        <f t="shared" si="8"/>
        <v>0</v>
      </c>
      <c r="DC25">
        <f t="shared" si="8"/>
        <v>0</v>
      </c>
      <c r="DD25">
        <f t="shared" si="8"/>
        <v>0</v>
      </c>
      <c r="DE25">
        <f t="shared" si="8"/>
        <v>0</v>
      </c>
      <c r="DF25">
        <f t="shared" si="8"/>
        <v>0</v>
      </c>
      <c r="DG25">
        <f t="shared" si="8"/>
        <v>0</v>
      </c>
      <c r="DH25">
        <f t="shared" si="8"/>
        <v>0</v>
      </c>
      <c r="DI25">
        <f t="shared" si="8"/>
        <v>0</v>
      </c>
      <c r="DJ25">
        <f t="shared" si="8"/>
        <v>0</v>
      </c>
      <c r="DK25">
        <f t="shared" si="8"/>
        <v>0</v>
      </c>
      <c r="DL25">
        <f t="shared" si="8"/>
        <v>0</v>
      </c>
      <c r="DM25">
        <f t="shared" si="8"/>
        <v>0</v>
      </c>
      <c r="DN25">
        <f t="shared" si="8"/>
        <v>0</v>
      </c>
      <c r="DO25">
        <f t="shared" si="8"/>
        <v>0</v>
      </c>
      <c r="DP25">
        <f t="shared" si="8"/>
        <v>0</v>
      </c>
      <c r="DQ25">
        <f t="shared" si="8"/>
        <v>0</v>
      </c>
      <c r="DR25">
        <f t="shared" si="8"/>
        <v>0</v>
      </c>
      <c r="DS25">
        <f t="shared" si="8"/>
        <v>0</v>
      </c>
      <c r="DT25">
        <f t="shared" si="8"/>
        <v>0</v>
      </c>
      <c r="DU25">
        <f t="shared" si="8"/>
        <v>0</v>
      </c>
      <c r="DV25">
        <f t="shared" si="8"/>
        <v>0</v>
      </c>
      <c r="DW25">
        <f t="shared" si="8"/>
        <v>0</v>
      </c>
      <c r="DX25">
        <f t="shared" si="8"/>
        <v>0</v>
      </c>
      <c r="DY25">
        <f t="shared" si="8"/>
        <v>0</v>
      </c>
      <c r="DZ25">
        <f t="shared" si="8"/>
        <v>0</v>
      </c>
      <c r="EA25">
        <f t="shared" si="8"/>
        <v>0</v>
      </c>
      <c r="EB25">
        <f t="shared" si="8"/>
        <v>0</v>
      </c>
      <c r="EC25">
        <f t="shared" si="8"/>
        <v>0</v>
      </c>
      <c r="ED25">
        <f t="shared" si="9"/>
        <v>0</v>
      </c>
      <c r="EE25">
        <f t="shared" si="9"/>
        <v>0</v>
      </c>
      <c r="EF25">
        <f t="shared" si="9"/>
        <v>0</v>
      </c>
      <c r="EG25">
        <f t="shared" si="9"/>
        <v>0</v>
      </c>
      <c r="EH25">
        <f t="shared" si="9"/>
        <v>0</v>
      </c>
      <c r="EI25">
        <f t="shared" si="9"/>
        <v>0</v>
      </c>
      <c r="EJ25">
        <f t="shared" si="9"/>
        <v>0</v>
      </c>
      <c r="EK25">
        <f t="shared" si="9"/>
        <v>0</v>
      </c>
      <c r="EL25">
        <f t="shared" si="9"/>
        <v>0</v>
      </c>
      <c r="EM25">
        <f t="shared" si="9"/>
        <v>0</v>
      </c>
      <c r="EN25">
        <f t="shared" si="9"/>
        <v>0</v>
      </c>
      <c r="EO25">
        <f t="shared" si="9"/>
        <v>0</v>
      </c>
      <c r="EP25">
        <f t="shared" si="9"/>
        <v>0</v>
      </c>
      <c r="EQ25">
        <f t="shared" si="9"/>
        <v>0</v>
      </c>
      <c r="ER25">
        <f t="shared" si="9"/>
        <v>0</v>
      </c>
      <c r="ES25">
        <f t="shared" si="9"/>
        <v>0</v>
      </c>
      <c r="ET25">
        <f t="shared" si="9"/>
        <v>0</v>
      </c>
      <c r="EU25">
        <f t="shared" si="9"/>
        <v>0</v>
      </c>
      <c r="EV25">
        <f t="shared" si="9"/>
        <v>0</v>
      </c>
      <c r="EW25">
        <f t="shared" si="9"/>
        <v>0</v>
      </c>
      <c r="EX25">
        <f t="shared" si="9"/>
        <v>0</v>
      </c>
      <c r="EY25">
        <f t="shared" si="9"/>
        <v>0</v>
      </c>
      <c r="EZ25">
        <f t="shared" si="9"/>
        <v>0</v>
      </c>
      <c r="FA25">
        <f t="shared" si="9"/>
        <v>0</v>
      </c>
      <c r="FB25">
        <f t="shared" si="9"/>
        <v>0</v>
      </c>
      <c r="FC25">
        <f t="shared" si="9"/>
        <v>0</v>
      </c>
      <c r="FD25">
        <f t="shared" si="9"/>
        <v>0</v>
      </c>
      <c r="FE25">
        <f t="shared" si="9"/>
        <v>0</v>
      </c>
      <c r="FF25">
        <f t="shared" si="9"/>
        <v>0</v>
      </c>
      <c r="FG25">
        <f t="shared" si="9"/>
        <v>0</v>
      </c>
      <c r="FH25">
        <f t="shared" si="9"/>
        <v>0</v>
      </c>
      <c r="FI25">
        <f t="shared" si="9"/>
        <v>0</v>
      </c>
      <c r="FJ25">
        <f t="shared" si="9"/>
        <v>0</v>
      </c>
      <c r="FK25">
        <f t="shared" si="9"/>
        <v>0</v>
      </c>
      <c r="FL25">
        <f t="shared" si="9"/>
        <v>0</v>
      </c>
      <c r="FM25">
        <f t="shared" si="9"/>
        <v>0</v>
      </c>
      <c r="FN25">
        <f t="shared" si="9"/>
        <v>0</v>
      </c>
      <c r="FO25">
        <f t="shared" si="9"/>
        <v>0</v>
      </c>
      <c r="FP25">
        <f t="shared" si="9"/>
        <v>0</v>
      </c>
      <c r="FQ25">
        <f t="shared" si="9"/>
        <v>0</v>
      </c>
      <c r="FR25">
        <f t="shared" si="9"/>
        <v>0</v>
      </c>
      <c r="FS25">
        <f t="shared" si="9"/>
        <v>0</v>
      </c>
      <c r="FT25">
        <f t="shared" si="9"/>
        <v>0</v>
      </c>
      <c r="FU25">
        <f t="shared" si="9"/>
        <v>0</v>
      </c>
    </row>
    <row r="26" spans="1:177" x14ac:dyDescent="0.25">
      <c r="A26" t="str">
        <f t="shared" ref="A26:D26" si="12">A6</f>
        <v>XM1014</v>
      </c>
      <c r="B26" t="str">
        <f t="shared" si="12"/>
        <v>Souvenir VariCamo Blue FN</v>
      </c>
      <c r="C26" t="str">
        <f t="shared" si="12"/>
        <v>Heavy</v>
      </c>
      <c r="D26" t="str">
        <f t="shared" si="12"/>
        <v>Overpass</v>
      </c>
      <c r="E26">
        <f t="shared" si="11"/>
        <v>2.5199999999999996</v>
      </c>
      <c r="F26">
        <f t="shared" ref="F26:BQ29" si="13">F6-ROUNDUP(F6*0.3,2)</f>
        <v>2.4400000000000004</v>
      </c>
      <c r="G26">
        <f t="shared" si="13"/>
        <v>2.42</v>
      </c>
      <c r="H26">
        <f t="shared" si="13"/>
        <v>2.74</v>
      </c>
      <c r="I26">
        <f t="shared" si="13"/>
        <v>2.5</v>
      </c>
      <c r="J26">
        <f t="shared" si="13"/>
        <v>2.4400000000000004</v>
      </c>
      <c r="K26">
        <f t="shared" si="13"/>
        <v>2.4400000000000004</v>
      </c>
      <c r="L26">
        <f t="shared" si="13"/>
        <v>2.4400000000000004</v>
      </c>
      <c r="M26">
        <f t="shared" si="13"/>
        <v>2.13</v>
      </c>
      <c r="N26">
        <f t="shared" si="13"/>
        <v>2.42</v>
      </c>
      <c r="O26">
        <f t="shared" si="13"/>
        <v>2.42</v>
      </c>
      <c r="P26">
        <f t="shared" si="13"/>
        <v>2.94</v>
      </c>
      <c r="Q26">
        <f t="shared" si="13"/>
        <v>2.75</v>
      </c>
      <c r="R26">
        <f t="shared" si="13"/>
        <v>2.5300000000000002</v>
      </c>
      <c r="S26">
        <f t="shared" si="13"/>
        <v>2.7</v>
      </c>
      <c r="T26">
        <f t="shared" si="13"/>
        <v>2.66</v>
      </c>
      <c r="U26">
        <f t="shared" si="13"/>
        <v>2.66</v>
      </c>
      <c r="V26">
        <f t="shared" si="13"/>
        <v>2.6</v>
      </c>
      <c r="W26">
        <f t="shared" si="13"/>
        <v>2.17</v>
      </c>
      <c r="X26">
        <f t="shared" si="13"/>
        <v>2.14</v>
      </c>
      <c r="Y26">
        <f t="shared" si="13"/>
        <v>2.15</v>
      </c>
      <c r="Z26">
        <f t="shared" si="13"/>
        <v>0</v>
      </c>
      <c r="AA26">
        <f t="shared" si="13"/>
        <v>0</v>
      </c>
      <c r="AB26">
        <f t="shared" si="13"/>
        <v>0</v>
      </c>
      <c r="AC26">
        <f t="shared" si="13"/>
        <v>0</v>
      </c>
      <c r="AD26">
        <f t="shared" si="13"/>
        <v>0</v>
      </c>
      <c r="AE26">
        <f t="shared" si="13"/>
        <v>0</v>
      </c>
      <c r="AF26">
        <f t="shared" si="13"/>
        <v>0</v>
      </c>
      <c r="AG26">
        <f t="shared" si="13"/>
        <v>0</v>
      </c>
      <c r="AH26">
        <f t="shared" si="13"/>
        <v>0</v>
      </c>
      <c r="AI26">
        <f t="shared" si="13"/>
        <v>0</v>
      </c>
      <c r="AJ26">
        <f t="shared" si="13"/>
        <v>0</v>
      </c>
      <c r="AK26">
        <f t="shared" si="13"/>
        <v>0</v>
      </c>
      <c r="AL26">
        <f t="shared" si="13"/>
        <v>0</v>
      </c>
      <c r="AM26">
        <f t="shared" si="13"/>
        <v>0</v>
      </c>
      <c r="AN26">
        <f t="shared" si="13"/>
        <v>0</v>
      </c>
      <c r="AO26">
        <f t="shared" si="13"/>
        <v>0</v>
      </c>
      <c r="AP26">
        <f t="shared" si="13"/>
        <v>0</v>
      </c>
      <c r="AQ26">
        <f t="shared" si="13"/>
        <v>0</v>
      </c>
      <c r="AR26">
        <f t="shared" si="13"/>
        <v>0</v>
      </c>
      <c r="AS26">
        <f t="shared" si="13"/>
        <v>0</v>
      </c>
      <c r="AT26">
        <f t="shared" si="13"/>
        <v>0</v>
      </c>
      <c r="AU26">
        <f t="shared" si="13"/>
        <v>0</v>
      </c>
      <c r="AV26">
        <f t="shared" si="13"/>
        <v>0</v>
      </c>
      <c r="AW26">
        <f t="shared" si="13"/>
        <v>0</v>
      </c>
      <c r="AX26">
        <f t="shared" si="13"/>
        <v>0</v>
      </c>
      <c r="AY26">
        <f t="shared" si="13"/>
        <v>0</v>
      </c>
      <c r="AZ26">
        <f t="shared" si="13"/>
        <v>0</v>
      </c>
      <c r="BA26">
        <f t="shared" si="13"/>
        <v>0</v>
      </c>
      <c r="BB26">
        <f t="shared" si="13"/>
        <v>0</v>
      </c>
      <c r="BC26">
        <f t="shared" si="13"/>
        <v>0</v>
      </c>
      <c r="BD26">
        <f t="shared" si="13"/>
        <v>0</v>
      </c>
      <c r="BE26">
        <f t="shared" si="13"/>
        <v>0</v>
      </c>
      <c r="BF26">
        <f t="shared" si="13"/>
        <v>0</v>
      </c>
      <c r="BG26">
        <f t="shared" si="13"/>
        <v>0</v>
      </c>
      <c r="BH26">
        <f t="shared" si="13"/>
        <v>0</v>
      </c>
      <c r="BI26">
        <f t="shared" si="13"/>
        <v>0</v>
      </c>
      <c r="BJ26">
        <f t="shared" si="13"/>
        <v>0</v>
      </c>
      <c r="BK26">
        <f t="shared" si="13"/>
        <v>0</v>
      </c>
      <c r="BL26">
        <f t="shared" si="13"/>
        <v>0</v>
      </c>
      <c r="BM26">
        <f t="shared" si="13"/>
        <v>0</v>
      </c>
      <c r="BN26">
        <f t="shared" si="13"/>
        <v>0</v>
      </c>
      <c r="BO26">
        <f t="shared" si="13"/>
        <v>0</v>
      </c>
      <c r="BP26">
        <f t="shared" si="13"/>
        <v>0</v>
      </c>
      <c r="BQ26">
        <f t="shared" si="13"/>
        <v>0</v>
      </c>
      <c r="BR26">
        <f t="shared" si="8"/>
        <v>0</v>
      </c>
      <c r="BS26">
        <f t="shared" si="8"/>
        <v>0</v>
      </c>
      <c r="BT26">
        <f t="shared" si="8"/>
        <v>0</v>
      </c>
      <c r="BU26">
        <f t="shared" si="8"/>
        <v>0</v>
      </c>
      <c r="BV26">
        <f t="shared" si="8"/>
        <v>0</v>
      </c>
      <c r="BW26">
        <f t="shared" si="8"/>
        <v>0</v>
      </c>
      <c r="BX26">
        <f t="shared" si="8"/>
        <v>0</v>
      </c>
      <c r="BY26">
        <f t="shared" si="8"/>
        <v>0</v>
      </c>
      <c r="BZ26">
        <f t="shared" si="8"/>
        <v>0</v>
      </c>
      <c r="CA26">
        <f t="shared" si="8"/>
        <v>0</v>
      </c>
      <c r="CB26">
        <f t="shared" si="8"/>
        <v>0</v>
      </c>
      <c r="CC26">
        <f t="shared" si="8"/>
        <v>0</v>
      </c>
      <c r="CD26">
        <f t="shared" si="8"/>
        <v>0</v>
      </c>
      <c r="CE26">
        <f t="shared" si="8"/>
        <v>0</v>
      </c>
      <c r="CF26">
        <f t="shared" si="8"/>
        <v>0</v>
      </c>
      <c r="CG26">
        <f t="shared" si="8"/>
        <v>0</v>
      </c>
      <c r="CH26">
        <f t="shared" si="8"/>
        <v>0</v>
      </c>
      <c r="CI26">
        <f t="shared" si="8"/>
        <v>0</v>
      </c>
      <c r="CJ26">
        <f t="shared" si="8"/>
        <v>0</v>
      </c>
      <c r="CK26">
        <f t="shared" si="8"/>
        <v>0</v>
      </c>
      <c r="CL26">
        <f t="shared" si="8"/>
        <v>0</v>
      </c>
      <c r="CM26">
        <f t="shared" si="8"/>
        <v>0</v>
      </c>
      <c r="CN26">
        <f t="shared" si="8"/>
        <v>0</v>
      </c>
      <c r="CO26">
        <f t="shared" si="8"/>
        <v>0</v>
      </c>
      <c r="CP26">
        <f t="shared" si="8"/>
        <v>0</v>
      </c>
      <c r="CQ26">
        <f t="shared" si="8"/>
        <v>0</v>
      </c>
      <c r="CR26">
        <f t="shared" si="8"/>
        <v>0</v>
      </c>
      <c r="CS26">
        <f t="shared" si="8"/>
        <v>0</v>
      </c>
      <c r="CT26">
        <f t="shared" si="8"/>
        <v>0</v>
      </c>
      <c r="CU26">
        <f t="shared" si="8"/>
        <v>0</v>
      </c>
      <c r="CV26">
        <f t="shared" si="8"/>
        <v>0</v>
      </c>
      <c r="CW26">
        <f t="shared" si="8"/>
        <v>0</v>
      </c>
      <c r="CX26">
        <f t="shared" si="8"/>
        <v>0</v>
      </c>
      <c r="CY26">
        <f t="shared" si="8"/>
        <v>0</v>
      </c>
      <c r="CZ26">
        <f t="shared" si="8"/>
        <v>0</v>
      </c>
      <c r="DA26">
        <f t="shared" si="8"/>
        <v>0</v>
      </c>
      <c r="DB26">
        <f t="shared" si="8"/>
        <v>0</v>
      </c>
      <c r="DC26">
        <f t="shared" si="8"/>
        <v>0</v>
      </c>
      <c r="DD26">
        <f t="shared" si="8"/>
        <v>0</v>
      </c>
      <c r="DE26">
        <f t="shared" si="8"/>
        <v>0</v>
      </c>
      <c r="DF26">
        <f t="shared" si="8"/>
        <v>0</v>
      </c>
      <c r="DG26">
        <f t="shared" si="8"/>
        <v>0</v>
      </c>
      <c r="DH26">
        <f t="shared" si="8"/>
        <v>0</v>
      </c>
      <c r="DI26">
        <f t="shared" si="8"/>
        <v>0</v>
      </c>
      <c r="DJ26">
        <f t="shared" si="8"/>
        <v>0</v>
      </c>
      <c r="DK26">
        <f t="shared" si="8"/>
        <v>0</v>
      </c>
      <c r="DL26">
        <f t="shared" si="8"/>
        <v>0</v>
      </c>
      <c r="DM26">
        <f t="shared" si="8"/>
        <v>0</v>
      </c>
      <c r="DN26">
        <f t="shared" si="8"/>
        <v>0</v>
      </c>
      <c r="DO26">
        <f t="shared" si="8"/>
        <v>0</v>
      </c>
      <c r="DP26">
        <f t="shared" si="8"/>
        <v>0</v>
      </c>
      <c r="DQ26">
        <f t="shared" si="8"/>
        <v>0</v>
      </c>
      <c r="DR26">
        <f t="shared" si="8"/>
        <v>0</v>
      </c>
      <c r="DS26">
        <f t="shared" si="8"/>
        <v>0</v>
      </c>
      <c r="DT26">
        <f t="shared" si="8"/>
        <v>0</v>
      </c>
      <c r="DU26">
        <f t="shared" si="8"/>
        <v>0</v>
      </c>
      <c r="DV26">
        <f t="shared" si="8"/>
        <v>0</v>
      </c>
      <c r="DW26">
        <f t="shared" si="8"/>
        <v>0</v>
      </c>
      <c r="DX26">
        <f t="shared" si="8"/>
        <v>0</v>
      </c>
      <c r="DY26">
        <f t="shared" si="8"/>
        <v>0</v>
      </c>
      <c r="DZ26">
        <f t="shared" si="8"/>
        <v>0</v>
      </c>
      <c r="EA26">
        <f t="shared" si="8"/>
        <v>0</v>
      </c>
      <c r="EB26">
        <f t="shared" si="8"/>
        <v>0</v>
      </c>
      <c r="EC26">
        <f t="shared" si="8"/>
        <v>0</v>
      </c>
      <c r="ED26">
        <f t="shared" si="9"/>
        <v>0</v>
      </c>
      <c r="EE26">
        <f t="shared" si="9"/>
        <v>0</v>
      </c>
      <c r="EF26">
        <f t="shared" si="9"/>
        <v>0</v>
      </c>
      <c r="EG26">
        <f t="shared" si="9"/>
        <v>0</v>
      </c>
      <c r="EH26">
        <f t="shared" si="9"/>
        <v>0</v>
      </c>
      <c r="EI26">
        <f t="shared" si="9"/>
        <v>0</v>
      </c>
      <c r="EJ26">
        <f t="shared" si="9"/>
        <v>0</v>
      </c>
      <c r="EK26">
        <f t="shared" si="9"/>
        <v>0</v>
      </c>
      <c r="EL26">
        <f t="shared" si="9"/>
        <v>0</v>
      </c>
      <c r="EM26">
        <f t="shared" si="9"/>
        <v>0</v>
      </c>
      <c r="EN26">
        <f t="shared" si="9"/>
        <v>0</v>
      </c>
      <c r="EO26">
        <f t="shared" si="9"/>
        <v>0</v>
      </c>
      <c r="EP26">
        <f t="shared" si="9"/>
        <v>0</v>
      </c>
      <c r="EQ26">
        <f t="shared" si="9"/>
        <v>0</v>
      </c>
      <c r="ER26">
        <f t="shared" si="9"/>
        <v>0</v>
      </c>
      <c r="ES26">
        <f t="shared" si="9"/>
        <v>0</v>
      </c>
      <c r="ET26">
        <f t="shared" si="9"/>
        <v>0</v>
      </c>
      <c r="EU26">
        <f t="shared" si="9"/>
        <v>0</v>
      </c>
      <c r="EV26">
        <f t="shared" si="9"/>
        <v>0</v>
      </c>
      <c r="EW26">
        <f t="shared" si="9"/>
        <v>0</v>
      </c>
      <c r="EX26">
        <f t="shared" si="9"/>
        <v>0</v>
      </c>
      <c r="EY26">
        <f t="shared" si="9"/>
        <v>0</v>
      </c>
      <c r="EZ26">
        <f t="shared" si="9"/>
        <v>0</v>
      </c>
      <c r="FA26">
        <f t="shared" si="9"/>
        <v>0</v>
      </c>
      <c r="FB26">
        <f t="shared" si="9"/>
        <v>0</v>
      </c>
      <c r="FC26">
        <f t="shared" si="9"/>
        <v>0</v>
      </c>
      <c r="FD26">
        <f t="shared" si="9"/>
        <v>0</v>
      </c>
      <c r="FE26">
        <f t="shared" si="9"/>
        <v>0</v>
      </c>
      <c r="FF26">
        <f t="shared" si="9"/>
        <v>0</v>
      </c>
      <c r="FG26">
        <f t="shared" si="9"/>
        <v>0</v>
      </c>
      <c r="FH26">
        <f t="shared" si="9"/>
        <v>0</v>
      </c>
      <c r="FI26">
        <f t="shared" si="9"/>
        <v>0</v>
      </c>
      <c r="FJ26">
        <f t="shared" si="9"/>
        <v>0</v>
      </c>
      <c r="FK26">
        <f t="shared" si="9"/>
        <v>0</v>
      </c>
      <c r="FL26">
        <f t="shared" si="9"/>
        <v>0</v>
      </c>
      <c r="FM26">
        <f t="shared" si="9"/>
        <v>0</v>
      </c>
      <c r="FN26">
        <f t="shared" si="9"/>
        <v>0</v>
      </c>
      <c r="FO26">
        <f t="shared" si="9"/>
        <v>0</v>
      </c>
      <c r="FP26">
        <f t="shared" si="9"/>
        <v>0</v>
      </c>
      <c r="FQ26">
        <f t="shared" si="9"/>
        <v>0</v>
      </c>
      <c r="FR26">
        <f t="shared" si="9"/>
        <v>0</v>
      </c>
      <c r="FS26">
        <f t="shared" si="9"/>
        <v>0</v>
      </c>
      <c r="FT26">
        <f t="shared" si="9"/>
        <v>0</v>
      </c>
      <c r="FU26">
        <f t="shared" si="9"/>
        <v>0</v>
      </c>
    </row>
    <row r="27" spans="1:177" x14ac:dyDescent="0.25">
      <c r="A27" t="str">
        <f t="shared" ref="A27:D27" si="14">A7</f>
        <v>MAG-7</v>
      </c>
      <c r="B27" t="str">
        <f t="shared" si="14"/>
        <v>SWAG-7 FT</v>
      </c>
      <c r="C27" t="str">
        <f t="shared" si="14"/>
        <v>Heavy</v>
      </c>
      <c r="D27" t="str">
        <f t="shared" si="14"/>
        <v>Clutch</v>
      </c>
      <c r="E27">
        <f t="shared" si="11"/>
        <v>0.24</v>
      </c>
      <c r="F27">
        <f t="shared" si="13"/>
        <v>0.23000000000000004</v>
      </c>
      <c r="G27">
        <f t="shared" si="13"/>
        <v>0.23000000000000004</v>
      </c>
      <c r="H27">
        <f t="shared" si="13"/>
        <v>0.23000000000000004</v>
      </c>
      <c r="I27">
        <f t="shared" si="13"/>
        <v>0.21000000000000002</v>
      </c>
      <c r="J27">
        <f t="shared" si="13"/>
        <v>0.21</v>
      </c>
      <c r="K27">
        <f t="shared" si="13"/>
        <v>0.21</v>
      </c>
      <c r="L27">
        <f t="shared" si="13"/>
        <v>0.21000000000000002</v>
      </c>
      <c r="M27">
        <f t="shared" si="13"/>
        <v>0.23000000000000004</v>
      </c>
      <c r="N27">
        <f t="shared" si="13"/>
        <v>0.23000000000000004</v>
      </c>
      <c r="O27">
        <f t="shared" si="13"/>
        <v>0.22000000000000003</v>
      </c>
      <c r="P27">
        <f t="shared" si="13"/>
        <v>0.21000000000000002</v>
      </c>
      <c r="Q27">
        <f t="shared" si="13"/>
        <v>0.21000000000000002</v>
      </c>
      <c r="R27">
        <f t="shared" si="13"/>
        <v>0.21000000000000002</v>
      </c>
      <c r="S27">
        <f t="shared" si="13"/>
        <v>0.22000000000000003</v>
      </c>
      <c r="T27">
        <f t="shared" si="13"/>
        <v>0.21</v>
      </c>
      <c r="U27">
        <f t="shared" si="13"/>
        <v>0.21000000000000002</v>
      </c>
      <c r="V27">
        <f t="shared" si="13"/>
        <v>0.22000000000000003</v>
      </c>
      <c r="W27">
        <f t="shared" si="13"/>
        <v>0.21</v>
      </c>
      <c r="X27">
        <f t="shared" si="13"/>
        <v>0.21</v>
      </c>
      <c r="Y27">
        <f t="shared" si="13"/>
        <v>0.19000000000000003</v>
      </c>
      <c r="Z27">
        <f t="shared" si="13"/>
        <v>0</v>
      </c>
      <c r="AA27">
        <f t="shared" si="13"/>
        <v>0</v>
      </c>
      <c r="AB27">
        <f t="shared" si="13"/>
        <v>0</v>
      </c>
      <c r="AC27">
        <f t="shared" si="13"/>
        <v>0</v>
      </c>
      <c r="AD27">
        <f t="shared" si="13"/>
        <v>0</v>
      </c>
      <c r="AE27">
        <f t="shared" si="13"/>
        <v>0</v>
      </c>
      <c r="AF27">
        <f t="shared" si="13"/>
        <v>0</v>
      </c>
      <c r="AG27">
        <f t="shared" si="13"/>
        <v>0</v>
      </c>
      <c r="AH27">
        <f t="shared" si="13"/>
        <v>0</v>
      </c>
      <c r="AI27">
        <f t="shared" si="13"/>
        <v>0</v>
      </c>
      <c r="AJ27">
        <f t="shared" si="13"/>
        <v>0</v>
      </c>
      <c r="AK27">
        <f t="shared" si="13"/>
        <v>0</v>
      </c>
      <c r="AL27">
        <f t="shared" si="13"/>
        <v>0</v>
      </c>
      <c r="AM27">
        <f t="shared" si="13"/>
        <v>0</v>
      </c>
      <c r="AN27">
        <f t="shared" si="13"/>
        <v>0</v>
      </c>
      <c r="AO27">
        <f t="shared" si="13"/>
        <v>0</v>
      </c>
      <c r="AP27">
        <f t="shared" si="13"/>
        <v>0</v>
      </c>
      <c r="AQ27">
        <f t="shared" si="13"/>
        <v>0</v>
      </c>
      <c r="AR27">
        <f t="shared" si="13"/>
        <v>0</v>
      </c>
      <c r="AS27">
        <f t="shared" si="13"/>
        <v>0</v>
      </c>
      <c r="AT27">
        <f t="shared" si="13"/>
        <v>0</v>
      </c>
      <c r="AU27">
        <f t="shared" si="13"/>
        <v>0</v>
      </c>
      <c r="AV27">
        <f t="shared" si="13"/>
        <v>0</v>
      </c>
      <c r="AW27">
        <f t="shared" si="13"/>
        <v>0</v>
      </c>
      <c r="AX27">
        <f t="shared" si="13"/>
        <v>0</v>
      </c>
      <c r="AY27">
        <f t="shared" si="13"/>
        <v>0</v>
      </c>
      <c r="AZ27">
        <f t="shared" si="13"/>
        <v>0</v>
      </c>
      <c r="BA27">
        <f t="shared" si="13"/>
        <v>0</v>
      </c>
      <c r="BB27">
        <f t="shared" si="13"/>
        <v>0</v>
      </c>
      <c r="BC27">
        <f t="shared" si="13"/>
        <v>0</v>
      </c>
      <c r="BD27">
        <f t="shared" si="13"/>
        <v>0</v>
      </c>
      <c r="BE27">
        <f t="shared" si="13"/>
        <v>0</v>
      </c>
      <c r="BF27">
        <f t="shared" si="13"/>
        <v>0</v>
      </c>
      <c r="BG27">
        <f t="shared" si="13"/>
        <v>0</v>
      </c>
      <c r="BH27">
        <f t="shared" si="13"/>
        <v>0</v>
      </c>
      <c r="BI27">
        <f t="shared" si="13"/>
        <v>0</v>
      </c>
      <c r="BJ27">
        <f t="shared" si="13"/>
        <v>0</v>
      </c>
      <c r="BK27">
        <f t="shared" si="13"/>
        <v>0</v>
      </c>
      <c r="BL27">
        <f t="shared" si="13"/>
        <v>0</v>
      </c>
      <c r="BM27">
        <f t="shared" si="13"/>
        <v>0</v>
      </c>
      <c r="BN27">
        <f t="shared" si="13"/>
        <v>0</v>
      </c>
      <c r="BO27">
        <f t="shared" si="13"/>
        <v>0</v>
      </c>
      <c r="BP27">
        <f t="shared" si="13"/>
        <v>0</v>
      </c>
      <c r="BQ27">
        <f t="shared" si="13"/>
        <v>0</v>
      </c>
      <c r="BR27">
        <f t="shared" si="8"/>
        <v>0</v>
      </c>
      <c r="BS27">
        <f t="shared" si="8"/>
        <v>0</v>
      </c>
      <c r="BT27">
        <f t="shared" si="8"/>
        <v>0</v>
      </c>
      <c r="BU27">
        <f t="shared" si="8"/>
        <v>0</v>
      </c>
      <c r="BV27">
        <f t="shared" si="8"/>
        <v>0</v>
      </c>
      <c r="BW27">
        <f t="shared" si="8"/>
        <v>0</v>
      </c>
      <c r="BX27">
        <f t="shared" si="8"/>
        <v>0</v>
      </c>
      <c r="BY27">
        <f t="shared" si="8"/>
        <v>0</v>
      </c>
      <c r="BZ27">
        <f t="shared" si="8"/>
        <v>0</v>
      </c>
      <c r="CA27">
        <f t="shared" si="8"/>
        <v>0</v>
      </c>
      <c r="CB27">
        <f t="shared" si="8"/>
        <v>0</v>
      </c>
      <c r="CC27">
        <f t="shared" si="8"/>
        <v>0</v>
      </c>
      <c r="CD27">
        <f t="shared" si="8"/>
        <v>0</v>
      </c>
      <c r="CE27">
        <f t="shared" si="8"/>
        <v>0</v>
      </c>
      <c r="CF27">
        <f t="shared" si="8"/>
        <v>0</v>
      </c>
      <c r="CG27">
        <f t="shared" si="8"/>
        <v>0</v>
      </c>
      <c r="CH27">
        <f t="shared" si="8"/>
        <v>0</v>
      </c>
      <c r="CI27">
        <f t="shared" si="8"/>
        <v>0</v>
      </c>
      <c r="CJ27">
        <f t="shared" si="8"/>
        <v>0</v>
      </c>
      <c r="CK27">
        <f t="shared" si="8"/>
        <v>0</v>
      </c>
      <c r="CL27">
        <f t="shared" si="8"/>
        <v>0</v>
      </c>
      <c r="CM27">
        <f t="shared" si="8"/>
        <v>0</v>
      </c>
      <c r="CN27">
        <f t="shared" si="8"/>
        <v>0</v>
      </c>
      <c r="CO27">
        <f t="shared" si="8"/>
        <v>0</v>
      </c>
      <c r="CP27">
        <f t="shared" si="8"/>
        <v>0</v>
      </c>
      <c r="CQ27">
        <f t="shared" si="8"/>
        <v>0</v>
      </c>
      <c r="CR27">
        <f t="shared" si="8"/>
        <v>0</v>
      </c>
      <c r="CS27">
        <f t="shared" si="8"/>
        <v>0</v>
      </c>
      <c r="CT27">
        <f t="shared" si="8"/>
        <v>0</v>
      </c>
      <c r="CU27">
        <f t="shared" si="8"/>
        <v>0</v>
      </c>
      <c r="CV27">
        <f t="shared" si="8"/>
        <v>0</v>
      </c>
      <c r="CW27">
        <f t="shared" si="8"/>
        <v>0</v>
      </c>
      <c r="CX27">
        <f t="shared" si="8"/>
        <v>0</v>
      </c>
      <c r="CY27">
        <f t="shared" si="8"/>
        <v>0</v>
      </c>
      <c r="CZ27">
        <f t="shared" si="8"/>
        <v>0</v>
      </c>
      <c r="DA27">
        <f t="shared" si="8"/>
        <v>0</v>
      </c>
      <c r="DB27">
        <f t="shared" si="8"/>
        <v>0</v>
      </c>
      <c r="DC27">
        <f t="shared" si="8"/>
        <v>0</v>
      </c>
      <c r="DD27">
        <f t="shared" si="8"/>
        <v>0</v>
      </c>
      <c r="DE27">
        <f t="shared" si="8"/>
        <v>0</v>
      </c>
      <c r="DF27">
        <f t="shared" si="8"/>
        <v>0</v>
      </c>
      <c r="DG27">
        <f t="shared" si="8"/>
        <v>0</v>
      </c>
      <c r="DH27">
        <f t="shared" si="8"/>
        <v>0</v>
      </c>
      <c r="DI27">
        <f t="shared" si="8"/>
        <v>0</v>
      </c>
      <c r="DJ27">
        <f t="shared" si="8"/>
        <v>0</v>
      </c>
      <c r="DK27">
        <f t="shared" si="8"/>
        <v>0</v>
      </c>
      <c r="DL27">
        <f t="shared" si="8"/>
        <v>0</v>
      </c>
      <c r="DM27">
        <f t="shared" si="8"/>
        <v>0</v>
      </c>
      <c r="DN27">
        <f t="shared" si="8"/>
        <v>0</v>
      </c>
      <c r="DO27">
        <f t="shared" si="8"/>
        <v>0</v>
      </c>
      <c r="DP27">
        <f t="shared" si="8"/>
        <v>0</v>
      </c>
      <c r="DQ27">
        <f t="shared" si="8"/>
        <v>0</v>
      </c>
      <c r="DR27">
        <f t="shared" si="8"/>
        <v>0</v>
      </c>
      <c r="DS27">
        <f t="shared" si="8"/>
        <v>0</v>
      </c>
      <c r="DT27">
        <f t="shared" si="8"/>
        <v>0</v>
      </c>
      <c r="DU27">
        <f t="shared" si="8"/>
        <v>0</v>
      </c>
      <c r="DV27">
        <f t="shared" si="8"/>
        <v>0</v>
      </c>
      <c r="DW27">
        <f t="shared" si="8"/>
        <v>0</v>
      </c>
      <c r="DX27">
        <f t="shared" si="8"/>
        <v>0</v>
      </c>
      <c r="DY27">
        <f t="shared" si="8"/>
        <v>0</v>
      </c>
      <c r="DZ27">
        <f t="shared" si="8"/>
        <v>0</v>
      </c>
      <c r="EA27">
        <f t="shared" si="8"/>
        <v>0</v>
      </c>
      <c r="EB27">
        <f t="shared" si="8"/>
        <v>0</v>
      </c>
      <c r="EC27">
        <f t="shared" ref="EC27:FU32" si="15">EC7-ROUNDUP(EC7*0.3,2)</f>
        <v>0</v>
      </c>
      <c r="ED27">
        <f t="shared" si="15"/>
        <v>0</v>
      </c>
      <c r="EE27">
        <f t="shared" si="15"/>
        <v>0</v>
      </c>
      <c r="EF27">
        <f t="shared" si="15"/>
        <v>0</v>
      </c>
      <c r="EG27">
        <f t="shared" si="15"/>
        <v>0</v>
      </c>
      <c r="EH27">
        <f t="shared" si="15"/>
        <v>0</v>
      </c>
      <c r="EI27">
        <f t="shared" si="15"/>
        <v>0</v>
      </c>
      <c r="EJ27">
        <f t="shared" si="15"/>
        <v>0</v>
      </c>
      <c r="EK27">
        <f t="shared" si="15"/>
        <v>0</v>
      </c>
      <c r="EL27">
        <f t="shared" si="15"/>
        <v>0</v>
      </c>
      <c r="EM27">
        <f t="shared" si="15"/>
        <v>0</v>
      </c>
      <c r="EN27">
        <f t="shared" si="15"/>
        <v>0</v>
      </c>
      <c r="EO27">
        <f t="shared" si="15"/>
        <v>0</v>
      </c>
      <c r="EP27">
        <f t="shared" si="15"/>
        <v>0</v>
      </c>
      <c r="EQ27">
        <f t="shared" si="15"/>
        <v>0</v>
      </c>
      <c r="ER27">
        <f t="shared" si="15"/>
        <v>0</v>
      </c>
      <c r="ES27">
        <f t="shared" si="15"/>
        <v>0</v>
      </c>
      <c r="ET27">
        <f t="shared" si="15"/>
        <v>0</v>
      </c>
      <c r="EU27">
        <f t="shared" si="15"/>
        <v>0</v>
      </c>
      <c r="EV27">
        <f t="shared" si="15"/>
        <v>0</v>
      </c>
      <c r="EW27">
        <f t="shared" si="15"/>
        <v>0</v>
      </c>
      <c r="EX27">
        <f t="shared" si="15"/>
        <v>0</v>
      </c>
      <c r="EY27">
        <f t="shared" si="15"/>
        <v>0</v>
      </c>
      <c r="EZ27">
        <f t="shared" si="15"/>
        <v>0</v>
      </c>
      <c r="FA27">
        <f t="shared" si="15"/>
        <v>0</v>
      </c>
      <c r="FB27">
        <f t="shared" si="15"/>
        <v>0</v>
      </c>
      <c r="FC27">
        <f t="shared" si="15"/>
        <v>0</v>
      </c>
      <c r="FD27">
        <f t="shared" si="15"/>
        <v>0</v>
      </c>
      <c r="FE27">
        <f t="shared" si="15"/>
        <v>0</v>
      </c>
      <c r="FF27">
        <f t="shared" si="15"/>
        <v>0</v>
      </c>
      <c r="FG27">
        <f t="shared" si="15"/>
        <v>0</v>
      </c>
      <c r="FH27">
        <f t="shared" si="15"/>
        <v>0</v>
      </c>
      <c r="FI27">
        <f t="shared" si="15"/>
        <v>0</v>
      </c>
      <c r="FJ27">
        <f t="shared" si="15"/>
        <v>0</v>
      </c>
      <c r="FK27">
        <f t="shared" si="15"/>
        <v>0</v>
      </c>
      <c r="FL27">
        <f t="shared" si="15"/>
        <v>0</v>
      </c>
      <c r="FM27">
        <f t="shared" si="15"/>
        <v>0</v>
      </c>
      <c r="FN27">
        <f t="shared" si="15"/>
        <v>0</v>
      </c>
      <c r="FO27">
        <f t="shared" si="15"/>
        <v>0</v>
      </c>
      <c r="FP27">
        <f t="shared" si="15"/>
        <v>0</v>
      </c>
      <c r="FQ27">
        <f t="shared" si="15"/>
        <v>0</v>
      </c>
      <c r="FR27">
        <f t="shared" si="15"/>
        <v>0</v>
      </c>
      <c r="FS27">
        <f t="shared" si="15"/>
        <v>0</v>
      </c>
      <c r="FT27">
        <f t="shared" si="15"/>
        <v>0</v>
      </c>
      <c r="FU27">
        <f t="shared" si="15"/>
        <v>0</v>
      </c>
    </row>
    <row r="28" spans="1:177" x14ac:dyDescent="0.25">
      <c r="A28" t="str">
        <f t="shared" ref="A28:D28" si="16">A8</f>
        <v>Nova</v>
      </c>
      <c r="B28" t="str">
        <f t="shared" si="16"/>
        <v>Toy Soldier MW</v>
      </c>
      <c r="C28" t="str">
        <f t="shared" si="16"/>
        <v>Heavy</v>
      </c>
      <c r="D28" t="str">
        <f t="shared" si="16"/>
        <v>Horizon</v>
      </c>
      <c r="E28">
        <f t="shared" si="11"/>
        <v>0.56999999999999995</v>
      </c>
      <c r="F28">
        <f t="shared" si="13"/>
        <v>0.53</v>
      </c>
      <c r="G28">
        <f t="shared" si="13"/>
        <v>0.56000000000000005</v>
      </c>
      <c r="H28">
        <f t="shared" si="13"/>
        <v>0.54</v>
      </c>
      <c r="I28">
        <f t="shared" si="13"/>
        <v>0.53</v>
      </c>
      <c r="J28">
        <f t="shared" si="13"/>
        <v>0.53</v>
      </c>
      <c r="K28">
        <f t="shared" si="13"/>
        <v>0.54</v>
      </c>
      <c r="L28">
        <f t="shared" si="13"/>
        <v>0.51</v>
      </c>
      <c r="M28">
        <f t="shared" si="13"/>
        <v>0.52</v>
      </c>
      <c r="N28">
        <f t="shared" si="13"/>
        <v>0.51</v>
      </c>
      <c r="O28">
        <f t="shared" si="13"/>
        <v>0.53</v>
      </c>
      <c r="P28">
        <f t="shared" si="13"/>
        <v>0.54</v>
      </c>
      <c r="Q28">
        <f t="shared" si="13"/>
        <v>0.57999999999999996</v>
      </c>
      <c r="R28">
        <f t="shared" si="13"/>
        <v>0.57999999999999996</v>
      </c>
      <c r="S28">
        <f t="shared" si="13"/>
        <v>0.64</v>
      </c>
      <c r="T28">
        <f t="shared" si="13"/>
        <v>0.57999999999999996</v>
      </c>
      <c r="U28">
        <f t="shared" si="13"/>
        <v>0.59</v>
      </c>
      <c r="V28">
        <f t="shared" si="13"/>
        <v>0.56999999999999995</v>
      </c>
      <c r="W28">
        <f t="shared" si="13"/>
        <v>0.56000000000000005</v>
      </c>
      <c r="X28">
        <f t="shared" si="13"/>
        <v>0.56000000000000005</v>
      </c>
      <c r="Y28">
        <f t="shared" si="13"/>
        <v>0.6</v>
      </c>
      <c r="Z28">
        <f t="shared" si="13"/>
        <v>0</v>
      </c>
      <c r="AA28">
        <f t="shared" si="13"/>
        <v>0</v>
      </c>
      <c r="AB28">
        <f t="shared" si="13"/>
        <v>0</v>
      </c>
      <c r="AC28">
        <f t="shared" si="13"/>
        <v>0</v>
      </c>
      <c r="AD28">
        <f t="shared" si="13"/>
        <v>0</v>
      </c>
      <c r="AE28">
        <f t="shared" si="13"/>
        <v>0</v>
      </c>
      <c r="AF28">
        <f t="shared" si="13"/>
        <v>0</v>
      </c>
      <c r="AG28">
        <f t="shared" si="13"/>
        <v>0</v>
      </c>
      <c r="AH28">
        <f t="shared" si="13"/>
        <v>0</v>
      </c>
      <c r="AI28">
        <f t="shared" si="13"/>
        <v>0</v>
      </c>
      <c r="AJ28">
        <f t="shared" si="13"/>
        <v>0</v>
      </c>
      <c r="AK28">
        <f t="shared" si="13"/>
        <v>0</v>
      </c>
      <c r="AL28">
        <f t="shared" si="13"/>
        <v>0</v>
      </c>
      <c r="AM28">
        <f t="shared" si="13"/>
        <v>0</v>
      </c>
      <c r="AN28">
        <f t="shared" si="13"/>
        <v>0</v>
      </c>
      <c r="AO28">
        <f t="shared" si="13"/>
        <v>0</v>
      </c>
      <c r="AP28">
        <f t="shared" si="13"/>
        <v>0</v>
      </c>
      <c r="AQ28">
        <f t="shared" si="13"/>
        <v>0</v>
      </c>
      <c r="AR28">
        <f t="shared" si="13"/>
        <v>0</v>
      </c>
      <c r="AS28">
        <f t="shared" si="13"/>
        <v>0</v>
      </c>
      <c r="AT28">
        <f t="shared" si="13"/>
        <v>0</v>
      </c>
      <c r="AU28">
        <f t="shared" si="13"/>
        <v>0</v>
      </c>
      <c r="AV28">
        <f t="shared" si="13"/>
        <v>0</v>
      </c>
      <c r="AW28">
        <f t="shared" si="13"/>
        <v>0</v>
      </c>
      <c r="AX28">
        <f t="shared" si="13"/>
        <v>0</v>
      </c>
      <c r="AY28">
        <f t="shared" si="13"/>
        <v>0</v>
      </c>
      <c r="AZ28">
        <f t="shared" si="13"/>
        <v>0</v>
      </c>
      <c r="BA28">
        <f t="shared" si="13"/>
        <v>0</v>
      </c>
      <c r="BB28">
        <f t="shared" si="13"/>
        <v>0</v>
      </c>
      <c r="BC28">
        <f t="shared" si="13"/>
        <v>0</v>
      </c>
      <c r="BD28">
        <f t="shared" si="13"/>
        <v>0</v>
      </c>
      <c r="BE28">
        <f t="shared" si="13"/>
        <v>0</v>
      </c>
      <c r="BF28">
        <f t="shared" si="13"/>
        <v>0</v>
      </c>
      <c r="BG28">
        <f t="shared" si="13"/>
        <v>0</v>
      </c>
      <c r="BH28">
        <f t="shared" si="13"/>
        <v>0</v>
      </c>
      <c r="BI28">
        <f t="shared" si="13"/>
        <v>0</v>
      </c>
      <c r="BJ28">
        <f t="shared" si="13"/>
        <v>0</v>
      </c>
      <c r="BK28">
        <f t="shared" si="13"/>
        <v>0</v>
      </c>
      <c r="BL28">
        <f t="shared" si="13"/>
        <v>0</v>
      </c>
      <c r="BM28">
        <f t="shared" si="13"/>
        <v>0</v>
      </c>
      <c r="BN28">
        <f t="shared" si="13"/>
        <v>0</v>
      </c>
      <c r="BO28">
        <f t="shared" si="13"/>
        <v>0</v>
      </c>
      <c r="BP28">
        <f t="shared" si="13"/>
        <v>0</v>
      </c>
      <c r="BQ28">
        <f t="shared" si="13"/>
        <v>0</v>
      </c>
      <c r="BR28">
        <f t="shared" ref="BR28:EC34" si="17">BR8-ROUNDUP(BR8*0.3,2)</f>
        <v>0</v>
      </c>
      <c r="BS28">
        <f t="shared" si="17"/>
        <v>0</v>
      </c>
      <c r="BT28">
        <f t="shared" si="17"/>
        <v>0</v>
      </c>
      <c r="BU28">
        <f t="shared" si="17"/>
        <v>0</v>
      </c>
      <c r="BV28">
        <f t="shared" si="17"/>
        <v>0</v>
      </c>
      <c r="BW28">
        <f t="shared" si="17"/>
        <v>0</v>
      </c>
      <c r="BX28">
        <f t="shared" si="17"/>
        <v>0</v>
      </c>
      <c r="BY28">
        <f t="shared" si="17"/>
        <v>0</v>
      </c>
      <c r="BZ28">
        <f t="shared" si="17"/>
        <v>0</v>
      </c>
      <c r="CA28">
        <f t="shared" si="17"/>
        <v>0</v>
      </c>
      <c r="CB28">
        <f t="shared" si="17"/>
        <v>0</v>
      </c>
      <c r="CC28">
        <f t="shared" si="17"/>
        <v>0</v>
      </c>
      <c r="CD28">
        <f t="shared" si="17"/>
        <v>0</v>
      </c>
      <c r="CE28">
        <f t="shared" si="17"/>
        <v>0</v>
      </c>
      <c r="CF28">
        <f t="shared" si="17"/>
        <v>0</v>
      </c>
      <c r="CG28">
        <f t="shared" si="17"/>
        <v>0</v>
      </c>
      <c r="CH28">
        <f t="shared" si="17"/>
        <v>0</v>
      </c>
      <c r="CI28">
        <f t="shared" si="17"/>
        <v>0</v>
      </c>
      <c r="CJ28">
        <f t="shared" si="17"/>
        <v>0</v>
      </c>
      <c r="CK28">
        <f t="shared" si="17"/>
        <v>0</v>
      </c>
      <c r="CL28">
        <f t="shared" si="17"/>
        <v>0</v>
      </c>
      <c r="CM28">
        <f t="shared" si="17"/>
        <v>0</v>
      </c>
      <c r="CN28">
        <f t="shared" si="17"/>
        <v>0</v>
      </c>
      <c r="CO28">
        <f t="shared" si="17"/>
        <v>0</v>
      </c>
      <c r="CP28">
        <f t="shared" si="17"/>
        <v>0</v>
      </c>
      <c r="CQ28">
        <f t="shared" si="17"/>
        <v>0</v>
      </c>
      <c r="CR28">
        <f t="shared" si="17"/>
        <v>0</v>
      </c>
      <c r="CS28">
        <f t="shared" si="17"/>
        <v>0</v>
      </c>
      <c r="CT28">
        <f t="shared" si="17"/>
        <v>0</v>
      </c>
      <c r="CU28">
        <f t="shared" si="17"/>
        <v>0</v>
      </c>
      <c r="CV28">
        <f t="shared" si="17"/>
        <v>0</v>
      </c>
      <c r="CW28">
        <f t="shared" si="17"/>
        <v>0</v>
      </c>
      <c r="CX28">
        <f t="shared" si="17"/>
        <v>0</v>
      </c>
      <c r="CY28">
        <f t="shared" si="17"/>
        <v>0</v>
      </c>
      <c r="CZ28">
        <f t="shared" si="17"/>
        <v>0</v>
      </c>
      <c r="DA28">
        <f t="shared" si="17"/>
        <v>0</v>
      </c>
      <c r="DB28">
        <f t="shared" si="17"/>
        <v>0</v>
      </c>
      <c r="DC28">
        <f t="shared" si="17"/>
        <v>0</v>
      </c>
      <c r="DD28">
        <f t="shared" si="17"/>
        <v>0</v>
      </c>
      <c r="DE28">
        <f t="shared" si="17"/>
        <v>0</v>
      </c>
      <c r="DF28">
        <f t="shared" si="17"/>
        <v>0</v>
      </c>
      <c r="DG28">
        <f t="shared" si="17"/>
        <v>0</v>
      </c>
      <c r="DH28">
        <f t="shared" si="17"/>
        <v>0</v>
      </c>
      <c r="DI28">
        <f t="shared" si="17"/>
        <v>0</v>
      </c>
      <c r="DJ28">
        <f t="shared" si="17"/>
        <v>0</v>
      </c>
      <c r="DK28">
        <f t="shared" si="17"/>
        <v>0</v>
      </c>
      <c r="DL28">
        <f t="shared" si="17"/>
        <v>0</v>
      </c>
      <c r="DM28">
        <f t="shared" si="17"/>
        <v>0</v>
      </c>
      <c r="DN28">
        <f t="shared" si="17"/>
        <v>0</v>
      </c>
      <c r="DO28">
        <f t="shared" si="17"/>
        <v>0</v>
      </c>
      <c r="DP28">
        <f t="shared" si="17"/>
        <v>0</v>
      </c>
      <c r="DQ28">
        <f t="shared" si="17"/>
        <v>0</v>
      </c>
      <c r="DR28">
        <f t="shared" si="17"/>
        <v>0</v>
      </c>
      <c r="DS28">
        <f t="shared" si="17"/>
        <v>0</v>
      </c>
      <c r="DT28">
        <f t="shared" si="17"/>
        <v>0</v>
      </c>
      <c r="DU28">
        <f t="shared" si="17"/>
        <v>0</v>
      </c>
      <c r="DV28">
        <f t="shared" si="17"/>
        <v>0</v>
      </c>
      <c r="DW28">
        <f t="shared" si="17"/>
        <v>0</v>
      </c>
      <c r="DX28">
        <f t="shared" si="17"/>
        <v>0</v>
      </c>
      <c r="DY28">
        <f t="shared" si="17"/>
        <v>0</v>
      </c>
      <c r="DZ28">
        <f t="shared" si="17"/>
        <v>0</v>
      </c>
      <c r="EA28">
        <f t="shared" si="17"/>
        <v>0</v>
      </c>
      <c r="EB28">
        <f t="shared" si="17"/>
        <v>0</v>
      </c>
      <c r="EC28">
        <f t="shared" si="17"/>
        <v>0</v>
      </c>
      <c r="ED28">
        <f t="shared" si="15"/>
        <v>0</v>
      </c>
      <c r="EE28">
        <f t="shared" si="15"/>
        <v>0</v>
      </c>
      <c r="EF28">
        <f t="shared" si="15"/>
        <v>0</v>
      </c>
      <c r="EG28">
        <f t="shared" si="15"/>
        <v>0</v>
      </c>
      <c r="EH28">
        <f t="shared" si="15"/>
        <v>0</v>
      </c>
      <c r="EI28">
        <f t="shared" si="15"/>
        <v>0</v>
      </c>
      <c r="EJ28">
        <f t="shared" si="15"/>
        <v>0</v>
      </c>
      <c r="EK28">
        <f t="shared" si="15"/>
        <v>0</v>
      </c>
      <c r="EL28">
        <f t="shared" si="15"/>
        <v>0</v>
      </c>
      <c r="EM28">
        <f t="shared" si="15"/>
        <v>0</v>
      </c>
      <c r="EN28">
        <f t="shared" si="15"/>
        <v>0</v>
      </c>
      <c r="EO28">
        <f t="shared" si="15"/>
        <v>0</v>
      </c>
      <c r="EP28">
        <f t="shared" si="15"/>
        <v>0</v>
      </c>
      <c r="EQ28">
        <f t="shared" si="15"/>
        <v>0</v>
      </c>
      <c r="ER28">
        <f t="shared" si="15"/>
        <v>0</v>
      </c>
      <c r="ES28">
        <f t="shared" si="15"/>
        <v>0</v>
      </c>
      <c r="ET28">
        <f t="shared" si="15"/>
        <v>0</v>
      </c>
      <c r="EU28">
        <f t="shared" si="15"/>
        <v>0</v>
      </c>
      <c r="EV28">
        <f t="shared" si="15"/>
        <v>0</v>
      </c>
      <c r="EW28">
        <f t="shared" si="15"/>
        <v>0</v>
      </c>
      <c r="EX28">
        <f t="shared" si="15"/>
        <v>0</v>
      </c>
      <c r="EY28">
        <f t="shared" si="15"/>
        <v>0</v>
      </c>
      <c r="EZ28">
        <f t="shared" si="15"/>
        <v>0</v>
      </c>
      <c r="FA28">
        <f t="shared" si="15"/>
        <v>0</v>
      </c>
      <c r="FB28">
        <f t="shared" si="15"/>
        <v>0</v>
      </c>
      <c r="FC28">
        <f t="shared" si="15"/>
        <v>0</v>
      </c>
      <c r="FD28">
        <f t="shared" si="15"/>
        <v>0</v>
      </c>
      <c r="FE28">
        <f t="shared" si="15"/>
        <v>0</v>
      </c>
      <c r="FF28">
        <f t="shared" si="15"/>
        <v>0</v>
      </c>
      <c r="FG28">
        <f t="shared" si="15"/>
        <v>0</v>
      </c>
      <c r="FH28">
        <f t="shared" si="15"/>
        <v>0</v>
      </c>
      <c r="FI28">
        <f t="shared" si="15"/>
        <v>0</v>
      </c>
      <c r="FJ28">
        <f t="shared" si="15"/>
        <v>0</v>
      </c>
      <c r="FK28">
        <f t="shared" si="15"/>
        <v>0</v>
      </c>
      <c r="FL28">
        <f t="shared" si="15"/>
        <v>0</v>
      </c>
      <c r="FM28">
        <f t="shared" si="15"/>
        <v>0</v>
      </c>
      <c r="FN28">
        <f t="shared" si="15"/>
        <v>0</v>
      </c>
      <c r="FO28">
        <f t="shared" si="15"/>
        <v>0</v>
      </c>
      <c r="FP28">
        <f t="shared" si="15"/>
        <v>0</v>
      </c>
      <c r="FQ28">
        <f t="shared" si="15"/>
        <v>0</v>
      </c>
      <c r="FR28">
        <f t="shared" si="15"/>
        <v>0</v>
      </c>
      <c r="FS28">
        <f t="shared" si="15"/>
        <v>0</v>
      </c>
      <c r="FT28">
        <f t="shared" si="15"/>
        <v>0</v>
      </c>
      <c r="FU28">
        <f t="shared" si="15"/>
        <v>0</v>
      </c>
    </row>
    <row r="29" spans="1:177" x14ac:dyDescent="0.25">
      <c r="A29" t="str">
        <f t="shared" ref="A29:D29" si="18">A9</f>
        <v>Nova</v>
      </c>
      <c r="B29" t="str">
        <f t="shared" si="18"/>
        <v>Wild Six FT</v>
      </c>
      <c r="C29" t="str">
        <f t="shared" si="18"/>
        <v>Heavy</v>
      </c>
      <c r="D29" t="str">
        <f t="shared" si="18"/>
        <v>Clutch</v>
      </c>
      <c r="E29">
        <f t="shared" si="11"/>
        <v>0.25</v>
      </c>
      <c r="F29">
        <f t="shared" si="13"/>
        <v>0.23000000000000004</v>
      </c>
      <c r="G29">
        <f t="shared" si="13"/>
        <v>0.24</v>
      </c>
      <c r="H29">
        <f t="shared" si="13"/>
        <v>0.22000000000000003</v>
      </c>
      <c r="I29">
        <f t="shared" si="13"/>
        <v>0.24</v>
      </c>
      <c r="J29">
        <f t="shared" si="13"/>
        <v>0.22000000000000003</v>
      </c>
      <c r="K29">
        <f t="shared" si="13"/>
        <v>0.22000000000000003</v>
      </c>
      <c r="L29">
        <f t="shared" si="13"/>
        <v>0.23000000000000004</v>
      </c>
      <c r="M29">
        <f t="shared" si="13"/>
        <v>0.26</v>
      </c>
      <c r="N29">
        <f t="shared" si="13"/>
        <v>0.24</v>
      </c>
      <c r="O29">
        <f t="shared" si="13"/>
        <v>0.24</v>
      </c>
      <c r="P29">
        <f t="shared" si="13"/>
        <v>0.24</v>
      </c>
      <c r="Q29">
        <f t="shared" si="13"/>
        <v>0.22000000000000003</v>
      </c>
      <c r="R29">
        <f t="shared" si="13"/>
        <v>0.24</v>
      </c>
      <c r="S29">
        <f t="shared" si="13"/>
        <v>0.21</v>
      </c>
      <c r="T29">
        <f t="shared" si="13"/>
        <v>0.22000000000000003</v>
      </c>
      <c r="U29">
        <f t="shared" si="13"/>
        <v>0.24</v>
      </c>
      <c r="V29">
        <f t="shared" si="13"/>
        <v>0.24</v>
      </c>
      <c r="W29">
        <f t="shared" si="13"/>
        <v>0.21000000000000002</v>
      </c>
      <c r="X29">
        <f t="shared" si="13"/>
        <v>0.22000000000000003</v>
      </c>
      <c r="Y29">
        <f t="shared" si="13"/>
        <v>0.21000000000000002</v>
      </c>
      <c r="Z29">
        <f t="shared" si="13"/>
        <v>0</v>
      </c>
      <c r="AA29">
        <f t="shared" si="13"/>
        <v>0</v>
      </c>
      <c r="AB29">
        <f t="shared" si="13"/>
        <v>0</v>
      </c>
      <c r="AC29">
        <f t="shared" si="13"/>
        <v>0</v>
      </c>
      <c r="AD29">
        <f t="shared" si="13"/>
        <v>0</v>
      </c>
      <c r="AE29">
        <f t="shared" si="13"/>
        <v>0</v>
      </c>
      <c r="AF29">
        <f t="shared" si="13"/>
        <v>0</v>
      </c>
      <c r="AG29">
        <f t="shared" si="13"/>
        <v>0</v>
      </c>
      <c r="AH29">
        <f t="shared" si="13"/>
        <v>0</v>
      </c>
      <c r="AI29">
        <f t="shared" si="13"/>
        <v>0</v>
      </c>
      <c r="AJ29">
        <f t="shared" si="13"/>
        <v>0</v>
      </c>
      <c r="AK29">
        <f t="shared" si="13"/>
        <v>0</v>
      </c>
      <c r="AL29">
        <f t="shared" si="13"/>
        <v>0</v>
      </c>
      <c r="AM29">
        <f t="shared" si="13"/>
        <v>0</v>
      </c>
      <c r="AN29">
        <f t="shared" si="13"/>
        <v>0</v>
      </c>
      <c r="AO29">
        <f t="shared" si="13"/>
        <v>0</v>
      </c>
      <c r="AP29">
        <f t="shared" si="13"/>
        <v>0</v>
      </c>
      <c r="AQ29">
        <f t="shared" si="13"/>
        <v>0</v>
      </c>
      <c r="AR29">
        <f t="shared" si="13"/>
        <v>0</v>
      </c>
      <c r="AS29">
        <f t="shared" si="13"/>
        <v>0</v>
      </c>
      <c r="AT29">
        <f t="shared" si="13"/>
        <v>0</v>
      </c>
      <c r="AU29">
        <f t="shared" si="13"/>
        <v>0</v>
      </c>
      <c r="AV29">
        <f t="shared" si="13"/>
        <v>0</v>
      </c>
      <c r="AW29">
        <f t="shared" si="13"/>
        <v>0</v>
      </c>
      <c r="AX29">
        <f t="shared" si="13"/>
        <v>0</v>
      </c>
      <c r="AY29">
        <f t="shared" si="13"/>
        <v>0</v>
      </c>
      <c r="AZ29">
        <f t="shared" si="13"/>
        <v>0</v>
      </c>
      <c r="BA29">
        <f t="shared" si="13"/>
        <v>0</v>
      </c>
      <c r="BB29">
        <f t="shared" si="13"/>
        <v>0</v>
      </c>
      <c r="BC29">
        <f t="shared" si="13"/>
        <v>0</v>
      </c>
      <c r="BD29">
        <f t="shared" si="13"/>
        <v>0</v>
      </c>
      <c r="BE29">
        <f t="shared" si="13"/>
        <v>0</v>
      </c>
      <c r="BF29">
        <f t="shared" si="13"/>
        <v>0</v>
      </c>
      <c r="BG29">
        <f t="shared" si="13"/>
        <v>0</v>
      </c>
      <c r="BH29">
        <f t="shared" si="13"/>
        <v>0</v>
      </c>
      <c r="BI29">
        <f t="shared" si="13"/>
        <v>0</v>
      </c>
      <c r="BJ29">
        <f t="shared" si="13"/>
        <v>0</v>
      </c>
      <c r="BK29">
        <f t="shared" si="13"/>
        <v>0</v>
      </c>
      <c r="BL29">
        <f t="shared" si="13"/>
        <v>0</v>
      </c>
      <c r="BM29">
        <f t="shared" si="13"/>
        <v>0</v>
      </c>
      <c r="BN29">
        <f t="shared" si="13"/>
        <v>0</v>
      </c>
      <c r="BO29">
        <f t="shared" si="13"/>
        <v>0</v>
      </c>
      <c r="BP29">
        <f t="shared" si="13"/>
        <v>0</v>
      </c>
      <c r="BQ29">
        <f t="shared" ref="BQ29:EB32" si="19">BQ9-ROUNDUP(BQ9*0.3,2)</f>
        <v>0</v>
      </c>
      <c r="BR29">
        <f t="shared" si="19"/>
        <v>0</v>
      </c>
      <c r="BS29">
        <f t="shared" si="19"/>
        <v>0</v>
      </c>
      <c r="BT29">
        <f t="shared" si="19"/>
        <v>0</v>
      </c>
      <c r="BU29">
        <f t="shared" si="19"/>
        <v>0</v>
      </c>
      <c r="BV29">
        <f t="shared" si="19"/>
        <v>0</v>
      </c>
      <c r="BW29">
        <f t="shared" si="19"/>
        <v>0</v>
      </c>
      <c r="BX29">
        <f t="shared" si="19"/>
        <v>0</v>
      </c>
      <c r="BY29">
        <f t="shared" si="19"/>
        <v>0</v>
      </c>
      <c r="BZ29">
        <f t="shared" si="19"/>
        <v>0</v>
      </c>
      <c r="CA29">
        <f t="shared" si="19"/>
        <v>0</v>
      </c>
      <c r="CB29">
        <f t="shared" si="19"/>
        <v>0</v>
      </c>
      <c r="CC29">
        <f t="shared" si="19"/>
        <v>0</v>
      </c>
      <c r="CD29">
        <f t="shared" si="19"/>
        <v>0</v>
      </c>
      <c r="CE29">
        <f t="shared" si="19"/>
        <v>0</v>
      </c>
      <c r="CF29">
        <f t="shared" si="19"/>
        <v>0</v>
      </c>
      <c r="CG29">
        <f t="shared" si="19"/>
        <v>0</v>
      </c>
      <c r="CH29">
        <f t="shared" si="19"/>
        <v>0</v>
      </c>
      <c r="CI29">
        <f t="shared" si="19"/>
        <v>0</v>
      </c>
      <c r="CJ29">
        <f t="shared" si="19"/>
        <v>0</v>
      </c>
      <c r="CK29">
        <f t="shared" si="19"/>
        <v>0</v>
      </c>
      <c r="CL29">
        <f t="shared" si="19"/>
        <v>0</v>
      </c>
      <c r="CM29">
        <f t="shared" si="19"/>
        <v>0</v>
      </c>
      <c r="CN29">
        <f t="shared" si="19"/>
        <v>0</v>
      </c>
      <c r="CO29">
        <f t="shared" si="19"/>
        <v>0</v>
      </c>
      <c r="CP29">
        <f t="shared" si="19"/>
        <v>0</v>
      </c>
      <c r="CQ29">
        <f t="shared" si="19"/>
        <v>0</v>
      </c>
      <c r="CR29">
        <f t="shared" si="19"/>
        <v>0</v>
      </c>
      <c r="CS29">
        <f t="shared" si="19"/>
        <v>0</v>
      </c>
      <c r="CT29">
        <f t="shared" si="19"/>
        <v>0</v>
      </c>
      <c r="CU29">
        <f t="shared" si="19"/>
        <v>0</v>
      </c>
      <c r="CV29">
        <f t="shared" si="19"/>
        <v>0</v>
      </c>
      <c r="CW29">
        <f t="shared" si="19"/>
        <v>0</v>
      </c>
      <c r="CX29">
        <f t="shared" si="19"/>
        <v>0</v>
      </c>
      <c r="CY29">
        <f t="shared" si="19"/>
        <v>0</v>
      </c>
      <c r="CZ29">
        <f t="shared" si="19"/>
        <v>0</v>
      </c>
      <c r="DA29">
        <f t="shared" si="19"/>
        <v>0</v>
      </c>
      <c r="DB29">
        <f t="shared" si="19"/>
        <v>0</v>
      </c>
      <c r="DC29">
        <f t="shared" si="19"/>
        <v>0</v>
      </c>
      <c r="DD29">
        <f t="shared" si="19"/>
        <v>0</v>
      </c>
      <c r="DE29">
        <f t="shared" si="19"/>
        <v>0</v>
      </c>
      <c r="DF29">
        <f t="shared" si="19"/>
        <v>0</v>
      </c>
      <c r="DG29">
        <f t="shared" si="19"/>
        <v>0</v>
      </c>
      <c r="DH29">
        <f t="shared" si="19"/>
        <v>0</v>
      </c>
      <c r="DI29">
        <f t="shared" si="19"/>
        <v>0</v>
      </c>
      <c r="DJ29">
        <f t="shared" si="19"/>
        <v>0</v>
      </c>
      <c r="DK29">
        <f t="shared" si="19"/>
        <v>0</v>
      </c>
      <c r="DL29">
        <f t="shared" si="19"/>
        <v>0</v>
      </c>
      <c r="DM29">
        <f t="shared" si="19"/>
        <v>0</v>
      </c>
      <c r="DN29">
        <f t="shared" si="19"/>
        <v>0</v>
      </c>
      <c r="DO29">
        <f t="shared" si="19"/>
        <v>0</v>
      </c>
      <c r="DP29">
        <f t="shared" si="19"/>
        <v>0</v>
      </c>
      <c r="DQ29">
        <f t="shared" si="19"/>
        <v>0</v>
      </c>
      <c r="DR29">
        <f t="shared" si="19"/>
        <v>0</v>
      </c>
      <c r="DS29">
        <f t="shared" si="19"/>
        <v>0</v>
      </c>
      <c r="DT29">
        <f t="shared" si="19"/>
        <v>0</v>
      </c>
      <c r="DU29">
        <f t="shared" si="19"/>
        <v>0</v>
      </c>
      <c r="DV29">
        <f t="shared" si="19"/>
        <v>0</v>
      </c>
      <c r="DW29">
        <f t="shared" si="19"/>
        <v>0</v>
      </c>
      <c r="DX29">
        <f t="shared" si="19"/>
        <v>0</v>
      </c>
      <c r="DY29">
        <f t="shared" si="19"/>
        <v>0</v>
      </c>
      <c r="DZ29">
        <f t="shared" si="19"/>
        <v>0</v>
      </c>
      <c r="EA29">
        <f t="shared" si="19"/>
        <v>0</v>
      </c>
      <c r="EB29">
        <f t="shared" si="19"/>
        <v>0</v>
      </c>
      <c r="EC29">
        <f t="shared" si="17"/>
        <v>0</v>
      </c>
      <c r="ED29">
        <f t="shared" si="15"/>
        <v>0</v>
      </c>
      <c r="EE29">
        <f t="shared" si="15"/>
        <v>0</v>
      </c>
      <c r="EF29">
        <f t="shared" si="15"/>
        <v>0</v>
      </c>
      <c r="EG29">
        <f t="shared" si="15"/>
        <v>0</v>
      </c>
      <c r="EH29">
        <f t="shared" si="15"/>
        <v>0</v>
      </c>
      <c r="EI29">
        <f t="shared" si="15"/>
        <v>0</v>
      </c>
      <c r="EJ29">
        <f t="shared" si="15"/>
        <v>0</v>
      </c>
      <c r="EK29">
        <f t="shared" si="15"/>
        <v>0</v>
      </c>
      <c r="EL29">
        <f t="shared" si="15"/>
        <v>0</v>
      </c>
      <c r="EM29">
        <f t="shared" si="15"/>
        <v>0</v>
      </c>
      <c r="EN29">
        <f t="shared" si="15"/>
        <v>0</v>
      </c>
      <c r="EO29">
        <f t="shared" si="15"/>
        <v>0</v>
      </c>
      <c r="EP29">
        <f t="shared" si="15"/>
        <v>0</v>
      </c>
      <c r="EQ29">
        <f t="shared" si="15"/>
        <v>0</v>
      </c>
      <c r="ER29">
        <f t="shared" si="15"/>
        <v>0</v>
      </c>
      <c r="ES29">
        <f t="shared" si="15"/>
        <v>0</v>
      </c>
      <c r="ET29">
        <f t="shared" si="15"/>
        <v>0</v>
      </c>
      <c r="EU29">
        <f t="shared" si="15"/>
        <v>0</v>
      </c>
      <c r="EV29">
        <f t="shared" si="15"/>
        <v>0</v>
      </c>
      <c r="EW29">
        <f t="shared" si="15"/>
        <v>0</v>
      </c>
      <c r="EX29">
        <f t="shared" si="15"/>
        <v>0</v>
      </c>
      <c r="EY29">
        <f t="shared" si="15"/>
        <v>0</v>
      </c>
      <c r="EZ29">
        <f t="shared" si="15"/>
        <v>0</v>
      </c>
      <c r="FA29">
        <f t="shared" si="15"/>
        <v>0</v>
      </c>
      <c r="FB29">
        <f t="shared" si="15"/>
        <v>0</v>
      </c>
      <c r="FC29">
        <f t="shared" si="15"/>
        <v>0</v>
      </c>
      <c r="FD29">
        <f t="shared" si="15"/>
        <v>0</v>
      </c>
      <c r="FE29">
        <f t="shared" si="15"/>
        <v>0</v>
      </c>
      <c r="FF29">
        <f t="shared" si="15"/>
        <v>0</v>
      </c>
      <c r="FG29">
        <f t="shared" si="15"/>
        <v>0</v>
      </c>
      <c r="FH29">
        <f t="shared" si="15"/>
        <v>0</v>
      </c>
      <c r="FI29">
        <f t="shared" si="15"/>
        <v>0</v>
      </c>
      <c r="FJ29">
        <f t="shared" si="15"/>
        <v>0</v>
      </c>
      <c r="FK29">
        <f t="shared" si="15"/>
        <v>0</v>
      </c>
      <c r="FL29">
        <f t="shared" si="15"/>
        <v>0</v>
      </c>
      <c r="FM29">
        <f t="shared" si="15"/>
        <v>0</v>
      </c>
      <c r="FN29">
        <f t="shared" si="15"/>
        <v>0</v>
      </c>
      <c r="FO29">
        <f t="shared" si="15"/>
        <v>0</v>
      </c>
      <c r="FP29">
        <f t="shared" si="15"/>
        <v>0</v>
      </c>
      <c r="FQ29">
        <f t="shared" si="15"/>
        <v>0</v>
      </c>
      <c r="FR29">
        <f t="shared" si="15"/>
        <v>0</v>
      </c>
      <c r="FS29">
        <f t="shared" si="15"/>
        <v>0</v>
      </c>
      <c r="FT29">
        <f t="shared" si="15"/>
        <v>0</v>
      </c>
      <c r="FU29">
        <f t="shared" si="15"/>
        <v>0</v>
      </c>
    </row>
    <row r="30" spans="1:177" x14ac:dyDescent="0.25">
      <c r="A30" t="str">
        <f t="shared" ref="A30:D30" si="20">A10</f>
        <v>Nova</v>
      </c>
      <c r="B30" t="str">
        <f t="shared" si="20"/>
        <v>Hyper Beast FT</v>
      </c>
      <c r="C30" t="str">
        <f t="shared" si="20"/>
        <v>Heavy</v>
      </c>
      <c r="D30" t="str">
        <f t="shared" si="20"/>
        <v>Wildfire</v>
      </c>
      <c r="E30">
        <f t="shared" si="11"/>
        <v>5.05</v>
      </c>
      <c r="F30">
        <f t="shared" ref="F30:BQ33" si="21">F10-ROUNDUP(F10*0.3,2)</f>
        <v>5.41</v>
      </c>
      <c r="G30">
        <f t="shared" si="21"/>
        <v>4.66</v>
      </c>
      <c r="H30">
        <f t="shared" si="21"/>
        <v>4.7100000000000009</v>
      </c>
      <c r="I30">
        <f t="shared" si="21"/>
        <v>4.7</v>
      </c>
      <c r="J30">
        <f t="shared" si="21"/>
        <v>4.8000000000000007</v>
      </c>
      <c r="K30">
        <f t="shared" si="21"/>
        <v>4.45</v>
      </c>
      <c r="L30">
        <f t="shared" si="21"/>
        <v>4.91</v>
      </c>
      <c r="M30">
        <f t="shared" si="21"/>
        <v>5.01</v>
      </c>
      <c r="N30">
        <f t="shared" si="21"/>
        <v>4.91</v>
      </c>
      <c r="O30">
        <f t="shared" si="21"/>
        <v>5.07</v>
      </c>
      <c r="P30">
        <f t="shared" si="21"/>
        <v>5.1099999999999994</v>
      </c>
      <c r="Q30">
        <f t="shared" si="21"/>
        <v>4.93</v>
      </c>
      <c r="R30">
        <f t="shared" si="21"/>
        <v>4.5999999999999996</v>
      </c>
      <c r="S30">
        <f t="shared" si="21"/>
        <v>4.5</v>
      </c>
      <c r="T30">
        <f t="shared" si="21"/>
        <v>5.2700000000000005</v>
      </c>
      <c r="U30">
        <f t="shared" si="21"/>
        <v>5.2700000000000005</v>
      </c>
      <c r="V30">
        <f t="shared" si="21"/>
        <v>5.34</v>
      </c>
      <c r="W30">
        <f t="shared" si="21"/>
        <v>5.15</v>
      </c>
      <c r="X30">
        <f t="shared" si="21"/>
        <v>5.34</v>
      </c>
      <c r="Y30">
        <f t="shared" si="21"/>
        <v>5.28</v>
      </c>
      <c r="Z30">
        <f t="shared" si="21"/>
        <v>0</v>
      </c>
      <c r="AA30">
        <f t="shared" si="21"/>
        <v>0</v>
      </c>
      <c r="AB30">
        <f t="shared" si="21"/>
        <v>0</v>
      </c>
      <c r="AC30">
        <f t="shared" si="21"/>
        <v>0</v>
      </c>
      <c r="AD30">
        <f t="shared" si="21"/>
        <v>0</v>
      </c>
      <c r="AE30">
        <f t="shared" si="21"/>
        <v>0</v>
      </c>
      <c r="AF30">
        <f t="shared" si="21"/>
        <v>0</v>
      </c>
      <c r="AG30">
        <f t="shared" si="21"/>
        <v>0</v>
      </c>
      <c r="AH30">
        <f t="shared" si="21"/>
        <v>0</v>
      </c>
      <c r="AI30">
        <f t="shared" si="21"/>
        <v>0</v>
      </c>
      <c r="AJ30">
        <f t="shared" si="21"/>
        <v>0</v>
      </c>
      <c r="AK30">
        <f t="shared" si="21"/>
        <v>0</v>
      </c>
      <c r="AL30">
        <f t="shared" si="21"/>
        <v>0</v>
      </c>
      <c r="AM30">
        <f t="shared" si="21"/>
        <v>0</v>
      </c>
      <c r="AN30">
        <f t="shared" si="21"/>
        <v>0</v>
      </c>
      <c r="AO30">
        <f t="shared" si="21"/>
        <v>0</v>
      </c>
      <c r="AP30">
        <f t="shared" si="21"/>
        <v>0</v>
      </c>
      <c r="AQ30">
        <f t="shared" si="21"/>
        <v>0</v>
      </c>
      <c r="AR30">
        <f t="shared" si="21"/>
        <v>0</v>
      </c>
      <c r="AS30">
        <f t="shared" si="21"/>
        <v>0</v>
      </c>
      <c r="AT30">
        <f t="shared" si="21"/>
        <v>0</v>
      </c>
      <c r="AU30">
        <f t="shared" si="21"/>
        <v>0</v>
      </c>
      <c r="AV30">
        <f t="shared" si="21"/>
        <v>0</v>
      </c>
      <c r="AW30">
        <f t="shared" si="21"/>
        <v>0</v>
      </c>
      <c r="AX30">
        <f t="shared" si="21"/>
        <v>0</v>
      </c>
      <c r="AY30">
        <f t="shared" si="21"/>
        <v>0</v>
      </c>
      <c r="AZ30">
        <f t="shared" si="21"/>
        <v>0</v>
      </c>
      <c r="BA30">
        <f t="shared" si="21"/>
        <v>0</v>
      </c>
      <c r="BB30">
        <f t="shared" si="21"/>
        <v>0</v>
      </c>
      <c r="BC30">
        <f t="shared" si="21"/>
        <v>0</v>
      </c>
      <c r="BD30">
        <f t="shared" si="21"/>
        <v>0</v>
      </c>
      <c r="BE30">
        <f t="shared" si="21"/>
        <v>0</v>
      </c>
      <c r="BF30">
        <f t="shared" si="21"/>
        <v>0</v>
      </c>
      <c r="BG30">
        <f t="shared" si="21"/>
        <v>0</v>
      </c>
      <c r="BH30">
        <f t="shared" si="21"/>
        <v>0</v>
      </c>
      <c r="BI30">
        <f t="shared" si="21"/>
        <v>0</v>
      </c>
      <c r="BJ30">
        <f t="shared" si="21"/>
        <v>0</v>
      </c>
      <c r="BK30">
        <f t="shared" si="21"/>
        <v>0</v>
      </c>
      <c r="BL30">
        <f t="shared" si="21"/>
        <v>0</v>
      </c>
      <c r="BM30">
        <f t="shared" si="21"/>
        <v>0</v>
      </c>
      <c r="BN30">
        <f t="shared" si="21"/>
        <v>0</v>
      </c>
      <c r="BO30">
        <f t="shared" si="21"/>
        <v>0</v>
      </c>
      <c r="BP30">
        <f t="shared" si="21"/>
        <v>0</v>
      </c>
      <c r="BQ30">
        <f t="shared" si="21"/>
        <v>0</v>
      </c>
      <c r="BR30">
        <f t="shared" si="19"/>
        <v>0</v>
      </c>
      <c r="BS30">
        <f t="shared" si="19"/>
        <v>0</v>
      </c>
      <c r="BT30">
        <f t="shared" si="19"/>
        <v>0</v>
      </c>
      <c r="BU30">
        <f t="shared" si="19"/>
        <v>0</v>
      </c>
      <c r="BV30">
        <f t="shared" si="19"/>
        <v>0</v>
      </c>
      <c r="BW30">
        <f t="shared" si="19"/>
        <v>0</v>
      </c>
      <c r="BX30">
        <f t="shared" si="19"/>
        <v>0</v>
      </c>
      <c r="BY30">
        <f t="shared" si="19"/>
        <v>0</v>
      </c>
      <c r="BZ30">
        <f t="shared" si="19"/>
        <v>0</v>
      </c>
      <c r="CA30">
        <f t="shared" si="19"/>
        <v>0</v>
      </c>
      <c r="CB30">
        <f t="shared" si="19"/>
        <v>0</v>
      </c>
      <c r="CC30">
        <f t="shared" si="19"/>
        <v>0</v>
      </c>
      <c r="CD30">
        <f t="shared" si="19"/>
        <v>0</v>
      </c>
      <c r="CE30">
        <f t="shared" si="19"/>
        <v>0</v>
      </c>
      <c r="CF30">
        <f t="shared" si="19"/>
        <v>0</v>
      </c>
      <c r="CG30">
        <f t="shared" si="19"/>
        <v>0</v>
      </c>
      <c r="CH30">
        <f t="shared" si="19"/>
        <v>0</v>
      </c>
      <c r="CI30">
        <f t="shared" si="19"/>
        <v>0</v>
      </c>
      <c r="CJ30">
        <f t="shared" si="19"/>
        <v>0</v>
      </c>
      <c r="CK30">
        <f t="shared" si="19"/>
        <v>0</v>
      </c>
      <c r="CL30">
        <f t="shared" si="19"/>
        <v>0</v>
      </c>
      <c r="CM30">
        <f t="shared" si="19"/>
        <v>0</v>
      </c>
      <c r="CN30">
        <f t="shared" si="19"/>
        <v>0</v>
      </c>
      <c r="CO30">
        <f t="shared" si="19"/>
        <v>0</v>
      </c>
      <c r="CP30">
        <f t="shared" si="19"/>
        <v>0</v>
      </c>
      <c r="CQ30">
        <f t="shared" si="19"/>
        <v>0</v>
      </c>
      <c r="CR30">
        <f t="shared" si="19"/>
        <v>0</v>
      </c>
      <c r="CS30">
        <f t="shared" si="19"/>
        <v>0</v>
      </c>
      <c r="CT30">
        <f t="shared" si="19"/>
        <v>0</v>
      </c>
      <c r="CU30">
        <f t="shared" si="19"/>
        <v>0</v>
      </c>
      <c r="CV30">
        <f t="shared" si="19"/>
        <v>0</v>
      </c>
      <c r="CW30">
        <f t="shared" si="19"/>
        <v>0</v>
      </c>
      <c r="CX30">
        <f t="shared" si="19"/>
        <v>0</v>
      </c>
      <c r="CY30">
        <f t="shared" si="19"/>
        <v>0</v>
      </c>
      <c r="CZ30">
        <f t="shared" si="19"/>
        <v>0</v>
      </c>
      <c r="DA30">
        <f t="shared" si="19"/>
        <v>0</v>
      </c>
      <c r="DB30">
        <f t="shared" si="19"/>
        <v>0</v>
      </c>
      <c r="DC30">
        <f t="shared" si="19"/>
        <v>0</v>
      </c>
      <c r="DD30">
        <f t="shared" si="19"/>
        <v>0</v>
      </c>
      <c r="DE30">
        <f t="shared" si="19"/>
        <v>0</v>
      </c>
      <c r="DF30">
        <f t="shared" si="19"/>
        <v>0</v>
      </c>
      <c r="DG30">
        <f t="shared" si="19"/>
        <v>0</v>
      </c>
      <c r="DH30">
        <f t="shared" si="19"/>
        <v>0</v>
      </c>
      <c r="DI30">
        <f t="shared" si="19"/>
        <v>0</v>
      </c>
      <c r="DJ30">
        <f t="shared" si="19"/>
        <v>0</v>
      </c>
      <c r="DK30">
        <f t="shared" si="19"/>
        <v>0</v>
      </c>
      <c r="DL30">
        <f t="shared" si="19"/>
        <v>0</v>
      </c>
      <c r="DM30">
        <f t="shared" si="19"/>
        <v>0</v>
      </c>
      <c r="DN30">
        <f t="shared" si="19"/>
        <v>0</v>
      </c>
      <c r="DO30">
        <f t="shared" si="19"/>
        <v>0</v>
      </c>
      <c r="DP30">
        <f t="shared" si="19"/>
        <v>0</v>
      </c>
      <c r="DQ30">
        <f t="shared" si="19"/>
        <v>0</v>
      </c>
      <c r="DR30">
        <f t="shared" si="19"/>
        <v>0</v>
      </c>
      <c r="DS30">
        <f t="shared" si="19"/>
        <v>0</v>
      </c>
      <c r="DT30">
        <f t="shared" si="19"/>
        <v>0</v>
      </c>
      <c r="DU30">
        <f t="shared" si="19"/>
        <v>0</v>
      </c>
      <c r="DV30">
        <f t="shared" si="19"/>
        <v>0</v>
      </c>
      <c r="DW30">
        <f t="shared" si="19"/>
        <v>0</v>
      </c>
      <c r="DX30">
        <f t="shared" si="19"/>
        <v>0</v>
      </c>
      <c r="DY30">
        <f t="shared" si="19"/>
        <v>0</v>
      </c>
      <c r="DZ30">
        <f t="shared" si="19"/>
        <v>0</v>
      </c>
      <c r="EA30">
        <f t="shared" si="19"/>
        <v>0</v>
      </c>
      <c r="EB30">
        <f t="shared" si="19"/>
        <v>0</v>
      </c>
      <c r="EC30">
        <f t="shared" si="17"/>
        <v>0</v>
      </c>
      <c r="ED30">
        <f t="shared" si="15"/>
        <v>0</v>
      </c>
      <c r="EE30">
        <f t="shared" si="15"/>
        <v>0</v>
      </c>
      <c r="EF30">
        <f t="shared" si="15"/>
        <v>0</v>
      </c>
      <c r="EG30">
        <f t="shared" si="15"/>
        <v>0</v>
      </c>
      <c r="EH30">
        <f t="shared" si="15"/>
        <v>0</v>
      </c>
      <c r="EI30">
        <f t="shared" si="15"/>
        <v>0</v>
      </c>
      <c r="EJ30">
        <f t="shared" si="15"/>
        <v>0</v>
      </c>
      <c r="EK30">
        <f t="shared" si="15"/>
        <v>0</v>
      </c>
      <c r="EL30">
        <f t="shared" si="15"/>
        <v>0</v>
      </c>
      <c r="EM30">
        <f t="shared" si="15"/>
        <v>0</v>
      </c>
      <c r="EN30">
        <f t="shared" si="15"/>
        <v>0</v>
      </c>
      <c r="EO30">
        <f t="shared" si="15"/>
        <v>0</v>
      </c>
      <c r="EP30">
        <f t="shared" si="15"/>
        <v>0</v>
      </c>
      <c r="EQ30">
        <f t="shared" si="15"/>
        <v>0</v>
      </c>
      <c r="ER30">
        <f t="shared" si="15"/>
        <v>0</v>
      </c>
      <c r="ES30">
        <f t="shared" si="15"/>
        <v>0</v>
      </c>
      <c r="ET30">
        <f t="shared" si="15"/>
        <v>0</v>
      </c>
      <c r="EU30">
        <f t="shared" si="15"/>
        <v>0</v>
      </c>
      <c r="EV30">
        <f t="shared" si="15"/>
        <v>0</v>
      </c>
      <c r="EW30">
        <f t="shared" si="15"/>
        <v>0</v>
      </c>
      <c r="EX30">
        <f t="shared" si="15"/>
        <v>0</v>
      </c>
      <c r="EY30">
        <f t="shared" si="15"/>
        <v>0</v>
      </c>
      <c r="EZ30">
        <f t="shared" si="15"/>
        <v>0</v>
      </c>
      <c r="FA30">
        <f t="shared" si="15"/>
        <v>0</v>
      </c>
      <c r="FB30">
        <f t="shared" si="15"/>
        <v>0</v>
      </c>
      <c r="FC30">
        <f t="shared" si="15"/>
        <v>0</v>
      </c>
      <c r="FD30">
        <f t="shared" si="15"/>
        <v>0</v>
      </c>
      <c r="FE30">
        <f t="shared" si="15"/>
        <v>0</v>
      </c>
      <c r="FF30">
        <f t="shared" si="15"/>
        <v>0</v>
      </c>
      <c r="FG30">
        <f t="shared" si="15"/>
        <v>0</v>
      </c>
      <c r="FH30">
        <f t="shared" si="15"/>
        <v>0</v>
      </c>
      <c r="FI30">
        <f t="shared" si="15"/>
        <v>0</v>
      </c>
      <c r="FJ30">
        <f t="shared" si="15"/>
        <v>0</v>
      </c>
      <c r="FK30">
        <f t="shared" si="15"/>
        <v>0</v>
      </c>
      <c r="FL30">
        <f t="shared" si="15"/>
        <v>0</v>
      </c>
      <c r="FM30">
        <f t="shared" si="15"/>
        <v>0</v>
      </c>
      <c r="FN30">
        <f t="shared" si="15"/>
        <v>0</v>
      </c>
      <c r="FO30">
        <f t="shared" si="15"/>
        <v>0</v>
      </c>
      <c r="FP30">
        <f t="shared" si="15"/>
        <v>0</v>
      </c>
      <c r="FQ30">
        <f t="shared" si="15"/>
        <v>0</v>
      </c>
      <c r="FR30">
        <f t="shared" si="15"/>
        <v>0</v>
      </c>
      <c r="FS30">
        <f t="shared" si="15"/>
        <v>0</v>
      </c>
      <c r="FT30">
        <f t="shared" si="15"/>
        <v>0</v>
      </c>
      <c r="FU30">
        <f t="shared" si="15"/>
        <v>0</v>
      </c>
    </row>
    <row r="31" spans="1:177" x14ac:dyDescent="0.25">
      <c r="A31" t="str">
        <f t="shared" ref="A31:D31" si="22">A11</f>
        <v>Negev</v>
      </c>
      <c r="B31" t="str">
        <f t="shared" si="22"/>
        <v>Power Loader MW</v>
      </c>
      <c r="C31" t="str">
        <f t="shared" si="22"/>
        <v>Heavy</v>
      </c>
      <c r="D31" t="str">
        <f t="shared" si="22"/>
        <v>Revolver</v>
      </c>
      <c r="E31">
        <f t="shared" si="11"/>
        <v>0</v>
      </c>
      <c r="F31">
        <f t="shared" si="21"/>
        <v>0</v>
      </c>
      <c r="G31">
        <f t="shared" si="21"/>
        <v>0</v>
      </c>
      <c r="H31">
        <f t="shared" si="21"/>
        <v>0</v>
      </c>
      <c r="I31">
        <f t="shared" si="21"/>
        <v>0</v>
      </c>
      <c r="J31">
        <f t="shared" si="21"/>
        <v>0</v>
      </c>
      <c r="K31">
        <f t="shared" si="21"/>
        <v>0</v>
      </c>
      <c r="L31">
        <f t="shared" si="21"/>
        <v>0</v>
      </c>
      <c r="M31">
        <f t="shared" si="21"/>
        <v>0</v>
      </c>
      <c r="N31">
        <f t="shared" si="21"/>
        <v>0</v>
      </c>
      <c r="O31">
        <f t="shared" si="21"/>
        <v>0</v>
      </c>
      <c r="P31">
        <f t="shared" si="21"/>
        <v>0</v>
      </c>
      <c r="Q31">
        <f t="shared" si="21"/>
        <v>0</v>
      </c>
      <c r="R31">
        <f t="shared" si="21"/>
        <v>0</v>
      </c>
      <c r="S31">
        <f t="shared" si="21"/>
        <v>0</v>
      </c>
      <c r="T31">
        <f t="shared" si="21"/>
        <v>0</v>
      </c>
      <c r="U31">
        <f t="shared" si="21"/>
        <v>0</v>
      </c>
      <c r="V31">
        <f t="shared" si="21"/>
        <v>0</v>
      </c>
      <c r="W31">
        <f t="shared" si="21"/>
        <v>0</v>
      </c>
      <c r="X31">
        <f t="shared" si="21"/>
        <v>0</v>
      </c>
      <c r="Y31">
        <f t="shared" si="21"/>
        <v>0</v>
      </c>
      <c r="Z31">
        <f t="shared" si="21"/>
        <v>0</v>
      </c>
      <c r="AA31">
        <f t="shared" si="21"/>
        <v>0</v>
      </c>
      <c r="AB31">
        <f t="shared" si="21"/>
        <v>0</v>
      </c>
      <c r="AC31">
        <f t="shared" si="21"/>
        <v>0</v>
      </c>
      <c r="AD31">
        <f t="shared" si="21"/>
        <v>0</v>
      </c>
      <c r="AE31">
        <f t="shared" si="21"/>
        <v>0</v>
      </c>
      <c r="AF31">
        <f t="shared" si="21"/>
        <v>0</v>
      </c>
      <c r="AG31">
        <f t="shared" si="21"/>
        <v>0</v>
      </c>
      <c r="AH31">
        <f t="shared" si="21"/>
        <v>0</v>
      </c>
      <c r="AI31">
        <f t="shared" si="21"/>
        <v>0</v>
      </c>
      <c r="AJ31">
        <f t="shared" si="21"/>
        <v>0</v>
      </c>
      <c r="AK31">
        <f t="shared" si="21"/>
        <v>0</v>
      </c>
      <c r="AL31">
        <f t="shared" si="21"/>
        <v>0</v>
      </c>
      <c r="AM31">
        <f t="shared" si="21"/>
        <v>0</v>
      </c>
      <c r="AN31">
        <f t="shared" si="21"/>
        <v>0</v>
      </c>
      <c r="AO31">
        <f t="shared" si="21"/>
        <v>0</v>
      </c>
      <c r="AP31">
        <f t="shared" si="21"/>
        <v>0</v>
      </c>
      <c r="AQ31">
        <f t="shared" si="21"/>
        <v>0</v>
      </c>
      <c r="AR31">
        <f t="shared" si="21"/>
        <v>0</v>
      </c>
      <c r="AS31">
        <f t="shared" si="21"/>
        <v>0</v>
      </c>
      <c r="AT31">
        <f t="shared" si="21"/>
        <v>0</v>
      </c>
      <c r="AU31">
        <f t="shared" si="21"/>
        <v>0</v>
      </c>
      <c r="AV31">
        <f t="shared" si="21"/>
        <v>0</v>
      </c>
      <c r="AW31">
        <f t="shared" si="21"/>
        <v>0</v>
      </c>
      <c r="AX31">
        <f t="shared" si="21"/>
        <v>0</v>
      </c>
      <c r="AY31">
        <f t="shared" si="21"/>
        <v>0</v>
      </c>
      <c r="AZ31">
        <f t="shared" si="21"/>
        <v>0</v>
      </c>
      <c r="BA31">
        <f t="shared" si="21"/>
        <v>0</v>
      </c>
      <c r="BB31">
        <f t="shared" si="21"/>
        <v>0</v>
      </c>
      <c r="BC31">
        <f t="shared" si="21"/>
        <v>0</v>
      </c>
      <c r="BD31">
        <f t="shared" si="21"/>
        <v>0</v>
      </c>
      <c r="BE31">
        <f t="shared" si="21"/>
        <v>0</v>
      </c>
      <c r="BF31">
        <f t="shared" si="21"/>
        <v>0</v>
      </c>
      <c r="BG31">
        <f t="shared" si="21"/>
        <v>0</v>
      </c>
      <c r="BH31">
        <f t="shared" si="21"/>
        <v>0</v>
      </c>
      <c r="BI31">
        <f t="shared" si="21"/>
        <v>0</v>
      </c>
      <c r="BJ31">
        <f t="shared" si="21"/>
        <v>0</v>
      </c>
      <c r="BK31">
        <f t="shared" si="21"/>
        <v>0</v>
      </c>
      <c r="BL31">
        <f t="shared" si="21"/>
        <v>0</v>
      </c>
      <c r="BM31">
        <f t="shared" si="21"/>
        <v>0</v>
      </c>
      <c r="BN31">
        <f t="shared" si="21"/>
        <v>0</v>
      </c>
      <c r="BO31">
        <f t="shared" si="21"/>
        <v>0</v>
      </c>
      <c r="BP31">
        <f t="shared" si="21"/>
        <v>0</v>
      </c>
      <c r="BQ31">
        <f t="shared" si="21"/>
        <v>0</v>
      </c>
      <c r="BR31">
        <f t="shared" si="19"/>
        <v>0</v>
      </c>
      <c r="BS31">
        <f t="shared" si="19"/>
        <v>0</v>
      </c>
      <c r="BT31">
        <f t="shared" si="19"/>
        <v>0</v>
      </c>
      <c r="BU31">
        <f t="shared" si="19"/>
        <v>0</v>
      </c>
      <c r="BV31">
        <f t="shared" si="19"/>
        <v>0</v>
      </c>
      <c r="BW31">
        <f t="shared" si="19"/>
        <v>0</v>
      </c>
      <c r="BX31">
        <f t="shared" si="19"/>
        <v>0</v>
      </c>
      <c r="BY31">
        <f t="shared" si="19"/>
        <v>0</v>
      </c>
      <c r="BZ31">
        <f t="shared" si="19"/>
        <v>0</v>
      </c>
      <c r="CA31">
        <f t="shared" si="19"/>
        <v>0</v>
      </c>
      <c r="CB31">
        <f t="shared" si="19"/>
        <v>0</v>
      </c>
      <c r="CC31">
        <f t="shared" si="19"/>
        <v>0</v>
      </c>
      <c r="CD31">
        <f t="shared" si="19"/>
        <v>0</v>
      </c>
      <c r="CE31">
        <f t="shared" si="19"/>
        <v>0</v>
      </c>
      <c r="CF31">
        <f t="shared" si="19"/>
        <v>0</v>
      </c>
      <c r="CG31">
        <f t="shared" si="19"/>
        <v>0</v>
      </c>
      <c r="CH31">
        <f t="shared" si="19"/>
        <v>0</v>
      </c>
      <c r="CI31">
        <f t="shared" si="19"/>
        <v>0</v>
      </c>
      <c r="CJ31">
        <f t="shared" si="19"/>
        <v>0</v>
      </c>
      <c r="CK31">
        <f t="shared" si="19"/>
        <v>0</v>
      </c>
      <c r="CL31">
        <f t="shared" si="19"/>
        <v>0</v>
      </c>
      <c r="CM31">
        <f t="shared" si="19"/>
        <v>0</v>
      </c>
      <c r="CN31">
        <f t="shared" si="19"/>
        <v>0</v>
      </c>
      <c r="CO31">
        <f t="shared" si="19"/>
        <v>0</v>
      </c>
      <c r="CP31">
        <f t="shared" si="19"/>
        <v>0</v>
      </c>
      <c r="CQ31">
        <f t="shared" si="19"/>
        <v>0</v>
      </c>
      <c r="CR31">
        <f t="shared" si="19"/>
        <v>0</v>
      </c>
      <c r="CS31">
        <f t="shared" si="19"/>
        <v>0</v>
      </c>
      <c r="CT31">
        <f t="shared" si="19"/>
        <v>0</v>
      </c>
      <c r="CU31">
        <f t="shared" si="19"/>
        <v>0</v>
      </c>
      <c r="CV31">
        <f t="shared" si="19"/>
        <v>0</v>
      </c>
      <c r="CW31">
        <f t="shared" si="19"/>
        <v>0</v>
      </c>
      <c r="CX31">
        <f t="shared" si="19"/>
        <v>0</v>
      </c>
      <c r="CY31">
        <f t="shared" si="19"/>
        <v>0</v>
      </c>
      <c r="CZ31">
        <f t="shared" si="19"/>
        <v>0</v>
      </c>
      <c r="DA31">
        <f t="shared" si="19"/>
        <v>0</v>
      </c>
      <c r="DB31">
        <f t="shared" si="19"/>
        <v>0</v>
      </c>
      <c r="DC31">
        <f t="shared" si="19"/>
        <v>0</v>
      </c>
      <c r="DD31">
        <f t="shared" si="19"/>
        <v>0</v>
      </c>
      <c r="DE31">
        <f t="shared" si="19"/>
        <v>0</v>
      </c>
      <c r="DF31">
        <f t="shared" si="19"/>
        <v>0</v>
      </c>
      <c r="DG31">
        <f t="shared" si="19"/>
        <v>0</v>
      </c>
      <c r="DH31">
        <f t="shared" si="19"/>
        <v>0</v>
      </c>
      <c r="DI31">
        <f t="shared" si="19"/>
        <v>0</v>
      </c>
      <c r="DJ31">
        <f t="shared" si="19"/>
        <v>0</v>
      </c>
      <c r="DK31">
        <f t="shared" si="19"/>
        <v>0</v>
      </c>
      <c r="DL31">
        <f t="shared" si="19"/>
        <v>0</v>
      </c>
      <c r="DM31">
        <f t="shared" si="19"/>
        <v>0</v>
      </c>
      <c r="DN31">
        <f t="shared" si="19"/>
        <v>0</v>
      </c>
      <c r="DO31">
        <f t="shared" si="19"/>
        <v>0</v>
      </c>
      <c r="DP31">
        <f t="shared" si="19"/>
        <v>0</v>
      </c>
      <c r="DQ31">
        <f t="shared" si="19"/>
        <v>0</v>
      </c>
      <c r="DR31">
        <f t="shared" si="19"/>
        <v>0</v>
      </c>
      <c r="DS31">
        <f t="shared" si="19"/>
        <v>0</v>
      </c>
      <c r="DT31">
        <f t="shared" si="19"/>
        <v>0</v>
      </c>
      <c r="DU31">
        <f t="shared" si="19"/>
        <v>0</v>
      </c>
      <c r="DV31">
        <f t="shared" si="19"/>
        <v>0</v>
      </c>
      <c r="DW31">
        <f t="shared" si="19"/>
        <v>0</v>
      </c>
      <c r="DX31">
        <f t="shared" si="19"/>
        <v>0</v>
      </c>
      <c r="DY31">
        <f t="shared" si="19"/>
        <v>0</v>
      </c>
      <c r="DZ31">
        <f t="shared" si="19"/>
        <v>0</v>
      </c>
      <c r="EA31">
        <f t="shared" si="19"/>
        <v>0</v>
      </c>
      <c r="EB31">
        <f t="shared" si="19"/>
        <v>0</v>
      </c>
      <c r="EC31">
        <f t="shared" si="17"/>
        <v>0</v>
      </c>
      <c r="ED31">
        <f t="shared" si="15"/>
        <v>0</v>
      </c>
      <c r="EE31">
        <f t="shared" si="15"/>
        <v>0</v>
      </c>
      <c r="EF31">
        <f t="shared" si="15"/>
        <v>0</v>
      </c>
      <c r="EG31">
        <f t="shared" si="15"/>
        <v>0</v>
      </c>
      <c r="EH31">
        <f t="shared" si="15"/>
        <v>0</v>
      </c>
      <c r="EI31">
        <f t="shared" si="15"/>
        <v>0</v>
      </c>
      <c r="EJ31">
        <f t="shared" si="15"/>
        <v>0</v>
      </c>
      <c r="EK31">
        <f t="shared" si="15"/>
        <v>0</v>
      </c>
      <c r="EL31">
        <f t="shared" si="15"/>
        <v>0</v>
      </c>
      <c r="EM31">
        <f t="shared" si="15"/>
        <v>0</v>
      </c>
      <c r="EN31">
        <f t="shared" si="15"/>
        <v>0</v>
      </c>
      <c r="EO31">
        <f t="shared" si="15"/>
        <v>0</v>
      </c>
      <c r="EP31">
        <f t="shared" si="15"/>
        <v>0</v>
      </c>
      <c r="EQ31">
        <f t="shared" si="15"/>
        <v>0</v>
      </c>
      <c r="ER31">
        <f t="shared" si="15"/>
        <v>0</v>
      </c>
      <c r="ES31">
        <f t="shared" si="15"/>
        <v>0</v>
      </c>
      <c r="ET31">
        <f t="shared" si="15"/>
        <v>0</v>
      </c>
      <c r="EU31">
        <f t="shared" si="15"/>
        <v>0</v>
      </c>
      <c r="EV31">
        <f t="shared" si="15"/>
        <v>0</v>
      </c>
      <c r="EW31">
        <f t="shared" si="15"/>
        <v>0</v>
      </c>
      <c r="EX31">
        <f t="shared" si="15"/>
        <v>0</v>
      </c>
      <c r="EY31">
        <f t="shared" si="15"/>
        <v>0</v>
      </c>
      <c r="EZ31">
        <f t="shared" si="15"/>
        <v>0</v>
      </c>
      <c r="FA31">
        <f t="shared" si="15"/>
        <v>0</v>
      </c>
      <c r="FB31">
        <f t="shared" si="15"/>
        <v>0</v>
      </c>
      <c r="FC31">
        <f t="shared" si="15"/>
        <v>0</v>
      </c>
      <c r="FD31">
        <f t="shared" si="15"/>
        <v>0</v>
      </c>
      <c r="FE31">
        <f t="shared" si="15"/>
        <v>0</v>
      </c>
      <c r="FF31">
        <f t="shared" si="15"/>
        <v>0</v>
      </c>
      <c r="FG31">
        <f t="shared" si="15"/>
        <v>0</v>
      </c>
      <c r="FH31">
        <f t="shared" si="15"/>
        <v>0</v>
      </c>
      <c r="FI31">
        <f t="shared" si="15"/>
        <v>0</v>
      </c>
      <c r="FJ31">
        <f t="shared" si="15"/>
        <v>0</v>
      </c>
      <c r="FK31">
        <f t="shared" si="15"/>
        <v>0</v>
      </c>
      <c r="FL31">
        <f t="shared" si="15"/>
        <v>0</v>
      </c>
      <c r="FM31">
        <f t="shared" si="15"/>
        <v>0</v>
      </c>
      <c r="FN31">
        <f t="shared" si="15"/>
        <v>0</v>
      </c>
      <c r="FO31">
        <f t="shared" si="15"/>
        <v>0</v>
      </c>
      <c r="FP31">
        <f t="shared" si="15"/>
        <v>0</v>
      </c>
      <c r="FQ31">
        <f t="shared" si="15"/>
        <v>0</v>
      </c>
      <c r="FR31">
        <f t="shared" si="15"/>
        <v>0</v>
      </c>
      <c r="FS31">
        <f t="shared" si="15"/>
        <v>0</v>
      </c>
      <c r="FT31">
        <f t="shared" si="15"/>
        <v>0</v>
      </c>
      <c r="FU31">
        <f t="shared" si="15"/>
        <v>0</v>
      </c>
    </row>
    <row r="32" spans="1:177" x14ac:dyDescent="0.25">
      <c r="A32" t="str">
        <f t="shared" ref="A32:D32" si="23">A12</f>
        <v>XM1014</v>
      </c>
      <c r="B32" t="str">
        <f t="shared" si="23"/>
        <v>Heaven Guard FT</v>
      </c>
      <c r="C32" t="str">
        <f t="shared" si="23"/>
        <v>Heavy</v>
      </c>
      <c r="D32" t="str">
        <f t="shared" si="23"/>
        <v>Huntsman</v>
      </c>
      <c r="E32">
        <f t="shared" si="11"/>
        <v>2.1800000000000002</v>
      </c>
      <c r="F32">
        <f t="shared" si="21"/>
        <v>2.02</v>
      </c>
      <c r="G32">
        <f t="shared" si="21"/>
        <v>1.75</v>
      </c>
      <c r="H32">
        <f t="shared" si="21"/>
        <v>1.82</v>
      </c>
      <c r="I32">
        <f t="shared" si="21"/>
        <v>1.96</v>
      </c>
      <c r="J32">
        <f t="shared" si="21"/>
        <v>2.11</v>
      </c>
      <c r="K32">
        <f t="shared" si="21"/>
        <v>1.88</v>
      </c>
      <c r="L32">
        <f t="shared" si="21"/>
        <v>1.96</v>
      </c>
      <c r="M32">
        <f t="shared" si="21"/>
        <v>1.96</v>
      </c>
      <c r="N32">
        <f t="shared" si="21"/>
        <v>1.98</v>
      </c>
      <c r="O32">
        <f t="shared" si="21"/>
        <v>1.9699999999999998</v>
      </c>
      <c r="P32">
        <f t="shared" si="21"/>
        <v>1.98</v>
      </c>
      <c r="Q32">
        <f t="shared" si="21"/>
        <v>1.9699999999999998</v>
      </c>
      <c r="R32">
        <f t="shared" si="21"/>
        <v>2.0300000000000002</v>
      </c>
      <c r="S32">
        <f t="shared" si="21"/>
        <v>2.0500000000000003</v>
      </c>
      <c r="T32">
        <f t="shared" si="21"/>
        <v>2.0300000000000002</v>
      </c>
      <c r="U32">
        <f t="shared" si="21"/>
        <v>2.1</v>
      </c>
      <c r="V32">
        <f t="shared" si="21"/>
        <v>1.9299999999999997</v>
      </c>
      <c r="W32">
        <f t="shared" si="21"/>
        <v>2.1</v>
      </c>
      <c r="X32">
        <f t="shared" si="21"/>
        <v>2.63</v>
      </c>
      <c r="Y32">
        <f t="shared" si="21"/>
        <v>2.6799999999999997</v>
      </c>
      <c r="Z32">
        <f t="shared" si="21"/>
        <v>0</v>
      </c>
      <c r="AA32">
        <f t="shared" si="21"/>
        <v>0</v>
      </c>
      <c r="AB32">
        <f t="shared" si="21"/>
        <v>0</v>
      </c>
      <c r="AC32">
        <f t="shared" si="21"/>
        <v>0</v>
      </c>
      <c r="AD32">
        <f t="shared" si="21"/>
        <v>0</v>
      </c>
      <c r="AE32">
        <f t="shared" si="21"/>
        <v>0</v>
      </c>
      <c r="AF32">
        <f t="shared" si="21"/>
        <v>0</v>
      </c>
      <c r="AG32">
        <f t="shared" si="21"/>
        <v>0</v>
      </c>
      <c r="AH32">
        <f t="shared" si="21"/>
        <v>0</v>
      </c>
      <c r="AI32">
        <f t="shared" si="21"/>
        <v>0</v>
      </c>
      <c r="AJ32">
        <f t="shared" si="21"/>
        <v>0</v>
      </c>
      <c r="AK32">
        <f t="shared" si="21"/>
        <v>0</v>
      </c>
      <c r="AL32">
        <f t="shared" si="21"/>
        <v>0</v>
      </c>
      <c r="AM32">
        <f t="shared" si="21"/>
        <v>0</v>
      </c>
      <c r="AN32">
        <f t="shared" si="21"/>
        <v>0</v>
      </c>
      <c r="AO32">
        <f t="shared" si="21"/>
        <v>0</v>
      </c>
      <c r="AP32">
        <f t="shared" si="21"/>
        <v>0</v>
      </c>
      <c r="AQ32">
        <f t="shared" si="21"/>
        <v>0</v>
      </c>
      <c r="AR32">
        <f t="shared" si="21"/>
        <v>0</v>
      </c>
      <c r="AS32">
        <f t="shared" si="21"/>
        <v>0</v>
      </c>
      <c r="AT32">
        <f t="shared" si="21"/>
        <v>0</v>
      </c>
      <c r="AU32">
        <f t="shared" si="21"/>
        <v>0</v>
      </c>
      <c r="AV32">
        <f t="shared" si="21"/>
        <v>0</v>
      </c>
      <c r="AW32">
        <f t="shared" si="21"/>
        <v>0</v>
      </c>
      <c r="AX32">
        <f t="shared" si="21"/>
        <v>0</v>
      </c>
      <c r="AY32">
        <f t="shared" si="21"/>
        <v>0</v>
      </c>
      <c r="AZ32">
        <f t="shared" si="21"/>
        <v>0</v>
      </c>
      <c r="BA32">
        <f t="shared" si="21"/>
        <v>0</v>
      </c>
      <c r="BB32">
        <f t="shared" si="21"/>
        <v>0</v>
      </c>
      <c r="BC32">
        <f t="shared" si="21"/>
        <v>0</v>
      </c>
      <c r="BD32">
        <f t="shared" si="21"/>
        <v>0</v>
      </c>
      <c r="BE32">
        <f t="shared" si="21"/>
        <v>0</v>
      </c>
      <c r="BF32">
        <f t="shared" si="21"/>
        <v>0</v>
      </c>
      <c r="BG32">
        <f t="shared" si="21"/>
        <v>0</v>
      </c>
      <c r="BH32">
        <f t="shared" si="21"/>
        <v>0</v>
      </c>
      <c r="BI32">
        <f t="shared" si="21"/>
        <v>0</v>
      </c>
      <c r="BJ32">
        <f t="shared" si="21"/>
        <v>0</v>
      </c>
      <c r="BK32">
        <f t="shared" si="21"/>
        <v>0</v>
      </c>
      <c r="BL32">
        <f t="shared" si="21"/>
        <v>0</v>
      </c>
      <c r="BM32">
        <f t="shared" si="21"/>
        <v>0</v>
      </c>
      <c r="BN32">
        <f t="shared" si="21"/>
        <v>0</v>
      </c>
      <c r="BO32">
        <f t="shared" si="21"/>
        <v>0</v>
      </c>
      <c r="BP32">
        <f t="shared" si="21"/>
        <v>0</v>
      </c>
      <c r="BQ32">
        <f t="shared" si="21"/>
        <v>0</v>
      </c>
      <c r="BR32">
        <f t="shared" si="19"/>
        <v>0</v>
      </c>
      <c r="BS32">
        <f t="shared" si="19"/>
        <v>0</v>
      </c>
      <c r="BT32">
        <f t="shared" si="19"/>
        <v>0</v>
      </c>
      <c r="BU32">
        <f t="shared" si="19"/>
        <v>0</v>
      </c>
      <c r="BV32">
        <f t="shared" si="19"/>
        <v>0</v>
      </c>
      <c r="BW32">
        <f t="shared" si="19"/>
        <v>0</v>
      </c>
      <c r="BX32">
        <f t="shared" si="19"/>
        <v>0</v>
      </c>
      <c r="BY32">
        <f t="shared" si="19"/>
        <v>0</v>
      </c>
      <c r="BZ32">
        <f t="shared" si="19"/>
        <v>0</v>
      </c>
      <c r="CA32">
        <f t="shared" si="19"/>
        <v>0</v>
      </c>
      <c r="CB32">
        <f t="shared" si="19"/>
        <v>0</v>
      </c>
      <c r="CC32">
        <f t="shared" si="19"/>
        <v>0</v>
      </c>
      <c r="CD32">
        <f t="shared" si="19"/>
        <v>0</v>
      </c>
      <c r="CE32">
        <f t="shared" si="19"/>
        <v>0</v>
      </c>
      <c r="CF32">
        <f t="shared" si="19"/>
        <v>0</v>
      </c>
      <c r="CG32">
        <f t="shared" si="19"/>
        <v>0</v>
      </c>
      <c r="CH32">
        <f t="shared" si="19"/>
        <v>0</v>
      </c>
      <c r="CI32">
        <f t="shared" si="19"/>
        <v>0</v>
      </c>
      <c r="CJ32">
        <f t="shared" si="19"/>
        <v>0</v>
      </c>
      <c r="CK32">
        <f t="shared" si="19"/>
        <v>0</v>
      </c>
      <c r="CL32">
        <f t="shared" si="19"/>
        <v>0</v>
      </c>
      <c r="CM32">
        <f t="shared" si="19"/>
        <v>0</v>
      </c>
      <c r="CN32">
        <f t="shared" si="19"/>
        <v>0</v>
      </c>
      <c r="CO32">
        <f t="shared" si="19"/>
        <v>0</v>
      </c>
      <c r="CP32">
        <f t="shared" si="19"/>
        <v>0</v>
      </c>
      <c r="CQ32">
        <f t="shared" si="19"/>
        <v>0</v>
      </c>
      <c r="CR32">
        <f t="shared" si="19"/>
        <v>0</v>
      </c>
      <c r="CS32">
        <f t="shared" si="19"/>
        <v>0</v>
      </c>
      <c r="CT32">
        <f t="shared" si="19"/>
        <v>0</v>
      </c>
      <c r="CU32">
        <f t="shared" si="19"/>
        <v>0</v>
      </c>
      <c r="CV32">
        <f t="shared" si="19"/>
        <v>0</v>
      </c>
      <c r="CW32">
        <f t="shared" si="19"/>
        <v>0</v>
      </c>
      <c r="CX32">
        <f t="shared" si="19"/>
        <v>0</v>
      </c>
      <c r="CY32">
        <f t="shared" si="19"/>
        <v>0</v>
      </c>
      <c r="CZ32">
        <f t="shared" si="19"/>
        <v>0</v>
      </c>
      <c r="DA32">
        <f t="shared" si="19"/>
        <v>0</v>
      </c>
      <c r="DB32">
        <f t="shared" si="19"/>
        <v>0</v>
      </c>
      <c r="DC32">
        <f t="shared" si="19"/>
        <v>0</v>
      </c>
      <c r="DD32">
        <f t="shared" si="19"/>
        <v>0</v>
      </c>
      <c r="DE32">
        <f t="shared" si="19"/>
        <v>0</v>
      </c>
      <c r="DF32">
        <f t="shared" si="19"/>
        <v>0</v>
      </c>
      <c r="DG32">
        <f t="shared" si="19"/>
        <v>0</v>
      </c>
      <c r="DH32">
        <f t="shared" si="19"/>
        <v>0</v>
      </c>
      <c r="DI32">
        <f t="shared" si="19"/>
        <v>0</v>
      </c>
      <c r="DJ32">
        <f t="shared" si="19"/>
        <v>0</v>
      </c>
      <c r="DK32">
        <f t="shared" si="19"/>
        <v>0</v>
      </c>
      <c r="DL32">
        <f t="shared" si="19"/>
        <v>0</v>
      </c>
      <c r="DM32">
        <f t="shared" si="19"/>
        <v>0</v>
      </c>
      <c r="DN32">
        <f t="shared" si="19"/>
        <v>0</v>
      </c>
      <c r="DO32">
        <f t="shared" si="19"/>
        <v>0</v>
      </c>
      <c r="DP32">
        <f t="shared" si="19"/>
        <v>0</v>
      </c>
      <c r="DQ32">
        <f t="shared" si="19"/>
        <v>0</v>
      </c>
      <c r="DR32">
        <f t="shared" si="19"/>
        <v>0</v>
      </c>
      <c r="DS32">
        <f t="shared" si="19"/>
        <v>0</v>
      </c>
      <c r="DT32">
        <f t="shared" si="19"/>
        <v>0</v>
      </c>
      <c r="DU32">
        <f t="shared" si="19"/>
        <v>0</v>
      </c>
      <c r="DV32">
        <f t="shared" si="19"/>
        <v>0</v>
      </c>
      <c r="DW32">
        <f t="shared" si="19"/>
        <v>0</v>
      </c>
      <c r="DX32">
        <f t="shared" si="19"/>
        <v>0</v>
      </c>
      <c r="DY32">
        <f t="shared" si="19"/>
        <v>0</v>
      </c>
      <c r="DZ32">
        <f t="shared" si="19"/>
        <v>0</v>
      </c>
      <c r="EA32">
        <f t="shared" si="19"/>
        <v>0</v>
      </c>
      <c r="EB32">
        <f t="shared" si="19"/>
        <v>0</v>
      </c>
      <c r="EC32">
        <f t="shared" si="17"/>
        <v>0</v>
      </c>
      <c r="ED32">
        <f t="shared" si="15"/>
        <v>0</v>
      </c>
      <c r="EE32">
        <f t="shared" si="15"/>
        <v>0</v>
      </c>
      <c r="EF32">
        <f t="shared" si="15"/>
        <v>0</v>
      </c>
      <c r="EG32">
        <f t="shared" si="15"/>
        <v>0</v>
      </c>
      <c r="EH32">
        <f t="shared" si="15"/>
        <v>0</v>
      </c>
      <c r="EI32">
        <f t="shared" si="15"/>
        <v>0</v>
      </c>
      <c r="EJ32">
        <f t="shared" si="15"/>
        <v>0</v>
      </c>
      <c r="EK32">
        <f t="shared" si="15"/>
        <v>0</v>
      </c>
      <c r="EL32">
        <f t="shared" si="15"/>
        <v>0</v>
      </c>
      <c r="EM32">
        <f t="shared" si="15"/>
        <v>0</v>
      </c>
      <c r="EN32">
        <f t="shared" si="15"/>
        <v>0</v>
      </c>
      <c r="EO32">
        <f t="shared" si="15"/>
        <v>0</v>
      </c>
      <c r="EP32">
        <f t="shared" si="15"/>
        <v>0</v>
      </c>
      <c r="EQ32">
        <f t="shared" si="15"/>
        <v>0</v>
      </c>
      <c r="ER32">
        <f t="shared" si="15"/>
        <v>0</v>
      </c>
      <c r="ES32">
        <f t="shared" si="15"/>
        <v>0</v>
      </c>
      <c r="ET32">
        <f t="shared" si="15"/>
        <v>0</v>
      </c>
      <c r="EU32">
        <f t="shared" si="15"/>
        <v>0</v>
      </c>
      <c r="EV32">
        <f t="shared" si="15"/>
        <v>0</v>
      </c>
      <c r="EW32">
        <f t="shared" si="15"/>
        <v>0</v>
      </c>
      <c r="EX32">
        <f t="shared" si="15"/>
        <v>0</v>
      </c>
      <c r="EY32">
        <f t="shared" si="15"/>
        <v>0</v>
      </c>
      <c r="EZ32">
        <f t="shared" si="15"/>
        <v>0</v>
      </c>
      <c r="FA32">
        <f t="shared" si="15"/>
        <v>0</v>
      </c>
      <c r="FB32">
        <f t="shared" si="15"/>
        <v>0</v>
      </c>
      <c r="FC32">
        <f t="shared" si="15"/>
        <v>0</v>
      </c>
      <c r="FD32">
        <f t="shared" si="15"/>
        <v>0</v>
      </c>
      <c r="FE32">
        <f t="shared" si="15"/>
        <v>0</v>
      </c>
      <c r="FF32">
        <f t="shared" si="15"/>
        <v>0</v>
      </c>
      <c r="FG32">
        <f t="shared" si="15"/>
        <v>0</v>
      </c>
      <c r="FH32">
        <f t="shared" si="15"/>
        <v>0</v>
      </c>
      <c r="FI32">
        <f t="shared" si="15"/>
        <v>0</v>
      </c>
      <c r="FJ32">
        <f t="shared" si="15"/>
        <v>0</v>
      </c>
      <c r="FK32">
        <f t="shared" si="15"/>
        <v>0</v>
      </c>
      <c r="FL32">
        <f t="shared" ref="FL32:FU32" si="24">FL12-ROUNDUP(FL12*0.3,2)</f>
        <v>0</v>
      </c>
      <c r="FM32">
        <f t="shared" si="24"/>
        <v>0</v>
      </c>
      <c r="FN32">
        <f t="shared" si="24"/>
        <v>0</v>
      </c>
      <c r="FO32">
        <f t="shared" si="24"/>
        <v>0</v>
      </c>
      <c r="FP32">
        <f t="shared" si="24"/>
        <v>0</v>
      </c>
      <c r="FQ32">
        <f t="shared" si="24"/>
        <v>0</v>
      </c>
      <c r="FR32">
        <f t="shared" si="24"/>
        <v>0</v>
      </c>
      <c r="FS32">
        <f t="shared" si="24"/>
        <v>0</v>
      </c>
      <c r="FT32">
        <f t="shared" si="24"/>
        <v>0</v>
      </c>
      <c r="FU32">
        <f t="shared" si="24"/>
        <v>0</v>
      </c>
    </row>
    <row r="33" spans="1:177" x14ac:dyDescent="0.25">
      <c r="A33" t="str">
        <f t="shared" ref="A33:D33" si="25">A13</f>
        <v>Sawed-Off</v>
      </c>
      <c r="B33" t="str">
        <f t="shared" si="25"/>
        <v>The Kraken MW</v>
      </c>
      <c r="C33" t="str">
        <f t="shared" si="25"/>
        <v>Heavy</v>
      </c>
      <c r="D33" t="str">
        <f t="shared" si="25"/>
        <v>Winter Offensive</v>
      </c>
      <c r="E33">
        <f t="shared" si="11"/>
        <v>4.1399999999999997</v>
      </c>
      <c r="F33">
        <f t="shared" si="21"/>
        <v>3.8400000000000003</v>
      </c>
      <c r="G33">
        <f t="shared" si="21"/>
        <v>3.9399999999999995</v>
      </c>
      <c r="H33">
        <f t="shared" si="21"/>
        <v>4.0199999999999996</v>
      </c>
      <c r="I33">
        <f t="shared" si="21"/>
        <v>3.91</v>
      </c>
      <c r="J33">
        <f t="shared" si="21"/>
        <v>4.1499999999999995</v>
      </c>
      <c r="K33">
        <f t="shared" si="21"/>
        <v>3.99</v>
      </c>
      <c r="L33">
        <f t="shared" si="21"/>
        <v>4.1300000000000008</v>
      </c>
      <c r="M33">
        <f t="shared" si="21"/>
        <v>3.91</v>
      </c>
      <c r="N33">
        <f t="shared" si="21"/>
        <v>4.07</v>
      </c>
      <c r="O33">
        <f t="shared" si="21"/>
        <v>3.7800000000000002</v>
      </c>
      <c r="P33">
        <f t="shared" si="21"/>
        <v>3.8000000000000007</v>
      </c>
      <c r="Q33">
        <f t="shared" si="21"/>
        <v>4.08</v>
      </c>
      <c r="R33">
        <f t="shared" si="21"/>
        <v>4.0599999999999996</v>
      </c>
      <c r="S33">
        <f t="shared" si="21"/>
        <v>4.1300000000000008</v>
      </c>
      <c r="T33">
        <f t="shared" si="21"/>
        <v>4.1300000000000008</v>
      </c>
      <c r="U33">
        <f t="shared" si="21"/>
        <v>4.3099999999999996</v>
      </c>
      <c r="V33">
        <f t="shared" si="21"/>
        <v>4.1900000000000004</v>
      </c>
      <c r="W33">
        <f t="shared" si="21"/>
        <v>4.4399999999999995</v>
      </c>
      <c r="X33">
        <f t="shared" si="21"/>
        <v>3.87</v>
      </c>
      <c r="Y33">
        <f t="shared" si="21"/>
        <v>4.1099999999999994</v>
      </c>
      <c r="Z33">
        <f t="shared" si="21"/>
        <v>0</v>
      </c>
      <c r="AA33">
        <f t="shared" si="21"/>
        <v>0</v>
      </c>
      <c r="AB33">
        <f t="shared" si="21"/>
        <v>0</v>
      </c>
      <c r="AC33">
        <f t="shared" si="21"/>
        <v>0</v>
      </c>
      <c r="AD33">
        <f t="shared" si="21"/>
        <v>0</v>
      </c>
      <c r="AE33">
        <f t="shared" si="21"/>
        <v>0</v>
      </c>
      <c r="AF33">
        <f t="shared" si="21"/>
        <v>0</v>
      </c>
      <c r="AG33">
        <f t="shared" si="21"/>
        <v>0</v>
      </c>
      <c r="AH33">
        <f t="shared" si="21"/>
        <v>0</v>
      </c>
      <c r="AI33">
        <f t="shared" si="21"/>
        <v>0</v>
      </c>
      <c r="AJ33">
        <f t="shared" si="21"/>
        <v>0</v>
      </c>
      <c r="AK33">
        <f t="shared" si="21"/>
        <v>0</v>
      </c>
      <c r="AL33">
        <f t="shared" si="21"/>
        <v>0</v>
      </c>
      <c r="AM33">
        <f t="shared" si="21"/>
        <v>0</v>
      </c>
      <c r="AN33">
        <f t="shared" si="21"/>
        <v>0</v>
      </c>
      <c r="AO33">
        <f t="shared" si="21"/>
        <v>0</v>
      </c>
      <c r="AP33">
        <f t="shared" si="21"/>
        <v>0</v>
      </c>
      <c r="AQ33">
        <f t="shared" si="21"/>
        <v>0</v>
      </c>
      <c r="AR33">
        <f t="shared" si="21"/>
        <v>0</v>
      </c>
      <c r="AS33">
        <f t="shared" si="21"/>
        <v>0</v>
      </c>
      <c r="AT33">
        <f t="shared" si="21"/>
        <v>0</v>
      </c>
      <c r="AU33">
        <f t="shared" si="21"/>
        <v>0</v>
      </c>
      <c r="AV33">
        <f t="shared" si="21"/>
        <v>0</v>
      </c>
      <c r="AW33">
        <f t="shared" si="21"/>
        <v>0</v>
      </c>
      <c r="AX33">
        <f t="shared" si="21"/>
        <v>0</v>
      </c>
      <c r="AY33">
        <f t="shared" si="21"/>
        <v>0</v>
      </c>
      <c r="AZ33">
        <f t="shared" si="21"/>
        <v>0</v>
      </c>
      <c r="BA33">
        <f t="shared" si="21"/>
        <v>0</v>
      </c>
      <c r="BB33">
        <f t="shared" si="21"/>
        <v>0</v>
      </c>
      <c r="BC33">
        <f t="shared" si="21"/>
        <v>0</v>
      </c>
      <c r="BD33">
        <f t="shared" si="21"/>
        <v>0</v>
      </c>
      <c r="BE33">
        <f t="shared" si="21"/>
        <v>0</v>
      </c>
      <c r="BF33">
        <f t="shared" si="21"/>
        <v>0</v>
      </c>
      <c r="BG33">
        <f t="shared" si="21"/>
        <v>0</v>
      </c>
      <c r="BH33">
        <f t="shared" si="21"/>
        <v>0</v>
      </c>
      <c r="BI33">
        <f t="shared" si="21"/>
        <v>0</v>
      </c>
      <c r="BJ33">
        <f t="shared" si="21"/>
        <v>0</v>
      </c>
      <c r="BK33">
        <f t="shared" si="21"/>
        <v>0</v>
      </c>
      <c r="BL33">
        <f t="shared" si="21"/>
        <v>0</v>
      </c>
      <c r="BM33">
        <f t="shared" si="21"/>
        <v>0</v>
      </c>
      <c r="BN33">
        <f t="shared" si="21"/>
        <v>0</v>
      </c>
      <c r="BO33">
        <f t="shared" si="21"/>
        <v>0</v>
      </c>
      <c r="BP33">
        <f t="shared" si="21"/>
        <v>0</v>
      </c>
      <c r="BQ33">
        <f t="shared" ref="BQ33:EB34" si="26">BQ13-ROUNDUP(BQ13*0.3,2)</f>
        <v>0</v>
      </c>
      <c r="BR33">
        <f t="shared" si="26"/>
        <v>0</v>
      </c>
      <c r="BS33">
        <f t="shared" si="26"/>
        <v>0</v>
      </c>
      <c r="BT33">
        <f t="shared" si="26"/>
        <v>0</v>
      </c>
      <c r="BU33">
        <f t="shared" si="26"/>
        <v>0</v>
      </c>
      <c r="BV33">
        <f t="shared" si="26"/>
        <v>0</v>
      </c>
      <c r="BW33">
        <f t="shared" si="26"/>
        <v>0</v>
      </c>
      <c r="BX33">
        <f t="shared" si="26"/>
        <v>0</v>
      </c>
      <c r="BY33">
        <f t="shared" si="26"/>
        <v>0</v>
      </c>
      <c r="BZ33">
        <f t="shared" si="26"/>
        <v>0</v>
      </c>
      <c r="CA33">
        <f t="shared" si="26"/>
        <v>0</v>
      </c>
      <c r="CB33">
        <f t="shared" si="26"/>
        <v>0</v>
      </c>
      <c r="CC33">
        <f t="shared" si="26"/>
        <v>0</v>
      </c>
      <c r="CD33">
        <f t="shared" si="26"/>
        <v>0</v>
      </c>
      <c r="CE33">
        <f t="shared" si="26"/>
        <v>0</v>
      </c>
      <c r="CF33">
        <f t="shared" si="26"/>
        <v>0</v>
      </c>
      <c r="CG33">
        <f t="shared" si="26"/>
        <v>0</v>
      </c>
      <c r="CH33">
        <f t="shared" si="26"/>
        <v>0</v>
      </c>
      <c r="CI33">
        <f t="shared" si="26"/>
        <v>0</v>
      </c>
      <c r="CJ33">
        <f t="shared" si="26"/>
        <v>0</v>
      </c>
      <c r="CK33">
        <f t="shared" si="26"/>
        <v>0</v>
      </c>
      <c r="CL33">
        <f t="shared" si="26"/>
        <v>0</v>
      </c>
      <c r="CM33">
        <f t="shared" si="26"/>
        <v>0</v>
      </c>
      <c r="CN33">
        <f t="shared" si="26"/>
        <v>0</v>
      </c>
      <c r="CO33">
        <f t="shared" si="26"/>
        <v>0</v>
      </c>
      <c r="CP33">
        <f t="shared" si="26"/>
        <v>0</v>
      </c>
      <c r="CQ33">
        <f t="shared" si="26"/>
        <v>0</v>
      </c>
      <c r="CR33">
        <f t="shared" si="26"/>
        <v>0</v>
      </c>
      <c r="CS33">
        <f t="shared" si="26"/>
        <v>0</v>
      </c>
      <c r="CT33">
        <f t="shared" si="26"/>
        <v>0</v>
      </c>
      <c r="CU33">
        <f t="shared" si="26"/>
        <v>0</v>
      </c>
      <c r="CV33">
        <f t="shared" si="26"/>
        <v>0</v>
      </c>
      <c r="CW33">
        <f t="shared" si="26"/>
        <v>0</v>
      </c>
      <c r="CX33">
        <f t="shared" si="26"/>
        <v>0</v>
      </c>
      <c r="CY33">
        <f t="shared" si="26"/>
        <v>0</v>
      </c>
      <c r="CZ33">
        <f t="shared" si="26"/>
        <v>0</v>
      </c>
      <c r="DA33">
        <f t="shared" si="26"/>
        <v>0</v>
      </c>
      <c r="DB33">
        <f t="shared" si="26"/>
        <v>0</v>
      </c>
      <c r="DC33">
        <f t="shared" si="26"/>
        <v>0</v>
      </c>
      <c r="DD33">
        <f t="shared" si="26"/>
        <v>0</v>
      </c>
      <c r="DE33">
        <f t="shared" si="26"/>
        <v>0</v>
      </c>
      <c r="DF33">
        <f t="shared" si="26"/>
        <v>0</v>
      </c>
      <c r="DG33">
        <f t="shared" si="26"/>
        <v>0</v>
      </c>
      <c r="DH33">
        <f t="shared" si="26"/>
        <v>0</v>
      </c>
      <c r="DI33">
        <f t="shared" si="26"/>
        <v>0</v>
      </c>
      <c r="DJ33">
        <f t="shared" si="26"/>
        <v>0</v>
      </c>
      <c r="DK33">
        <f t="shared" si="26"/>
        <v>0</v>
      </c>
      <c r="DL33">
        <f t="shared" si="26"/>
        <v>0</v>
      </c>
      <c r="DM33">
        <f t="shared" si="26"/>
        <v>0</v>
      </c>
      <c r="DN33">
        <f t="shared" si="26"/>
        <v>0</v>
      </c>
      <c r="DO33">
        <f t="shared" si="26"/>
        <v>0</v>
      </c>
      <c r="DP33">
        <f t="shared" si="26"/>
        <v>0</v>
      </c>
      <c r="DQ33">
        <f t="shared" si="26"/>
        <v>0</v>
      </c>
      <c r="DR33">
        <f t="shared" si="26"/>
        <v>0</v>
      </c>
      <c r="DS33">
        <f t="shared" si="26"/>
        <v>0</v>
      </c>
      <c r="DT33">
        <f t="shared" si="26"/>
        <v>0</v>
      </c>
      <c r="DU33">
        <f t="shared" si="26"/>
        <v>0</v>
      </c>
      <c r="DV33">
        <f t="shared" si="26"/>
        <v>0</v>
      </c>
      <c r="DW33">
        <f t="shared" si="26"/>
        <v>0</v>
      </c>
      <c r="DX33">
        <f t="shared" si="26"/>
        <v>0</v>
      </c>
      <c r="DY33">
        <f t="shared" si="26"/>
        <v>0</v>
      </c>
      <c r="DZ33">
        <f t="shared" si="26"/>
        <v>0</v>
      </c>
      <c r="EA33">
        <f t="shared" si="26"/>
        <v>0</v>
      </c>
      <c r="EB33">
        <f t="shared" si="26"/>
        <v>0</v>
      </c>
      <c r="EC33">
        <f t="shared" si="17"/>
        <v>0</v>
      </c>
      <c r="ED33">
        <f t="shared" ref="ED33:FU34" si="27">ED13-ROUNDUP(ED13*0.3,2)</f>
        <v>0</v>
      </c>
      <c r="EE33">
        <f t="shared" si="27"/>
        <v>0</v>
      </c>
      <c r="EF33">
        <f t="shared" si="27"/>
        <v>0</v>
      </c>
      <c r="EG33">
        <f t="shared" si="27"/>
        <v>0</v>
      </c>
      <c r="EH33">
        <f t="shared" si="27"/>
        <v>0</v>
      </c>
      <c r="EI33">
        <f t="shared" si="27"/>
        <v>0</v>
      </c>
      <c r="EJ33">
        <f t="shared" si="27"/>
        <v>0</v>
      </c>
      <c r="EK33">
        <f t="shared" si="27"/>
        <v>0</v>
      </c>
      <c r="EL33">
        <f t="shared" si="27"/>
        <v>0</v>
      </c>
      <c r="EM33">
        <f t="shared" si="27"/>
        <v>0</v>
      </c>
      <c r="EN33">
        <f t="shared" si="27"/>
        <v>0</v>
      </c>
      <c r="EO33">
        <f t="shared" si="27"/>
        <v>0</v>
      </c>
      <c r="EP33">
        <f t="shared" si="27"/>
        <v>0</v>
      </c>
      <c r="EQ33">
        <f t="shared" si="27"/>
        <v>0</v>
      </c>
      <c r="ER33">
        <f t="shared" si="27"/>
        <v>0</v>
      </c>
      <c r="ES33">
        <f t="shared" si="27"/>
        <v>0</v>
      </c>
      <c r="ET33">
        <f t="shared" si="27"/>
        <v>0</v>
      </c>
      <c r="EU33">
        <f t="shared" si="27"/>
        <v>0</v>
      </c>
      <c r="EV33">
        <f t="shared" si="27"/>
        <v>0</v>
      </c>
      <c r="EW33">
        <f t="shared" si="27"/>
        <v>0</v>
      </c>
      <c r="EX33">
        <f t="shared" si="27"/>
        <v>0</v>
      </c>
      <c r="EY33">
        <f t="shared" si="27"/>
        <v>0</v>
      </c>
      <c r="EZ33">
        <f t="shared" si="27"/>
        <v>0</v>
      </c>
      <c r="FA33">
        <f t="shared" si="27"/>
        <v>0</v>
      </c>
      <c r="FB33">
        <f t="shared" si="27"/>
        <v>0</v>
      </c>
      <c r="FC33">
        <f t="shared" si="27"/>
        <v>0</v>
      </c>
      <c r="FD33">
        <f t="shared" si="27"/>
        <v>0</v>
      </c>
      <c r="FE33">
        <f t="shared" si="27"/>
        <v>0</v>
      </c>
      <c r="FF33">
        <f t="shared" si="27"/>
        <v>0</v>
      </c>
      <c r="FG33">
        <f t="shared" si="27"/>
        <v>0</v>
      </c>
      <c r="FH33">
        <f t="shared" si="27"/>
        <v>0</v>
      </c>
      <c r="FI33">
        <f t="shared" si="27"/>
        <v>0</v>
      </c>
      <c r="FJ33">
        <f t="shared" si="27"/>
        <v>0</v>
      </c>
      <c r="FK33">
        <f t="shared" si="27"/>
        <v>0</v>
      </c>
      <c r="FL33">
        <f t="shared" si="27"/>
        <v>0</v>
      </c>
      <c r="FM33">
        <f t="shared" si="27"/>
        <v>0</v>
      </c>
      <c r="FN33">
        <f t="shared" si="27"/>
        <v>0</v>
      </c>
      <c r="FO33">
        <f t="shared" si="27"/>
        <v>0</v>
      </c>
      <c r="FP33">
        <f t="shared" si="27"/>
        <v>0</v>
      </c>
      <c r="FQ33">
        <f t="shared" si="27"/>
        <v>0</v>
      </c>
      <c r="FR33">
        <f t="shared" si="27"/>
        <v>0</v>
      </c>
      <c r="FS33">
        <f t="shared" si="27"/>
        <v>0</v>
      </c>
      <c r="FT33">
        <f t="shared" si="27"/>
        <v>0</v>
      </c>
      <c r="FU33">
        <f t="shared" si="27"/>
        <v>0</v>
      </c>
    </row>
    <row r="34" spans="1:177" x14ac:dyDescent="0.25">
      <c r="A34" t="str">
        <f t="shared" ref="A34:D34" si="28">A14</f>
        <v>MAG-7</v>
      </c>
      <c r="B34" t="str">
        <f t="shared" si="28"/>
        <v>StatTrak Heat FT</v>
      </c>
      <c r="C34" t="str">
        <f t="shared" si="28"/>
        <v>Heavy</v>
      </c>
      <c r="D34" t="str">
        <f t="shared" si="28"/>
        <v>Chroma 2</v>
      </c>
      <c r="E34">
        <f t="shared" si="11"/>
        <v>0.61</v>
      </c>
      <c r="F34">
        <f t="shared" ref="F34:BQ34" si="29">F14-ROUNDUP(F14*0.3,2)</f>
        <v>0.65</v>
      </c>
      <c r="G34">
        <f t="shared" si="29"/>
        <v>0.64999999999999991</v>
      </c>
      <c r="H34">
        <f t="shared" si="29"/>
        <v>0.62</v>
      </c>
      <c r="I34">
        <f t="shared" si="29"/>
        <v>0.64</v>
      </c>
      <c r="J34">
        <f t="shared" si="29"/>
        <v>0.65</v>
      </c>
      <c r="K34">
        <f t="shared" si="29"/>
        <v>0.65</v>
      </c>
      <c r="L34">
        <f t="shared" si="29"/>
        <v>0.66999999999999993</v>
      </c>
      <c r="M34">
        <f t="shared" si="29"/>
        <v>0.66999999999999993</v>
      </c>
      <c r="N34">
        <f t="shared" si="29"/>
        <v>0.66999999999999993</v>
      </c>
      <c r="O34">
        <f t="shared" si="29"/>
        <v>0.72</v>
      </c>
      <c r="P34">
        <f t="shared" si="29"/>
        <v>0.72</v>
      </c>
      <c r="Q34">
        <f t="shared" si="29"/>
        <v>0.66999999999999993</v>
      </c>
      <c r="R34">
        <f t="shared" si="29"/>
        <v>0.65</v>
      </c>
      <c r="S34">
        <f t="shared" si="29"/>
        <v>0.65999999999999992</v>
      </c>
      <c r="T34">
        <f t="shared" si="29"/>
        <v>0.57999999999999996</v>
      </c>
      <c r="U34">
        <f t="shared" si="29"/>
        <v>0.6</v>
      </c>
      <c r="V34">
        <f t="shared" si="29"/>
        <v>0.65999999999999992</v>
      </c>
      <c r="W34">
        <f t="shared" si="29"/>
        <v>0.65</v>
      </c>
      <c r="X34">
        <f t="shared" si="29"/>
        <v>0.65</v>
      </c>
      <c r="Y34">
        <f t="shared" si="29"/>
        <v>0.65</v>
      </c>
      <c r="Z34">
        <f t="shared" si="29"/>
        <v>0</v>
      </c>
      <c r="AA34">
        <f t="shared" si="29"/>
        <v>0</v>
      </c>
      <c r="AB34">
        <f t="shared" si="29"/>
        <v>0</v>
      </c>
      <c r="AC34">
        <f t="shared" si="29"/>
        <v>0</v>
      </c>
      <c r="AD34">
        <f t="shared" si="29"/>
        <v>0</v>
      </c>
      <c r="AE34">
        <f t="shared" si="29"/>
        <v>0</v>
      </c>
      <c r="AF34">
        <f t="shared" si="29"/>
        <v>0</v>
      </c>
      <c r="AG34">
        <f t="shared" si="29"/>
        <v>0</v>
      </c>
      <c r="AH34">
        <f t="shared" si="29"/>
        <v>0</v>
      </c>
      <c r="AI34">
        <f t="shared" si="29"/>
        <v>0</v>
      </c>
      <c r="AJ34">
        <f t="shared" si="29"/>
        <v>0</v>
      </c>
      <c r="AK34">
        <f t="shared" si="29"/>
        <v>0</v>
      </c>
      <c r="AL34">
        <f t="shared" si="29"/>
        <v>0</v>
      </c>
      <c r="AM34">
        <f t="shared" si="29"/>
        <v>0</v>
      </c>
      <c r="AN34">
        <f t="shared" si="29"/>
        <v>0</v>
      </c>
      <c r="AO34">
        <f t="shared" si="29"/>
        <v>0</v>
      </c>
      <c r="AP34">
        <f t="shared" si="29"/>
        <v>0</v>
      </c>
      <c r="AQ34">
        <f t="shared" si="29"/>
        <v>0</v>
      </c>
      <c r="AR34">
        <f t="shared" si="29"/>
        <v>0</v>
      </c>
      <c r="AS34">
        <f t="shared" si="29"/>
        <v>0</v>
      </c>
      <c r="AT34">
        <f t="shared" si="29"/>
        <v>0</v>
      </c>
      <c r="AU34">
        <f t="shared" si="29"/>
        <v>0</v>
      </c>
      <c r="AV34">
        <f t="shared" si="29"/>
        <v>0</v>
      </c>
      <c r="AW34">
        <f t="shared" si="29"/>
        <v>0</v>
      </c>
      <c r="AX34">
        <f t="shared" si="29"/>
        <v>0</v>
      </c>
      <c r="AY34">
        <f t="shared" si="29"/>
        <v>0</v>
      </c>
      <c r="AZ34">
        <f t="shared" si="29"/>
        <v>0</v>
      </c>
      <c r="BA34">
        <f t="shared" si="29"/>
        <v>0</v>
      </c>
      <c r="BB34">
        <f t="shared" si="29"/>
        <v>0</v>
      </c>
      <c r="BC34">
        <f t="shared" si="29"/>
        <v>0</v>
      </c>
      <c r="BD34">
        <f t="shared" si="29"/>
        <v>0</v>
      </c>
      <c r="BE34">
        <f t="shared" si="29"/>
        <v>0</v>
      </c>
      <c r="BF34">
        <f t="shared" si="29"/>
        <v>0</v>
      </c>
      <c r="BG34">
        <f t="shared" si="29"/>
        <v>0</v>
      </c>
      <c r="BH34">
        <f t="shared" si="29"/>
        <v>0</v>
      </c>
      <c r="BI34">
        <f t="shared" si="29"/>
        <v>0</v>
      </c>
      <c r="BJ34">
        <f t="shared" si="29"/>
        <v>0</v>
      </c>
      <c r="BK34">
        <f t="shared" si="29"/>
        <v>0</v>
      </c>
      <c r="BL34">
        <f t="shared" si="29"/>
        <v>0</v>
      </c>
      <c r="BM34">
        <f t="shared" si="29"/>
        <v>0</v>
      </c>
      <c r="BN34">
        <f t="shared" si="29"/>
        <v>0</v>
      </c>
      <c r="BO34">
        <f t="shared" si="29"/>
        <v>0</v>
      </c>
      <c r="BP34">
        <f t="shared" si="29"/>
        <v>0</v>
      </c>
      <c r="BQ34">
        <f t="shared" si="29"/>
        <v>0</v>
      </c>
      <c r="BR34">
        <f t="shared" si="26"/>
        <v>0</v>
      </c>
      <c r="BS34">
        <f t="shared" si="26"/>
        <v>0</v>
      </c>
      <c r="BT34">
        <f t="shared" si="26"/>
        <v>0</v>
      </c>
      <c r="BU34">
        <f t="shared" si="26"/>
        <v>0</v>
      </c>
      <c r="BV34">
        <f t="shared" si="26"/>
        <v>0</v>
      </c>
      <c r="BW34">
        <f t="shared" si="26"/>
        <v>0</v>
      </c>
      <c r="BX34">
        <f t="shared" si="26"/>
        <v>0</v>
      </c>
      <c r="BY34">
        <f t="shared" si="26"/>
        <v>0</v>
      </c>
      <c r="BZ34">
        <f t="shared" si="26"/>
        <v>0</v>
      </c>
      <c r="CA34">
        <f t="shared" si="26"/>
        <v>0</v>
      </c>
      <c r="CB34">
        <f t="shared" si="26"/>
        <v>0</v>
      </c>
      <c r="CC34">
        <f t="shared" si="26"/>
        <v>0</v>
      </c>
      <c r="CD34">
        <f t="shared" si="26"/>
        <v>0</v>
      </c>
      <c r="CE34">
        <f t="shared" si="26"/>
        <v>0</v>
      </c>
      <c r="CF34">
        <f t="shared" si="26"/>
        <v>0</v>
      </c>
      <c r="CG34">
        <f t="shared" si="26"/>
        <v>0</v>
      </c>
      <c r="CH34">
        <f t="shared" si="26"/>
        <v>0</v>
      </c>
      <c r="CI34">
        <f t="shared" si="26"/>
        <v>0</v>
      </c>
      <c r="CJ34">
        <f t="shared" si="26"/>
        <v>0</v>
      </c>
      <c r="CK34">
        <f t="shared" si="26"/>
        <v>0</v>
      </c>
      <c r="CL34">
        <f t="shared" si="26"/>
        <v>0</v>
      </c>
      <c r="CM34">
        <f t="shared" si="26"/>
        <v>0</v>
      </c>
      <c r="CN34">
        <f t="shared" si="26"/>
        <v>0</v>
      </c>
      <c r="CO34">
        <f t="shared" si="26"/>
        <v>0</v>
      </c>
      <c r="CP34">
        <f t="shared" si="26"/>
        <v>0</v>
      </c>
      <c r="CQ34">
        <f t="shared" si="26"/>
        <v>0</v>
      </c>
      <c r="CR34">
        <f t="shared" si="26"/>
        <v>0</v>
      </c>
      <c r="CS34">
        <f t="shared" si="26"/>
        <v>0</v>
      </c>
      <c r="CT34">
        <f t="shared" si="26"/>
        <v>0</v>
      </c>
      <c r="CU34">
        <f t="shared" si="26"/>
        <v>0</v>
      </c>
      <c r="CV34">
        <f t="shared" si="26"/>
        <v>0</v>
      </c>
      <c r="CW34">
        <f t="shared" si="26"/>
        <v>0</v>
      </c>
      <c r="CX34">
        <f t="shared" si="26"/>
        <v>0</v>
      </c>
      <c r="CY34">
        <f t="shared" si="26"/>
        <v>0</v>
      </c>
      <c r="CZ34">
        <f t="shared" si="26"/>
        <v>0</v>
      </c>
      <c r="DA34">
        <f t="shared" si="26"/>
        <v>0</v>
      </c>
      <c r="DB34">
        <f t="shared" si="26"/>
        <v>0</v>
      </c>
      <c r="DC34">
        <f t="shared" si="26"/>
        <v>0</v>
      </c>
      <c r="DD34">
        <f t="shared" si="26"/>
        <v>0</v>
      </c>
      <c r="DE34">
        <f t="shared" si="26"/>
        <v>0</v>
      </c>
      <c r="DF34">
        <f t="shared" si="26"/>
        <v>0</v>
      </c>
      <c r="DG34">
        <f t="shared" si="26"/>
        <v>0</v>
      </c>
      <c r="DH34">
        <f t="shared" si="26"/>
        <v>0</v>
      </c>
      <c r="DI34">
        <f t="shared" si="26"/>
        <v>0</v>
      </c>
      <c r="DJ34">
        <f t="shared" si="26"/>
        <v>0</v>
      </c>
      <c r="DK34">
        <f t="shared" si="26"/>
        <v>0</v>
      </c>
      <c r="DL34">
        <f t="shared" si="26"/>
        <v>0</v>
      </c>
      <c r="DM34">
        <f t="shared" si="26"/>
        <v>0</v>
      </c>
      <c r="DN34">
        <f t="shared" si="26"/>
        <v>0</v>
      </c>
      <c r="DO34">
        <f t="shared" si="26"/>
        <v>0</v>
      </c>
      <c r="DP34">
        <f t="shared" si="26"/>
        <v>0</v>
      </c>
      <c r="DQ34">
        <f t="shared" si="26"/>
        <v>0</v>
      </c>
      <c r="DR34">
        <f t="shared" si="26"/>
        <v>0</v>
      </c>
      <c r="DS34">
        <f t="shared" si="26"/>
        <v>0</v>
      </c>
      <c r="DT34">
        <f t="shared" si="26"/>
        <v>0</v>
      </c>
      <c r="DU34">
        <f t="shared" si="26"/>
        <v>0</v>
      </c>
      <c r="DV34">
        <f t="shared" si="26"/>
        <v>0</v>
      </c>
      <c r="DW34">
        <f t="shared" si="26"/>
        <v>0</v>
      </c>
      <c r="DX34">
        <f t="shared" si="26"/>
        <v>0</v>
      </c>
      <c r="DY34">
        <f t="shared" si="26"/>
        <v>0</v>
      </c>
      <c r="DZ34">
        <f t="shared" si="26"/>
        <v>0</v>
      </c>
      <c r="EA34">
        <f t="shared" si="26"/>
        <v>0</v>
      </c>
      <c r="EB34">
        <f t="shared" si="26"/>
        <v>0</v>
      </c>
      <c r="EC34">
        <f t="shared" si="17"/>
        <v>0</v>
      </c>
      <c r="ED34">
        <f t="shared" si="27"/>
        <v>0</v>
      </c>
      <c r="EE34">
        <f t="shared" si="27"/>
        <v>0</v>
      </c>
      <c r="EF34">
        <f t="shared" si="27"/>
        <v>0</v>
      </c>
      <c r="EG34">
        <f t="shared" si="27"/>
        <v>0</v>
      </c>
      <c r="EH34">
        <f t="shared" si="27"/>
        <v>0</v>
      </c>
      <c r="EI34">
        <f t="shared" si="27"/>
        <v>0</v>
      </c>
      <c r="EJ34">
        <f t="shared" si="27"/>
        <v>0</v>
      </c>
      <c r="EK34">
        <f t="shared" si="27"/>
        <v>0</v>
      </c>
      <c r="EL34">
        <f t="shared" si="27"/>
        <v>0</v>
      </c>
      <c r="EM34">
        <f t="shared" si="27"/>
        <v>0</v>
      </c>
      <c r="EN34">
        <f t="shared" si="27"/>
        <v>0</v>
      </c>
      <c r="EO34">
        <f t="shared" si="27"/>
        <v>0</v>
      </c>
      <c r="EP34">
        <f t="shared" si="27"/>
        <v>0</v>
      </c>
      <c r="EQ34">
        <f t="shared" si="27"/>
        <v>0</v>
      </c>
      <c r="ER34">
        <f t="shared" si="27"/>
        <v>0</v>
      </c>
      <c r="ES34">
        <f t="shared" si="27"/>
        <v>0</v>
      </c>
      <c r="ET34">
        <f t="shared" si="27"/>
        <v>0</v>
      </c>
      <c r="EU34">
        <f t="shared" si="27"/>
        <v>0</v>
      </c>
      <c r="EV34">
        <f t="shared" si="27"/>
        <v>0</v>
      </c>
      <c r="EW34">
        <f t="shared" si="27"/>
        <v>0</v>
      </c>
      <c r="EX34">
        <f t="shared" si="27"/>
        <v>0</v>
      </c>
      <c r="EY34">
        <f t="shared" si="27"/>
        <v>0</v>
      </c>
      <c r="EZ34">
        <f t="shared" si="27"/>
        <v>0</v>
      </c>
      <c r="FA34">
        <f t="shared" si="27"/>
        <v>0</v>
      </c>
      <c r="FB34">
        <f t="shared" si="27"/>
        <v>0</v>
      </c>
      <c r="FC34">
        <f t="shared" si="27"/>
        <v>0</v>
      </c>
      <c r="FD34">
        <f t="shared" si="27"/>
        <v>0</v>
      </c>
      <c r="FE34">
        <f t="shared" si="27"/>
        <v>0</v>
      </c>
      <c r="FF34">
        <f t="shared" si="27"/>
        <v>0</v>
      </c>
      <c r="FG34">
        <f t="shared" si="27"/>
        <v>0</v>
      </c>
      <c r="FH34">
        <f t="shared" si="27"/>
        <v>0</v>
      </c>
      <c r="FI34">
        <f t="shared" si="27"/>
        <v>0</v>
      </c>
      <c r="FJ34">
        <f t="shared" si="27"/>
        <v>0</v>
      </c>
      <c r="FK34">
        <f t="shared" si="27"/>
        <v>0</v>
      </c>
      <c r="FL34">
        <f t="shared" si="27"/>
        <v>0</v>
      </c>
      <c r="FM34">
        <f t="shared" si="27"/>
        <v>0</v>
      </c>
      <c r="FN34">
        <f t="shared" si="27"/>
        <v>0</v>
      </c>
      <c r="FO34">
        <f t="shared" si="27"/>
        <v>0</v>
      </c>
      <c r="FP34">
        <f t="shared" si="27"/>
        <v>0</v>
      </c>
      <c r="FQ34">
        <f t="shared" si="27"/>
        <v>0</v>
      </c>
      <c r="FR34">
        <f t="shared" si="27"/>
        <v>0</v>
      </c>
      <c r="FS34">
        <f t="shared" si="27"/>
        <v>0</v>
      </c>
      <c r="FT34">
        <f t="shared" si="27"/>
        <v>0</v>
      </c>
      <c r="FU34">
        <f t="shared" si="27"/>
        <v>0</v>
      </c>
    </row>
    <row r="37" spans="1:177" x14ac:dyDescent="0.25">
      <c r="D37" t="s">
        <v>186</v>
      </c>
      <c r="E37">
        <f>SUM(E24:E34)</f>
        <v>16.39</v>
      </c>
      <c r="F37">
        <f t="shared" ref="F37:BQ37" si="30">SUM(F24:F34)</f>
        <v>16.169999999999998</v>
      </c>
      <c r="G37">
        <f t="shared" si="30"/>
        <v>15.35</v>
      </c>
      <c r="H37">
        <f t="shared" si="30"/>
        <v>15.770000000000001</v>
      </c>
      <c r="I37">
        <f t="shared" si="30"/>
        <v>15.510000000000002</v>
      </c>
      <c r="J37">
        <f t="shared" si="30"/>
        <v>15.999999999999998</v>
      </c>
      <c r="K37">
        <f t="shared" si="30"/>
        <v>15.21</v>
      </c>
      <c r="L37">
        <f t="shared" si="30"/>
        <v>15.870000000000001</v>
      </c>
      <c r="M37">
        <f t="shared" si="30"/>
        <v>15.53</v>
      </c>
      <c r="N37">
        <f t="shared" si="30"/>
        <v>15.9</v>
      </c>
      <c r="O37">
        <f t="shared" si="30"/>
        <v>15.83</v>
      </c>
      <c r="P37">
        <f t="shared" si="30"/>
        <v>16.330000000000002</v>
      </c>
      <c r="Q37">
        <f t="shared" si="30"/>
        <v>16.22</v>
      </c>
      <c r="R37">
        <f t="shared" si="30"/>
        <v>15.72</v>
      </c>
      <c r="S37">
        <f t="shared" si="30"/>
        <v>15.97</v>
      </c>
      <c r="T37">
        <f t="shared" si="30"/>
        <v>16.470000000000002</v>
      </c>
      <c r="U37">
        <f t="shared" si="30"/>
        <v>16.810000000000002</v>
      </c>
      <c r="V37">
        <f t="shared" si="30"/>
        <v>16.48</v>
      </c>
      <c r="W37">
        <f t="shared" si="30"/>
        <v>16.309999999999999</v>
      </c>
      <c r="X37">
        <f t="shared" si="30"/>
        <v>16.46</v>
      </c>
      <c r="Y37">
        <f t="shared" si="30"/>
        <v>16.649999999999999</v>
      </c>
      <c r="Z37">
        <f t="shared" si="30"/>
        <v>0</v>
      </c>
      <c r="AA37">
        <f t="shared" si="30"/>
        <v>0</v>
      </c>
      <c r="AB37">
        <f t="shared" si="30"/>
        <v>0</v>
      </c>
      <c r="AC37">
        <f t="shared" si="30"/>
        <v>0</v>
      </c>
      <c r="AD37">
        <f t="shared" si="30"/>
        <v>0</v>
      </c>
      <c r="AE37">
        <f t="shared" si="30"/>
        <v>0</v>
      </c>
      <c r="AF37">
        <f t="shared" si="30"/>
        <v>0</v>
      </c>
      <c r="AG37">
        <f t="shared" si="30"/>
        <v>0</v>
      </c>
      <c r="AH37">
        <f t="shared" si="30"/>
        <v>0</v>
      </c>
      <c r="AI37">
        <f t="shared" si="30"/>
        <v>0</v>
      </c>
      <c r="AJ37">
        <f t="shared" si="30"/>
        <v>0</v>
      </c>
      <c r="AK37">
        <f t="shared" si="30"/>
        <v>0</v>
      </c>
      <c r="AL37">
        <f t="shared" si="30"/>
        <v>0</v>
      </c>
      <c r="AM37">
        <f t="shared" si="30"/>
        <v>0</v>
      </c>
      <c r="AN37">
        <f t="shared" si="30"/>
        <v>0</v>
      </c>
      <c r="AO37">
        <f t="shared" si="30"/>
        <v>0</v>
      </c>
      <c r="AP37">
        <f t="shared" si="30"/>
        <v>0</v>
      </c>
      <c r="AQ37">
        <f t="shared" si="30"/>
        <v>0</v>
      </c>
      <c r="AR37">
        <f t="shared" si="30"/>
        <v>0</v>
      </c>
      <c r="AS37">
        <f t="shared" si="30"/>
        <v>0</v>
      </c>
      <c r="AT37">
        <f t="shared" si="30"/>
        <v>0</v>
      </c>
      <c r="AU37">
        <f t="shared" si="30"/>
        <v>0</v>
      </c>
      <c r="AV37">
        <f t="shared" si="30"/>
        <v>0</v>
      </c>
      <c r="AW37">
        <f t="shared" si="30"/>
        <v>0</v>
      </c>
      <c r="AX37">
        <f t="shared" si="30"/>
        <v>0</v>
      </c>
      <c r="AY37">
        <f t="shared" si="30"/>
        <v>0</v>
      </c>
      <c r="AZ37">
        <f t="shared" si="30"/>
        <v>0</v>
      </c>
      <c r="BA37">
        <f t="shared" si="30"/>
        <v>0</v>
      </c>
      <c r="BB37">
        <f t="shared" si="30"/>
        <v>0</v>
      </c>
      <c r="BC37">
        <f t="shared" si="30"/>
        <v>0</v>
      </c>
      <c r="BD37">
        <f t="shared" si="30"/>
        <v>0</v>
      </c>
      <c r="BE37">
        <f t="shared" si="30"/>
        <v>0</v>
      </c>
      <c r="BF37">
        <f t="shared" si="30"/>
        <v>0</v>
      </c>
      <c r="BG37">
        <f t="shared" si="30"/>
        <v>0</v>
      </c>
      <c r="BH37">
        <f t="shared" si="30"/>
        <v>0</v>
      </c>
      <c r="BI37">
        <f t="shared" si="30"/>
        <v>0</v>
      </c>
      <c r="BJ37">
        <f t="shared" si="30"/>
        <v>0</v>
      </c>
      <c r="BK37">
        <f t="shared" si="30"/>
        <v>0</v>
      </c>
      <c r="BL37">
        <f t="shared" si="30"/>
        <v>0</v>
      </c>
      <c r="BM37">
        <f t="shared" si="30"/>
        <v>0</v>
      </c>
      <c r="BN37">
        <f t="shared" si="30"/>
        <v>0</v>
      </c>
      <c r="BO37">
        <f t="shared" si="30"/>
        <v>0</v>
      </c>
      <c r="BP37">
        <f t="shared" si="30"/>
        <v>0</v>
      </c>
      <c r="BQ37">
        <f t="shared" si="30"/>
        <v>0</v>
      </c>
      <c r="BR37">
        <f t="shared" ref="BR37:EC37" si="31">SUM(BR24:BR34)</f>
        <v>0</v>
      </c>
      <c r="BS37">
        <f t="shared" si="31"/>
        <v>0</v>
      </c>
      <c r="BT37">
        <f t="shared" si="31"/>
        <v>0</v>
      </c>
      <c r="BU37">
        <f t="shared" si="31"/>
        <v>0</v>
      </c>
      <c r="BV37">
        <f t="shared" si="31"/>
        <v>0</v>
      </c>
      <c r="BW37">
        <f t="shared" si="31"/>
        <v>0</v>
      </c>
      <c r="BX37">
        <f t="shared" si="31"/>
        <v>0</v>
      </c>
      <c r="BY37">
        <f t="shared" si="31"/>
        <v>0</v>
      </c>
      <c r="BZ37">
        <f t="shared" si="31"/>
        <v>0</v>
      </c>
      <c r="CA37">
        <f t="shared" si="31"/>
        <v>0</v>
      </c>
      <c r="CB37">
        <f t="shared" si="31"/>
        <v>0</v>
      </c>
      <c r="CC37">
        <f t="shared" si="31"/>
        <v>0</v>
      </c>
      <c r="CD37">
        <f t="shared" si="31"/>
        <v>0</v>
      </c>
      <c r="CE37">
        <f t="shared" si="31"/>
        <v>0</v>
      </c>
      <c r="CF37">
        <f t="shared" si="31"/>
        <v>0</v>
      </c>
      <c r="CG37">
        <f t="shared" si="31"/>
        <v>0</v>
      </c>
      <c r="CH37">
        <f t="shared" si="31"/>
        <v>0</v>
      </c>
      <c r="CI37">
        <f t="shared" si="31"/>
        <v>0</v>
      </c>
      <c r="CJ37">
        <f t="shared" si="31"/>
        <v>0</v>
      </c>
      <c r="CK37">
        <f t="shared" si="31"/>
        <v>0</v>
      </c>
      <c r="CL37">
        <f t="shared" si="31"/>
        <v>0</v>
      </c>
      <c r="CM37">
        <f t="shared" si="31"/>
        <v>0</v>
      </c>
      <c r="CN37">
        <f t="shared" si="31"/>
        <v>0</v>
      </c>
      <c r="CO37">
        <f t="shared" si="31"/>
        <v>0</v>
      </c>
      <c r="CP37">
        <f t="shared" si="31"/>
        <v>0</v>
      </c>
      <c r="CQ37">
        <f t="shared" si="31"/>
        <v>0</v>
      </c>
      <c r="CR37">
        <f t="shared" si="31"/>
        <v>0</v>
      </c>
      <c r="CS37">
        <f t="shared" si="31"/>
        <v>0</v>
      </c>
      <c r="CT37">
        <f t="shared" si="31"/>
        <v>0</v>
      </c>
      <c r="CU37">
        <f t="shared" si="31"/>
        <v>0</v>
      </c>
      <c r="CV37">
        <f t="shared" si="31"/>
        <v>0</v>
      </c>
      <c r="CW37">
        <f t="shared" si="31"/>
        <v>0</v>
      </c>
      <c r="CX37">
        <f t="shared" si="31"/>
        <v>0</v>
      </c>
      <c r="CY37">
        <f t="shared" si="31"/>
        <v>0</v>
      </c>
      <c r="CZ37">
        <f t="shared" si="31"/>
        <v>0</v>
      </c>
      <c r="DA37">
        <f t="shared" si="31"/>
        <v>0</v>
      </c>
      <c r="DB37">
        <f t="shared" si="31"/>
        <v>0</v>
      </c>
      <c r="DC37">
        <f t="shared" si="31"/>
        <v>0</v>
      </c>
      <c r="DD37">
        <f t="shared" si="31"/>
        <v>0</v>
      </c>
      <c r="DE37">
        <f t="shared" si="31"/>
        <v>0</v>
      </c>
      <c r="DF37">
        <f t="shared" si="31"/>
        <v>0</v>
      </c>
      <c r="DG37">
        <f t="shared" si="31"/>
        <v>0</v>
      </c>
      <c r="DH37">
        <f t="shared" si="31"/>
        <v>0</v>
      </c>
      <c r="DI37">
        <f t="shared" si="31"/>
        <v>0</v>
      </c>
      <c r="DJ37">
        <f t="shared" si="31"/>
        <v>0</v>
      </c>
      <c r="DK37">
        <f t="shared" si="31"/>
        <v>0</v>
      </c>
      <c r="DL37">
        <f t="shared" si="31"/>
        <v>0</v>
      </c>
      <c r="DM37">
        <f t="shared" si="31"/>
        <v>0</v>
      </c>
      <c r="DN37">
        <f t="shared" si="31"/>
        <v>0</v>
      </c>
      <c r="DO37">
        <f t="shared" si="31"/>
        <v>0</v>
      </c>
      <c r="DP37">
        <f t="shared" si="31"/>
        <v>0</v>
      </c>
      <c r="DQ37">
        <f t="shared" si="31"/>
        <v>0</v>
      </c>
      <c r="DR37">
        <f t="shared" si="31"/>
        <v>0</v>
      </c>
      <c r="DS37">
        <f t="shared" si="31"/>
        <v>0</v>
      </c>
      <c r="DT37">
        <f t="shared" si="31"/>
        <v>0</v>
      </c>
      <c r="DU37">
        <f t="shared" si="31"/>
        <v>0</v>
      </c>
      <c r="DV37">
        <f t="shared" si="31"/>
        <v>0</v>
      </c>
      <c r="DW37">
        <f t="shared" si="31"/>
        <v>0</v>
      </c>
      <c r="DX37">
        <f t="shared" si="31"/>
        <v>0</v>
      </c>
      <c r="DY37">
        <f t="shared" si="31"/>
        <v>0</v>
      </c>
      <c r="DZ37">
        <f t="shared" si="31"/>
        <v>0</v>
      </c>
      <c r="EA37">
        <f t="shared" si="31"/>
        <v>0</v>
      </c>
      <c r="EB37">
        <f t="shared" si="31"/>
        <v>0</v>
      </c>
      <c r="EC37">
        <f t="shared" si="31"/>
        <v>0</v>
      </c>
      <c r="ED37">
        <f t="shared" ref="ED37:FU37" si="32">SUM(ED24:ED34)</f>
        <v>0</v>
      </c>
      <c r="EE37">
        <f t="shared" si="32"/>
        <v>0</v>
      </c>
      <c r="EF37">
        <f t="shared" si="32"/>
        <v>0</v>
      </c>
      <c r="EG37">
        <f t="shared" si="32"/>
        <v>0</v>
      </c>
      <c r="EH37">
        <f t="shared" si="32"/>
        <v>0</v>
      </c>
      <c r="EI37">
        <f t="shared" si="32"/>
        <v>0</v>
      </c>
      <c r="EJ37">
        <f t="shared" si="32"/>
        <v>0</v>
      </c>
      <c r="EK37">
        <f t="shared" si="32"/>
        <v>0</v>
      </c>
      <c r="EL37">
        <f t="shared" si="32"/>
        <v>0</v>
      </c>
      <c r="EM37">
        <f t="shared" si="32"/>
        <v>0</v>
      </c>
      <c r="EN37">
        <f t="shared" si="32"/>
        <v>0</v>
      </c>
      <c r="EO37">
        <f t="shared" si="32"/>
        <v>0</v>
      </c>
      <c r="EP37">
        <f t="shared" si="32"/>
        <v>0</v>
      </c>
      <c r="EQ37">
        <f t="shared" si="32"/>
        <v>0</v>
      </c>
      <c r="ER37">
        <f t="shared" si="32"/>
        <v>0</v>
      </c>
      <c r="ES37">
        <f t="shared" si="32"/>
        <v>0</v>
      </c>
      <c r="ET37">
        <f t="shared" si="32"/>
        <v>0</v>
      </c>
      <c r="EU37">
        <f t="shared" si="32"/>
        <v>0</v>
      </c>
      <c r="EV37">
        <f t="shared" si="32"/>
        <v>0</v>
      </c>
      <c r="EW37">
        <f t="shared" si="32"/>
        <v>0</v>
      </c>
      <c r="EX37">
        <f t="shared" si="32"/>
        <v>0</v>
      </c>
      <c r="EY37">
        <f t="shared" si="32"/>
        <v>0</v>
      </c>
      <c r="EZ37">
        <f t="shared" si="32"/>
        <v>0</v>
      </c>
      <c r="FA37">
        <f t="shared" si="32"/>
        <v>0</v>
      </c>
      <c r="FB37">
        <f t="shared" si="32"/>
        <v>0</v>
      </c>
      <c r="FC37">
        <f t="shared" si="32"/>
        <v>0</v>
      </c>
      <c r="FD37">
        <f t="shared" si="32"/>
        <v>0</v>
      </c>
      <c r="FE37">
        <f t="shared" si="32"/>
        <v>0</v>
      </c>
      <c r="FF37">
        <f t="shared" si="32"/>
        <v>0</v>
      </c>
      <c r="FG37">
        <f t="shared" si="32"/>
        <v>0</v>
      </c>
      <c r="FH37">
        <f t="shared" si="32"/>
        <v>0</v>
      </c>
      <c r="FI37">
        <f t="shared" si="32"/>
        <v>0</v>
      </c>
      <c r="FJ37">
        <f t="shared" si="32"/>
        <v>0</v>
      </c>
      <c r="FK37">
        <f t="shared" si="32"/>
        <v>0</v>
      </c>
      <c r="FL37">
        <f t="shared" si="32"/>
        <v>0</v>
      </c>
      <c r="FM37">
        <f t="shared" si="32"/>
        <v>0</v>
      </c>
      <c r="FN37">
        <f t="shared" si="32"/>
        <v>0</v>
      </c>
      <c r="FO37">
        <f t="shared" si="32"/>
        <v>0</v>
      </c>
      <c r="FP37">
        <f t="shared" si="32"/>
        <v>0</v>
      </c>
      <c r="FQ37">
        <f t="shared" si="32"/>
        <v>0</v>
      </c>
      <c r="FR37">
        <f t="shared" si="32"/>
        <v>0</v>
      </c>
      <c r="FS37">
        <f t="shared" si="32"/>
        <v>0</v>
      </c>
      <c r="FT37">
        <f t="shared" si="32"/>
        <v>0</v>
      </c>
      <c r="FU37">
        <f t="shared" si="32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522A-171A-4153-929B-001CF655088C}">
  <dimension ref="A1:FU51"/>
  <sheetViews>
    <sheetView topLeftCell="A19" workbookViewId="0">
      <pane xSplit="4" topLeftCell="E1" activePane="topRight" state="frozen"/>
      <selection pane="topRight" activeCell="B25" sqref="B25"/>
    </sheetView>
  </sheetViews>
  <sheetFormatPr defaultRowHeight="15" x14ac:dyDescent="0.25"/>
  <cols>
    <col min="1" max="1" width="10" customWidth="1"/>
    <col min="2" max="2" width="27.42578125" customWidth="1"/>
    <col min="3" max="3" width="0" hidden="1" customWidth="1"/>
    <col min="4" max="4" width="13.5703125" customWidth="1"/>
    <col min="5" max="177" width="10.7109375" customWidth="1"/>
  </cols>
  <sheetData>
    <row r="1" spans="1:177" x14ac:dyDescent="0.25">
      <c r="B1" t="s">
        <v>184</v>
      </c>
    </row>
    <row r="3" spans="1:177" x14ac:dyDescent="0.25">
      <c r="A3" s="1" t="s">
        <v>0</v>
      </c>
      <c r="B3" s="1" t="s">
        <v>1</v>
      </c>
      <c r="C3" s="1" t="s">
        <v>2</v>
      </c>
      <c r="D3" s="1" t="s">
        <v>8</v>
      </c>
      <c r="E3" s="2">
        <f>Inventory!E1</f>
        <v>44331</v>
      </c>
      <c r="F3" s="2">
        <f>Inventory!F1</f>
        <v>44332</v>
      </c>
      <c r="G3" s="2">
        <f>Inventory!G1</f>
        <v>44334</v>
      </c>
      <c r="H3" s="2">
        <f>Inventory!H1</f>
        <v>44336</v>
      </c>
      <c r="I3" s="2">
        <f>Inventory!I1</f>
        <v>44337</v>
      </c>
      <c r="J3" s="2">
        <f>Inventory!J1</f>
        <v>44338</v>
      </c>
      <c r="K3" s="2">
        <f>Inventory!K1</f>
        <v>44339</v>
      </c>
      <c r="L3" s="2">
        <f>Inventory!L1</f>
        <v>44340</v>
      </c>
      <c r="M3" s="2">
        <f>Inventory!M1</f>
        <v>44341</v>
      </c>
      <c r="N3" s="2">
        <f>Inventory!N1</f>
        <v>44342</v>
      </c>
      <c r="O3" s="2">
        <f>Inventory!O1</f>
        <v>44343</v>
      </c>
      <c r="P3" s="2">
        <f>Inventory!P1</f>
        <v>44344</v>
      </c>
      <c r="Q3" s="2">
        <f>Inventory!Q1</f>
        <v>44345</v>
      </c>
      <c r="R3" s="2">
        <f>Inventory!R1</f>
        <v>44346</v>
      </c>
      <c r="S3" s="2">
        <f>Inventory!S1</f>
        <v>44347</v>
      </c>
      <c r="T3" s="2">
        <f>Inventory!T1</f>
        <v>44348</v>
      </c>
      <c r="U3" s="2">
        <f>Inventory!U1</f>
        <v>44349</v>
      </c>
      <c r="V3" s="2">
        <f>Inventory!V1</f>
        <v>44350</v>
      </c>
      <c r="W3" s="2">
        <f>Inventory!W1</f>
        <v>44351</v>
      </c>
      <c r="X3" s="2">
        <f>Inventory!X1</f>
        <v>44352</v>
      </c>
      <c r="Y3" s="2">
        <f>Inventory!Y1</f>
        <v>44353</v>
      </c>
      <c r="Z3" s="2">
        <f>Inventory!Z1</f>
        <v>44354</v>
      </c>
      <c r="AA3" s="2">
        <f>Inventory!AA1</f>
        <v>44355</v>
      </c>
      <c r="AB3" s="2">
        <f>Inventory!AB1</f>
        <v>44356</v>
      </c>
      <c r="AC3" s="2">
        <f>Inventory!AC1</f>
        <v>44357</v>
      </c>
      <c r="AD3" s="2">
        <f>Inventory!AD1</f>
        <v>44358</v>
      </c>
      <c r="AE3" s="2">
        <f>Inventory!AE1</f>
        <v>44359</v>
      </c>
      <c r="AF3" s="2">
        <f>Inventory!AF1</f>
        <v>44360</v>
      </c>
      <c r="AG3" s="2">
        <f>Inventory!AG1</f>
        <v>44361</v>
      </c>
      <c r="AH3" s="2">
        <f>Inventory!AH1</f>
        <v>44362</v>
      </c>
      <c r="AI3" s="2">
        <f>Inventory!AI1</f>
        <v>44363</v>
      </c>
      <c r="AJ3" s="2">
        <f>Inventory!AJ1</f>
        <v>44364</v>
      </c>
      <c r="AK3" s="2">
        <f>Inventory!AK1</f>
        <v>44365</v>
      </c>
      <c r="AL3" s="2">
        <f>Inventory!AL1</f>
        <v>44366</v>
      </c>
      <c r="AM3" s="2">
        <f>Inventory!AM1</f>
        <v>44367</v>
      </c>
      <c r="AN3" s="2">
        <f>Inventory!AN1</f>
        <v>44368</v>
      </c>
      <c r="AO3" s="2">
        <f>Inventory!AO1</f>
        <v>44369</v>
      </c>
      <c r="AP3" s="2">
        <f>Inventory!AP1</f>
        <v>44370</v>
      </c>
      <c r="AQ3" s="2">
        <f>Inventory!AQ1</f>
        <v>44371</v>
      </c>
      <c r="AR3" s="2">
        <f>Inventory!AR1</f>
        <v>44372</v>
      </c>
      <c r="AS3" s="2">
        <f>Inventory!AS1</f>
        <v>44373</v>
      </c>
      <c r="AT3" s="2">
        <f>Inventory!AT1</f>
        <v>44374</v>
      </c>
      <c r="AU3" s="2">
        <f>Inventory!AU1</f>
        <v>44375</v>
      </c>
      <c r="AV3" s="2">
        <f>Inventory!AV1</f>
        <v>44376</v>
      </c>
      <c r="AW3" s="2">
        <f>Inventory!AW1</f>
        <v>44377</v>
      </c>
      <c r="AX3" s="2">
        <f>Inventory!AX1</f>
        <v>44378</v>
      </c>
      <c r="AY3" s="2">
        <f>Inventory!AY1</f>
        <v>44379</v>
      </c>
      <c r="AZ3" s="2">
        <f>Inventory!AZ1</f>
        <v>44380</v>
      </c>
      <c r="BA3" s="2">
        <f>Inventory!BA1</f>
        <v>44381</v>
      </c>
      <c r="BB3" s="2">
        <f>Inventory!BB1</f>
        <v>44382</v>
      </c>
      <c r="BC3" s="2">
        <f>Inventory!BC1</f>
        <v>44383</v>
      </c>
      <c r="BD3" s="2">
        <f>Inventory!BD1</f>
        <v>44384</v>
      </c>
      <c r="BE3" s="2">
        <f>Inventory!BE1</f>
        <v>44385</v>
      </c>
      <c r="BF3" s="2">
        <f>Inventory!BF1</f>
        <v>44386</v>
      </c>
      <c r="BG3" s="2">
        <f>Inventory!BG1</f>
        <v>44387</v>
      </c>
      <c r="BH3" s="2">
        <f>Inventory!BH1</f>
        <v>44388</v>
      </c>
      <c r="BI3" s="2">
        <f>Inventory!BI1</f>
        <v>44389</v>
      </c>
      <c r="BJ3" s="2">
        <f>Inventory!BJ1</f>
        <v>44390</v>
      </c>
      <c r="BK3" s="2">
        <f>Inventory!BK1</f>
        <v>44391</v>
      </c>
      <c r="BL3" s="2">
        <f>Inventory!BL1</f>
        <v>44392</v>
      </c>
      <c r="BM3" s="2">
        <f>Inventory!BM1</f>
        <v>44393</v>
      </c>
      <c r="BN3" s="2">
        <f>Inventory!BN1</f>
        <v>44394</v>
      </c>
      <c r="BO3" s="2">
        <f>Inventory!BO1</f>
        <v>44395</v>
      </c>
      <c r="BP3" s="2">
        <f>Inventory!BP1</f>
        <v>44396</v>
      </c>
      <c r="BQ3" s="2">
        <f>Inventory!BQ1</f>
        <v>44397</v>
      </c>
      <c r="BR3" s="2">
        <f>Inventory!BR1</f>
        <v>44398</v>
      </c>
      <c r="BS3" s="2">
        <f>Inventory!BS1</f>
        <v>44399</v>
      </c>
      <c r="BT3" s="2">
        <f>Inventory!BT1</f>
        <v>44400</v>
      </c>
      <c r="BU3" s="2">
        <f>Inventory!BU1</f>
        <v>44401</v>
      </c>
      <c r="BV3" s="2">
        <f>Inventory!BV1</f>
        <v>44402</v>
      </c>
      <c r="BW3" s="2">
        <f>Inventory!BW1</f>
        <v>44403</v>
      </c>
      <c r="BX3" s="2">
        <f>Inventory!BX1</f>
        <v>44404</v>
      </c>
      <c r="BY3" s="2">
        <f>Inventory!BY1</f>
        <v>44405</v>
      </c>
      <c r="BZ3" s="2">
        <f>Inventory!BZ1</f>
        <v>44406</v>
      </c>
      <c r="CA3" s="2">
        <f>Inventory!CA1</f>
        <v>44407</v>
      </c>
      <c r="CB3" s="2">
        <f>Inventory!CB1</f>
        <v>44408</v>
      </c>
      <c r="CC3" s="2">
        <f>Inventory!CC1</f>
        <v>44409</v>
      </c>
      <c r="CD3" s="2">
        <f>Inventory!CD1</f>
        <v>44410</v>
      </c>
      <c r="CE3" s="2">
        <f>Inventory!CE1</f>
        <v>44411</v>
      </c>
      <c r="CF3" s="2">
        <f>Inventory!CF1</f>
        <v>44412</v>
      </c>
      <c r="CG3" s="2">
        <f>Inventory!CG1</f>
        <v>44413</v>
      </c>
      <c r="CH3" s="2">
        <f>Inventory!CH1</f>
        <v>44414</v>
      </c>
      <c r="CI3" s="2">
        <f>Inventory!CI1</f>
        <v>44415</v>
      </c>
      <c r="CJ3" s="2">
        <f>Inventory!CJ1</f>
        <v>44416</v>
      </c>
      <c r="CK3" s="2">
        <f>Inventory!CK1</f>
        <v>44417</v>
      </c>
      <c r="CL3" s="2">
        <f>Inventory!CL1</f>
        <v>44418</v>
      </c>
      <c r="CM3" s="2">
        <f>Inventory!CM1</f>
        <v>44419</v>
      </c>
      <c r="CN3" s="2">
        <f>Inventory!CN1</f>
        <v>44420</v>
      </c>
      <c r="CO3" s="2">
        <f>Inventory!CO1</f>
        <v>44421</v>
      </c>
      <c r="CP3" s="2">
        <f>Inventory!CP1</f>
        <v>44422</v>
      </c>
      <c r="CQ3" s="2">
        <f>Inventory!CQ1</f>
        <v>44423</v>
      </c>
      <c r="CR3" s="2">
        <f>Inventory!CR1</f>
        <v>44424</v>
      </c>
      <c r="CS3" s="2">
        <f>Inventory!CS1</f>
        <v>44425</v>
      </c>
      <c r="CT3" s="2">
        <f>Inventory!CT1</f>
        <v>44426</v>
      </c>
      <c r="CU3" s="2">
        <f>Inventory!CU1</f>
        <v>44427</v>
      </c>
      <c r="CV3" s="2">
        <f>Inventory!CV1</f>
        <v>44428</v>
      </c>
      <c r="CW3" s="2">
        <f>Inventory!CW1</f>
        <v>44429</v>
      </c>
      <c r="CX3" s="2">
        <f>Inventory!CX1</f>
        <v>44430</v>
      </c>
      <c r="CY3" s="2">
        <f>Inventory!CY1</f>
        <v>44431</v>
      </c>
      <c r="CZ3" s="2">
        <f>Inventory!CZ1</f>
        <v>44432</v>
      </c>
      <c r="DA3" s="2">
        <f>Inventory!DA1</f>
        <v>44433</v>
      </c>
      <c r="DB3" s="2">
        <f>Inventory!DB1</f>
        <v>44434</v>
      </c>
      <c r="DC3" s="2">
        <f>Inventory!DC1</f>
        <v>44435</v>
      </c>
      <c r="DD3" s="2">
        <f>Inventory!DD1</f>
        <v>44436</v>
      </c>
      <c r="DE3" s="2">
        <f>Inventory!DE1</f>
        <v>44437</v>
      </c>
      <c r="DF3" s="2">
        <f>Inventory!DF1</f>
        <v>44438</v>
      </c>
      <c r="DG3" s="2">
        <f>Inventory!DG1</f>
        <v>44439</v>
      </c>
      <c r="DH3" s="2">
        <f>Inventory!DH1</f>
        <v>44440</v>
      </c>
      <c r="DI3" s="2">
        <f>Inventory!DI1</f>
        <v>44441</v>
      </c>
      <c r="DJ3" s="2">
        <f>Inventory!DJ1</f>
        <v>44442</v>
      </c>
      <c r="DK3" s="2">
        <f>Inventory!DK1</f>
        <v>44443</v>
      </c>
      <c r="DL3" s="2">
        <f>Inventory!DL1</f>
        <v>44444</v>
      </c>
      <c r="DM3" s="2">
        <f>Inventory!DM1</f>
        <v>44445</v>
      </c>
      <c r="DN3" s="2">
        <f>Inventory!DN1</f>
        <v>44446</v>
      </c>
      <c r="DO3" s="2">
        <f>Inventory!DO1</f>
        <v>44447</v>
      </c>
      <c r="DP3" s="2">
        <f>Inventory!DP1</f>
        <v>44448</v>
      </c>
      <c r="DQ3" s="2">
        <f>Inventory!DQ1</f>
        <v>44449</v>
      </c>
      <c r="DR3" s="2">
        <f>Inventory!DR1</f>
        <v>44450</v>
      </c>
      <c r="DS3" s="2">
        <f>Inventory!DS1</f>
        <v>44451</v>
      </c>
      <c r="DT3" s="2">
        <f>Inventory!DT1</f>
        <v>44452</v>
      </c>
      <c r="DU3" s="2">
        <f>Inventory!DU1</f>
        <v>44453</v>
      </c>
      <c r="DV3" s="2">
        <f>Inventory!DV1</f>
        <v>44454</v>
      </c>
      <c r="DW3" s="2">
        <f>Inventory!DW1</f>
        <v>44455</v>
      </c>
      <c r="DX3" s="2">
        <f>Inventory!DX1</f>
        <v>44456</v>
      </c>
      <c r="DY3" s="2">
        <f>Inventory!DY1</f>
        <v>44457</v>
      </c>
      <c r="DZ3" s="2">
        <f>Inventory!DZ1</f>
        <v>44458</v>
      </c>
      <c r="EA3" s="2">
        <f>Inventory!EA1</f>
        <v>44459</v>
      </c>
      <c r="EB3" s="2">
        <f>Inventory!EB1</f>
        <v>44460</v>
      </c>
      <c r="EC3" s="2">
        <f>Inventory!EC1</f>
        <v>44461</v>
      </c>
      <c r="ED3" s="2">
        <f>Inventory!ED1</f>
        <v>44462</v>
      </c>
      <c r="EE3" s="2">
        <f>Inventory!EE1</f>
        <v>44463</v>
      </c>
      <c r="EF3" s="2">
        <f>Inventory!EF1</f>
        <v>44464</v>
      </c>
      <c r="EG3" s="2">
        <f>Inventory!EG1</f>
        <v>44465</v>
      </c>
      <c r="EH3" s="2">
        <f>Inventory!EH1</f>
        <v>44466</v>
      </c>
      <c r="EI3" s="2">
        <f>Inventory!EI1</f>
        <v>44467</v>
      </c>
      <c r="EJ3" s="2">
        <f>Inventory!EJ1</f>
        <v>44468</v>
      </c>
      <c r="EK3" s="2">
        <f>Inventory!EK1</f>
        <v>44469</v>
      </c>
      <c r="EL3" s="2">
        <f>Inventory!EL1</f>
        <v>44470</v>
      </c>
      <c r="EM3" s="2">
        <f>Inventory!EM1</f>
        <v>44471</v>
      </c>
      <c r="EN3" s="2">
        <f>Inventory!EN1</f>
        <v>44472</v>
      </c>
      <c r="EO3" s="2">
        <f>Inventory!EO1</f>
        <v>44473</v>
      </c>
      <c r="EP3" s="2">
        <f>Inventory!EP1</f>
        <v>44474</v>
      </c>
      <c r="EQ3" s="2">
        <f>Inventory!EQ1</f>
        <v>44475</v>
      </c>
      <c r="ER3" s="2">
        <f>Inventory!ER1</f>
        <v>44476</v>
      </c>
      <c r="ES3" s="2">
        <f>Inventory!ES1</f>
        <v>44477</v>
      </c>
      <c r="ET3" s="2">
        <f>Inventory!ET1</f>
        <v>44478</v>
      </c>
      <c r="EU3" s="2">
        <f>Inventory!EU1</f>
        <v>44479</v>
      </c>
      <c r="EV3" s="2">
        <f>Inventory!EV1</f>
        <v>44480</v>
      </c>
      <c r="EW3" s="2">
        <f>Inventory!EW1</f>
        <v>44481</v>
      </c>
      <c r="EX3" s="2">
        <f>Inventory!EX1</f>
        <v>44482</v>
      </c>
      <c r="EY3" s="2">
        <f>Inventory!EY1</f>
        <v>44483</v>
      </c>
      <c r="EZ3" s="2">
        <f>Inventory!EZ1</f>
        <v>44484</v>
      </c>
      <c r="FA3" s="2">
        <f>Inventory!FA1</f>
        <v>44485</v>
      </c>
      <c r="FB3" s="2">
        <f>Inventory!FB1</f>
        <v>44486</v>
      </c>
      <c r="FC3" s="2">
        <f>Inventory!FC1</f>
        <v>44487</v>
      </c>
      <c r="FD3" s="2">
        <f>Inventory!FD1</f>
        <v>44488</v>
      </c>
      <c r="FE3" s="2">
        <f>Inventory!FE1</f>
        <v>44489</v>
      </c>
      <c r="FF3" s="2">
        <f>Inventory!FF1</f>
        <v>44490</v>
      </c>
      <c r="FG3" s="2">
        <f>Inventory!FG1</f>
        <v>44491</v>
      </c>
      <c r="FH3" s="2">
        <f>Inventory!FH1</f>
        <v>44492</v>
      </c>
      <c r="FI3" s="2">
        <f>Inventory!FI1</f>
        <v>44493</v>
      </c>
      <c r="FJ3" s="2">
        <f>Inventory!FJ1</f>
        <v>44494</v>
      </c>
      <c r="FK3" s="2">
        <f>Inventory!FK1</f>
        <v>44495</v>
      </c>
      <c r="FL3" s="2">
        <f>Inventory!FL1</f>
        <v>44496</v>
      </c>
      <c r="FM3" s="2">
        <f>Inventory!FM1</f>
        <v>44497</v>
      </c>
      <c r="FN3" s="2">
        <f>Inventory!FN1</f>
        <v>44498</v>
      </c>
      <c r="FO3" s="2">
        <f>Inventory!FO1</f>
        <v>44499</v>
      </c>
      <c r="FP3" s="2">
        <f>Inventory!FP1</f>
        <v>44500</v>
      </c>
      <c r="FQ3" s="2">
        <f>Inventory!FQ1</f>
        <v>44501</v>
      </c>
      <c r="FR3" s="2">
        <f>Inventory!FR1</f>
        <v>44502</v>
      </c>
      <c r="FS3" s="2">
        <f>Inventory!FS1</f>
        <v>44503</v>
      </c>
      <c r="FT3" s="2">
        <f>Inventory!FT1</f>
        <v>44504</v>
      </c>
      <c r="FU3" s="2">
        <f>Inventory!FU1</f>
        <v>44505</v>
      </c>
    </row>
    <row r="4" spans="1:177" x14ac:dyDescent="0.25">
      <c r="A4" t="str" cm="1">
        <f t="array" ref="A4:FU20">_xlfn._xlws.FILTER(Inventory!$A$2:$FU$103, (Inventory!C2:C103="Other Rifle"))</f>
        <v>SSG 08</v>
      </c>
      <c r="B4" t="str">
        <v>Necropos MW</v>
      </c>
      <c r="C4" t="str">
        <v>Other Rifle</v>
      </c>
      <c r="D4" t="str">
        <v>Wildfire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0.34</v>
      </c>
      <c r="L4">
        <v>0.3</v>
      </c>
      <c r="M4">
        <v>0.32</v>
      </c>
      <c r="N4">
        <v>0.32</v>
      </c>
      <c r="O4">
        <v>0.32</v>
      </c>
      <c r="P4">
        <v>0.31</v>
      </c>
      <c r="Q4">
        <v>0.3</v>
      </c>
      <c r="R4">
        <v>0.32</v>
      </c>
      <c r="S4">
        <v>0.31</v>
      </c>
      <c r="T4">
        <v>0.31</v>
      </c>
      <c r="U4">
        <v>0.31</v>
      </c>
      <c r="V4">
        <v>0.31</v>
      </c>
      <c r="W4">
        <v>0.28999999999999998</v>
      </c>
      <c r="X4">
        <v>0.3</v>
      </c>
      <c r="Y4">
        <v>0.32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</row>
    <row r="5" spans="1:177" x14ac:dyDescent="0.25">
      <c r="A5" t="str">
        <v>SG 553</v>
      </c>
      <c r="B5" t="str">
        <v>Atlas FN</v>
      </c>
      <c r="C5" t="str">
        <v>Other Rifle</v>
      </c>
      <c r="D5" t="str">
        <v>Chroma 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0.32</v>
      </c>
      <c r="L5">
        <v>0.34</v>
      </c>
      <c r="M5">
        <v>0.32</v>
      </c>
      <c r="N5">
        <v>0.32</v>
      </c>
      <c r="O5">
        <v>0.32</v>
      </c>
      <c r="P5">
        <v>0.32</v>
      </c>
      <c r="Q5">
        <v>0.3</v>
      </c>
      <c r="R5">
        <v>0.31</v>
      </c>
      <c r="S5">
        <v>0.28999999999999998</v>
      </c>
      <c r="T5">
        <v>0.28999999999999998</v>
      </c>
      <c r="U5">
        <v>0.28000000000000003</v>
      </c>
      <c r="V5">
        <v>0.3</v>
      </c>
      <c r="W5">
        <v>0.28999999999999998</v>
      </c>
      <c r="X5">
        <v>0.28000000000000003</v>
      </c>
      <c r="Y5">
        <v>0.28999999999999998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</row>
    <row r="6" spans="1:177" x14ac:dyDescent="0.25">
      <c r="A6" t="str">
        <v>SCAR-20</v>
      </c>
      <c r="B6" t="str">
        <v>Powercore MW</v>
      </c>
      <c r="C6" t="str">
        <v>Other Rifle</v>
      </c>
      <c r="D6" t="str">
        <v>Gamma 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0.49</v>
      </c>
      <c r="M6">
        <v>0.5</v>
      </c>
      <c r="N6">
        <v>0.46</v>
      </c>
      <c r="O6">
        <v>0.47</v>
      </c>
      <c r="P6">
        <v>0.47</v>
      </c>
      <c r="Q6">
        <v>0.5</v>
      </c>
      <c r="R6">
        <v>0.51</v>
      </c>
      <c r="S6">
        <v>0.47</v>
      </c>
      <c r="T6">
        <v>0.46</v>
      </c>
      <c r="U6">
        <v>0.49</v>
      </c>
      <c r="V6">
        <v>0.5</v>
      </c>
      <c r="W6">
        <v>0.49</v>
      </c>
      <c r="X6">
        <v>0.47</v>
      </c>
      <c r="Y6">
        <v>0.49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</row>
    <row r="7" spans="1:177" x14ac:dyDescent="0.25">
      <c r="A7" t="str">
        <v>Galil AR</v>
      </c>
      <c r="B7" t="str">
        <v>Eco FT</v>
      </c>
      <c r="C7" t="str">
        <v>Other Rifle</v>
      </c>
      <c r="D7" t="str">
        <v>Chroma 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3.82</v>
      </c>
      <c r="L7">
        <v>3.83</v>
      </c>
      <c r="M7">
        <v>3.77</v>
      </c>
      <c r="N7">
        <v>3.72</v>
      </c>
      <c r="O7">
        <v>3.69</v>
      </c>
      <c r="P7">
        <v>3.68</v>
      </c>
      <c r="Q7">
        <v>3.68</v>
      </c>
      <c r="R7">
        <v>3.74</v>
      </c>
      <c r="S7">
        <v>3.73</v>
      </c>
      <c r="T7">
        <v>3.64</v>
      </c>
      <c r="U7">
        <v>3.61</v>
      </c>
      <c r="V7">
        <v>3.63</v>
      </c>
      <c r="W7">
        <v>3.53</v>
      </c>
      <c r="X7">
        <v>3.58</v>
      </c>
      <c r="Y7">
        <v>3.51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</row>
    <row r="8" spans="1:177" x14ac:dyDescent="0.25">
      <c r="A8" t="str">
        <v>FAMAS</v>
      </c>
      <c r="B8" t="str">
        <v>Macabre MW</v>
      </c>
      <c r="C8" t="str">
        <v>Other Rifle</v>
      </c>
      <c r="D8" t="str">
        <v>Hydra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1.26</v>
      </c>
      <c r="L8">
        <v>1.27</v>
      </c>
      <c r="M8">
        <v>1.26</v>
      </c>
      <c r="N8">
        <v>1.24</v>
      </c>
      <c r="O8">
        <v>1.26</v>
      </c>
      <c r="P8">
        <v>1.26</v>
      </c>
      <c r="Q8">
        <v>1.26</v>
      </c>
      <c r="R8">
        <v>1.3</v>
      </c>
      <c r="S8">
        <v>1.33</v>
      </c>
      <c r="T8">
        <v>1.43</v>
      </c>
      <c r="U8">
        <v>1.43</v>
      </c>
      <c r="V8">
        <v>1.39</v>
      </c>
      <c r="W8">
        <v>1.43</v>
      </c>
      <c r="X8">
        <v>1.46</v>
      </c>
      <c r="Y8">
        <v>1.47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</row>
    <row r="9" spans="1:177" x14ac:dyDescent="0.25">
      <c r="A9" t="str">
        <v>FAMAS</v>
      </c>
      <c r="B9" t="str">
        <v>Night Borre FT</v>
      </c>
      <c r="C9" t="str">
        <v>Other Rifle</v>
      </c>
      <c r="D9" t="str">
        <v>Norse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1.0900000000000001</v>
      </c>
      <c r="L9">
        <v>1.35</v>
      </c>
      <c r="M9">
        <v>1.28</v>
      </c>
      <c r="N9">
        <v>1.58</v>
      </c>
      <c r="O9">
        <v>1.67</v>
      </c>
      <c r="P9">
        <v>1.58</v>
      </c>
      <c r="Q9">
        <v>1.53</v>
      </c>
      <c r="R9">
        <v>1.47</v>
      </c>
      <c r="S9">
        <v>1.38</v>
      </c>
      <c r="T9">
        <v>1.4</v>
      </c>
      <c r="U9">
        <v>1.26</v>
      </c>
      <c r="V9">
        <v>1.49</v>
      </c>
      <c r="W9">
        <v>1.52</v>
      </c>
      <c r="X9">
        <v>1.56</v>
      </c>
      <c r="Y9">
        <v>1.69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</row>
    <row r="10" spans="1:177" x14ac:dyDescent="0.25">
      <c r="A10" t="str">
        <v>Galil AR</v>
      </c>
      <c r="B10" t="str">
        <v>Tornado BS</v>
      </c>
      <c r="C10" t="str">
        <v>Other Rifle</v>
      </c>
      <c r="D10" t="str">
        <v>Norse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1.1000000000000001</v>
      </c>
      <c r="L10">
        <v>1.1000000000000001</v>
      </c>
      <c r="M10">
        <v>1.1000000000000001</v>
      </c>
      <c r="N10">
        <v>1.52</v>
      </c>
      <c r="O10">
        <v>1.61</v>
      </c>
      <c r="P10">
        <v>1.41</v>
      </c>
      <c r="Q10">
        <v>1.45</v>
      </c>
      <c r="R10">
        <v>1.42</v>
      </c>
      <c r="S10">
        <v>1.46</v>
      </c>
      <c r="T10">
        <v>1.46</v>
      </c>
      <c r="U10">
        <v>1.44</v>
      </c>
      <c r="V10">
        <v>1.41</v>
      </c>
      <c r="W10">
        <v>1.42</v>
      </c>
      <c r="X10">
        <v>1.44</v>
      </c>
      <c r="Y10">
        <v>1.56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</row>
    <row r="11" spans="1:177" x14ac:dyDescent="0.25">
      <c r="A11" t="str">
        <v>AUG</v>
      </c>
      <c r="B11" t="str">
        <v>StatTrak Momentum MW</v>
      </c>
      <c r="C11" t="str">
        <v>Other Rifle</v>
      </c>
      <c r="D11" t="str">
        <v>Prisma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18.91</v>
      </c>
      <c r="L11">
        <v>17.989999999999998</v>
      </c>
      <c r="M11">
        <v>20.02</v>
      </c>
      <c r="N11">
        <v>19.47</v>
      </c>
      <c r="O11">
        <v>19.440000000000001</v>
      </c>
      <c r="P11">
        <v>19.55</v>
      </c>
      <c r="Q11">
        <v>19.579999999999998</v>
      </c>
      <c r="R11">
        <v>19.96</v>
      </c>
      <c r="S11">
        <v>18.88</v>
      </c>
      <c r="T11">
        <v>19.25</v>
      </c>
      <c r="U11">
        <v>18.98</v>
      </c>
      <c r="V11">
        <v>18.920000000000002</v>
      </c>
      <c r="W11">
        <v>18.66</v>
      </c>
      <c r="X11">
        <v>19.93</v>
      </c>
      <c r="Y11">
        <v>19.72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</row>
    <row r="12" spans="1:177" x14ac:dyDescent="0.25">
      <c r="A12" t="str">
        <v>Galil AR</v>
      </c>
      <c r="B12" t="str">
        <v>Stone Cold FT</v>
      </c>
      <c r="C12" t="str">
        <v>Other Rifle</v>
      </c>
      <c r="D12" t="str">
        <v>Shadow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3.38</v>
      </c>
      <c r="L12">
        <v>3.1</v>
      </c>
      <c r="M12">
        <v>3.23</v>
      </c>
      <c r="N12">
        <v>3.13</v>
      </c>
      <c r="O12">
        <v>3.24</v>
      </c>
      <c r="P12">
        <v>2.93</v>
      </c>
      <c r="Q12">
        <v>2.76</v>
      </c>
      <c r="R12">
        <v>3.06</v>
      </c>
      <c r="S12">
        <v>2.93</v>
      </c>
      <c r="T12">
        <v>2.79</v>
      </c>
      <c r="U12">
        <v>2.82</v>
      </c>
      <c r="V12">
        <v>2.81</v>
      </c>
      <c r="W12">
        <v>2.85</v>
      </c>
      <c r="X12">
        <v>2.82</v>
      </c>
      <c r="Y12">
        <v>2.7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</row>
    <row r="13" spans="1:177" x14ac:dyDescent="0.25">
      <c r="A13" t="str">
        <v>SSG 08</v>
      </c>
      <c r="B13" t="str">
        <v>StatTrak Death's Head MW</v>
      </c>
      <c r="C13" t="str">
        <v>Other Rifle</v>
      </c>
      <c r="D13" t="str">
        <v>Hydra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10.85</v>
      </c>
      <c r="L13">
        <v>9.94</v>
      </c>
      <c r="M13">
        <v>10.85</v>
      </c>
      <c r="N13">
        <v>10.87</v>
      </c>
      <c r="O13">
        <v>10.86</v>
      </c>
      <c r="P13">
        <v>11.36</v>
      </c>
      <c r="Q13">
        <v>11.61</v>
      </c>
      <c r="R13">
        <v>11.59</v>
      </c>
      <c r="S13">
        <v>11.47</v>
      </c>
      <c r="T13">
        <v>11.23</v>
      </c>
      <c r="U13">
        <v>11.13</v>
      </c>
      <c r="V13">
        <v>11.42</v>
      </c>
      <c r="W13">
        <v>11.87</v>
      </c>
      <c r="X13">
        <v>14.44</v>
      </c>
      <c r="Y13">
        <v>13.98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</row>
    <row r="14" spans="1:177" x14ac:dyDescent="0.25">
      <c r="A14" t="str">
        <v>FAMAS</v>
      </c>
      <c r="B14" t="str">
        <v>Roll Cage MW</v>
      </c>
      <c r="C14" t="str">
        <v>Other Rifle</v>
      </c>
      <c r="D14" t="str">
        <v>Gamma 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6.22</v>
      </c>
      <c r="L14">
        <v>6.24</v>
      </c>
      <c r="M14">
        <v>6.41</v>
      </c>
      <c r="N14">
        <v>6.04</v>
      </c>
      <c r="O14">
        <v>6.51</v>
      </c>
      <c r="P14">
        <v>6.35</v>
      </c>
      <c r="Q14">
        <v>5.89</v>
      </c>
      <c r="R14">
        <v>6.11</v>
      </c>
      <c r="S14">
        <v>6.27</v>
      </c>
      <c r="T14">
        <v>6.52</v>
      </c>
      <c r="U14">
        <v>6.3</v>
      </c>
      <c r="V14">
        <v>6.39</v>
      </c>
      <c r="W14">
        <v>6.34</v>
      </c>
      <c r="X14">
        <v>6.46</v>
      </c>
      <c r="Y14">
        <v>6.26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</row>
    <row r="15" spans="1:177" x14ac:dyDescent="0.25">
      <c r="A15" t="str">
        <v>G3SG1</v>
      </c>
      <c r="B15" t="str">
        <v>Stinger FN</v>
      </c>
      <c r="C15" t="str">
        <v>Other Rifle</v>
      </c>
      <c r="D15" t="str">
        <v>Glove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1.07</v>
      </c>
      <c r="L15">
        <v>1.17</v>
      </c>
      <c r="M15">
        <v>1.1000000000000001</v>
      </c>
      <c r="N15">
        <v>1.18</v>
      </c>
      <c r="O15">
        <v>1.1100000000000001</v>
      </c>
      <c r="P15">
        <v>1.06</v>
      </c>
      <c r="Q15">
        <v>1.1100000000000001</v>
      </c>
      <c r="R15">
        <v>1.06</v>
      </c>
      <c r="S15">
        <v>1.1499999999999999</v>
      </c>
      <c r="T15">
        <v>1.2</v>
      </c>
      <c r="U15">
        <v>1.0900000000000001</v>
      </c>
      <c r="V15">
        <v>1.1200000000000001</v>
      </c>
      <c r="W15">
        <v>1.1200000000000001</v>
      </c>
      <c r="X15">
        <v>1.08</v>
      </c>
      <c r="Y15">
        <v>1.01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</row>
    <row r="16" spans="1:177" x14ac:dyDescent="0.25">
      <c r="A16" t="str">
        <v>FAMAS</v>
      </c>
      <c r="B16" t="str">
        <v>StatTrak Valence FT</v>
      </c>
      <c r="C16" t="str">
        <v>Other Rifle</v>
      </c>
      <c r="D16" t="str">
        <v>Wildfire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3.71</v>
      </c>
      <c r="L16">
        <v>3.54</v>
      </c>
      <c r="M16">
        <v>3.52</v>
      </c>
      <c r="N16">
        <v>3.61</v>
      </c>
      <c r="O16">
        <v>3.58</v>
      </c>
      <c r="P16">
        <v>3.65</v>
      </c>
      <c r="Q16">
        <v>3.64</v>
      </c>
      <c r="R16">
        <v>3.47</v>
      </c>
      <c r="S16">
        <v>3.77</v>
      </c>
      <c r="T16">
        <v>3.75</v>
      </c>
      <c r="U16">
        <v>3.69</v>
      </c>
      <c r="V16">
        <v>3.59</v>
      </c>
      <c r="W16">
        <v>3.48</v>
      </c>
      <c r="X16">
        <v>3.58</v>
      </c>
      <c r="Y16">
        <v>3.61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</row>
    <row r="17" spans="1:177" x14ac:dyDescent="0.25">
      <c r="A17" t="str">
        <v>SSG 08</v>
      </c>
      <c r="B17" t="str">
        <v>Blood in the Water MW</v>
      </c>
      <c r="C17" t="str">
        <v>Other Rifle</v>
      </c>
      <c r="D17" t="str">
        <v>Arms Deal 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38.950000000000003</v>
      </c>
      <c r="L17">
        <v>36.61</v>
      </c>
      <c r="M17">
        <v>36.29</v>
      </c>
      <c r="N17">
        <v>39.28</v>
      </c>
      <c r="O17">
        <v>40.54</v>
      </c>
      <c r="P17">
        <v>39.83</v>
      </c>
      <c r="Q17">
        <v>38.07</v>
      </c>
      <c r="R17">
        <v>40.049999999999997</v>
      </c>
      <c r="S17">
        <v>41</v>
      </c>
      <c r="T17">
        <v>42.59</v>
      </c>
      <c r="U17">
        <v>41.24</v>
      </c>
      <c r="V17">
        <v>40.450000000000003</v>
      </c>
      <c r="W17">
        <v>39.5</v>
      </c>
      <c r="X17">
        <v>42.38</v>
      </c>
      <c r="Y17">
        <v>39.64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</row>
    <row r="18" spans="1:177" x14ac:dyDescent="0.25">
      <c r="A18" t="str">
        <v>SG 553</v>
      </c>
      <c r="B18" t="str">
        <v>StatTrak Tiger Moth FT</v>
      </c>
      <c r="C18" t="str">
        <v>Other Rifle</v>
      </c>
      <c r="D18" t="str">
        <v>Revolver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3.35</v>
      </c>
      <c r="L18">
        <v>3.64</v>
      </c>
      <c r="M18">
        <v>3.58</v>
      </c>
      <c r="N18">
        <v>3.53</v>
      </c>
      <c r="O18">
        <v>3.59</v>
      </c>
      <c r="P18">
        <v>3.52</v>
      </c>
      <c r="Q18">
        <v>3.47</v>
      </c>
      <c r="R18">
        <v>3.36</v>
      </c>
      <c r="S18">
        <v>3.65</v>
      </c>
      <c r="T18">
        <v>3.51</v>
      </c>
      <c r="U18">
        <v>3.6</v>
      </c>
      <c r="V18">
        <v>3.63</v>
      </c>
      <c r="W18">
        <v>3.7</v>
      </c>
      <c r="X18">
        <v>3.91</v>
      </c>
      <c r="Y18">
        <v>3.46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</row>
    <row r="19" spans="1:177" x14ac:dyDescent="0.25">
      <c r="A19" t="str">
        <v>AUG</v>
      </c>
      <c r="B19" t="str">
        <v>Chameleon MW</v>
      </c>
      <c r="C19" t="str">
        <v>Other Rifle</v>
      </c>
      <c r="D19" t="str">
        <v>Phoenix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4.5599999999999996</v>
      </c>
      <c r="L19">
        <v>4.63</v>
      </c>
      <c r="M19">
        <v>4.3899999999999997</v>
      </c>
      <c r="N19">
        <v>4.79</v>
      </c>
      <c r="O19">
        <v>4.8</v>
      </c>
      <c r="P19">
        <v>4.8499999999999996</v>
      </c>
      <c r="Q19">
        <v>4.79</v>
      </c>
      <c r="R19">
        <v>4.84</v>
      </c>
      <c r="S19">
        <v>4.53</v>
      </c>
      <c r="T19">
        <v>4.6100000000000003</v>
      </c>
      <c r="U19">
        <v>4.75</v>
      </c>
      <c r="V19">
        <v>4.41</v>
      </c>
      <c r="W19">
        <v>4.34</v>
      </c>
      <c r="X19">
        <v>4.72</v>
      </c>
      <c r="Y19">
        <v>4.5599999999999996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</row>
    <row r="20" spans="1:177" x14ac:dyDescent="0.25">
      <c r="A20" t="str">
        <v>SCAR-20</v>
      </c>
      <c r="B20" t="str">
        <v>Cardiac FT</v>
      </c>
      <c r="C20" t="str">
        <v>Other Rifle</v>
      </c>
      <c r="D20" t="str">
        <v>Vanguard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3.05</v>
      </c>
      <c r="L20">
        <v>3.02</v>
      </c>
      <c r="M20">
        <v>3.19</v>
      </c>
      <c r="N20">
        <v>2.91</v>
      </c>
      <c r="O20">
        <v>3.04</v>
      </c>
      <c r="P20">
        <v>3.11</v>
      </c>
      <c r="Q20">
        <v>3.11</v>
      </c>
      <c r="R20">
        <v>3.07</v>
      </c>
      <c r="S20">
        <v>2.78</v>
      </c>
      <c r="T20">
        <v>2.82</v>
      </c>
      <c r="U20">
        <v>3.1</v>
      </c>
      <c r="V20">
        <v>3.1</v>
      </c>
      <c r="W20">
        <v>2.9</v>
      </c>
      <c r="X20">
        <v>3.17</v>
      </c>
      <c r="Y20">
        <v>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</row>
    <row r="23" spans="1:177" x14ac:dyDescent="0.25">
      <c r="D23" s="1" t="s">
        <v>186</v>
      </c>
      <c r="E23">
        <f>SUM(E4:E20)</f>
        <v>0</v>
      </c>
      <c r="F23">
        <f t="shared" ref="F23:BQ23" si="0">SUM(F4:F20)</f>
        <v>0</v>
      </c>
      <c r="G23">
        <f t="shared" si="0"/>
        <v>0</v>
      </c>
      <c r="H23">
        <f t="shared" si="0"/>
        <v>0</v>
      </c>
      <c r="I23">
        <f t="shared" si="0"/>
        <v>0</v>
      </c>
      <c r="J23">
        <f t="shared" si="0"/>
        <v>0</v>
      </c>
      <c r="K23">
        <f t="shared" si="0"/>
        <v>102.48</v>
      </c>
      <c r="L23">
        <f t="shared" si="0"/>
        <v>98.56</v>
      </c>
      <c r="M23">
        <f t="shared" si="0"/>
        <v>101.13</v>
      </c>
      <c r="N23">
        <f t="shared" si="0"/>
        <v>103.97</v>
      </c>
      <c r="O23">
        <f t="shared" si="0"/>
        <v>106.05000000000001</v>
      </c>
      <c r="P23">
        <f t="shared" si="0"/>
        <v>105.23999999999998</v>
      </c>
      <c r="Q23">
        <f t="shared" si="0"/>
        <v>103.05000000000001</v>
      </c>
      <c r="R23">
        <f t="shared" si="0"/>
        <v>105.64</v>
      </c>
      <c r="S23">
        <f t="shared" si="0"/>
        <v>105.4</v>
      </c>
      <c r="T23">
        <f t="shared" si="0"/>
        <v>107.26</v>
      </c>
      <c r="U23">
        <f t="shared" si="0"/>
        <v>105.51999999999998</v>
      </c>
      <c r="V23">
        <f t="shared" si="0"/>
        <v>104.86999999999999</v>
      </c>
      <c r="W23">
        <f t="shared" si="0"/>
        <v>103.73</v>
      </c>
      <c r="X23">
        <f t="shared" si="0"/>
        <v>111.58</v>
      </c>
      <c r="Y23">
        <f t="shared" si="0"/>
        <v>107.27</v>
      </c>
      <c r="Z23">
        <f t="shared" si="0"/>
        <v>0</v>
      </c>
      <c r="AA23">
        <f t="shared" si="0"/>
        <v>0</v>
      </c>
      <c r="AB23">
        <f t="shared" si="0"/>
        <v>0</v>
      </c>
      <c r="AC23">
        <f t="shared" si="0"/>
        <v>0</v>
      </c>
      <c r="AD23">
        <f t="shared" si="0"/>
        <v>0</v>
      </c>
      <c r="AE23">
        <f t="shared" si="0"/>
        <v>0</v>
      </c>
      <c r="AF23">
        <f t="shared" si="0"/>
        <v>0</v>
      </c>
      <c r="AG23">
        <f t="shared" si="0"/>
        <v>0</v>
      </c>
      <c r="AH23">
        <f t="shared" si="0"/>
        <v>0</v>
      </c>
      <c r="AI23">
        <f t="shared" si="0"/>
        <v>0</v>
      </c>
      <c r="AJ23">
        <f t="shared" si="0"/>
        <v>0</v>
      </c>
      <c r="AK23">
        <f t="shared" si="0"/>
        <v>0</v>
      </c>
      <c r="AL23">
        <f t="shared" si="0"/>
        <v>0</v>
      </c>
      <c r="AM23">
        <f t="shared" si="0"/>
        <v>0</v>
      </c>
      <c r="AN23">
        <f t="shared" si="0"/>
        <v>0</v>
      </c>
      <c r="AO23">
        <f t="shared" si="0"/>
        <v>0</v>
      </c>
      <c r="AP23">
        <f t="shared" si="0"/>
        <v>0</v>
      </c>
      <c r="AQ23">
        <f t="shared" si="0"/>
        <v>0</v>
      </c>
      <c r="AR23">
        <f t="shared" si="0"/>
        <v>0</v>
      </c>
      <c r="AS23">
        <f t="shared" si="0"/>
        <v>0</v>
      </c>
      <c r="AT23">
        <f t="shared" si="0"/>
        <v>0</v>
      </c>
      <c r="AU23">
        <f t="shared" si="0"/>
        <v>0</v>
      </c>
      <c r="AV23">
        <f t="shared" si="0"/>
        <v>0</v>
      </c>
      <c r="AW23">
        <f t="shared" si="0"/>
        <v>0</v>
      </c>
      <c r="AX23">
        <f t="shared" si="0"/>
        <v>0</v>
      </c>
      <c r="AY23">
        <f t="shared" si="0"/>
        <v>0</v>
      </c>
      <c r="AZ23">
        <f t="shared" si="0"/>
        <v>0</v>
      </c>
      <c r="BA23">
        <f t="shared" si="0"/>
        <v>0</v>
      </c>
      <c r="BB23">
        <f t="shared" si="0"/>
        <v>0</v>
      </c>
      <c r="BC23">
        <f t="shared" si="0"/>
        <v>0</v>
      </c>
      <c r="BD23">
        <f t="shared" si="0"/>
        <v>0</v>
      </c>
      <c r="BE23">
        <f t="shared" si="0"/>
        <v>0</v>
      </c>
      <c r="BF23">
        <f t="shared" si="0"/>
        <v>0</v>
      </c>
      <c r="BG23">
        <f t="shared" si="0"/>
        <v>0</v>
      </c>
      <c r="BH23">
        <f t="shared" si="0"/>
        <v>0</v>
      </c>
      <c r="BI23">
        <f t="shared" si="0"/>
        <v>0</v>
      </c>
      <c r="BJ23">
        <f t="shared" si="0"/>
        <v>0</v>
      </c>
      <c r="BK23">
        <f t="shared" si="0"/>
        <v>0</v>
      </c>
      <c r="BL23">
        <f t="shared" si="0"/>
        <v>0</v>
      </c>
      <c r="BM23">
        <f t="shared" si="0"/>
        <v>0</v>
      </c>
      <c r="BN23">
        <f t="shared" si="0"/>
        <v>0</v>
      </c>
      <c r="BO23">
        <f t="shared" si="0"/>
        <v>0</v>
      </c>
      <c r="BP23">
        <f t="shared" si="0"/>
        <v>0</v>
      </c>
      <c r="BQ23">
        <f t="shared" si="0"/>
        <v>0</v>
      </c>
      <c r="BR23">
        <f t="shared" ref="BR23:EC23" si="1">SUM(BR4:BR20)</f>
        <v>0</v>
      </c>
      <c r="BS23">
        <f t="shared" si="1"/>
        <v>0</v>
      </c>
      <c r="BT23">
        <f t="shared" si="1"/>
        <v>0</v>
      </c>
      <c r="BU23">
        <f t="shared" si="1"/>
        <v>0</v>
      </c>
      <c r="BV23">
        <f t="shared" si="1"/>
        <v>0</v>
      </c>
      <c r="BW23">
        <f t="shared" si="1"/>
        <v>0</v>
      </c>
      <c r="BX23">
        <f t="shared" si="1"/>
        <v>0</v>
      </c>
      <c r="BY23">
        <f t="shared" si="1"/>
        <v>0</v>
      </c>
      <c r="BZ23">
        <f t="shared" si="1"/>
        <v>0</v>
      </c>
      <c r="CA23">
        <f t="shared" si="1"/>
        <v>0</v>
      </c>
      <c r="CB23">
        <f t="shared" si="1"/>
        <v>0</v>
      </c>
      <c r="CC23">
        <f t="shared" si="1"/>
        <v>0</v>
      </c>
      <c r="CD23">
        <f t="shared" si="1"/>
        <v>0</v>
      </c>
      <c r="CE23">
        <f t="shared" si="1"/>
        <v>0</v>
      </c>
      <c r="CF23">
        <f t="shared" si="1"/>
        <v>0</v>
      </c>
      <c r="CG23">
        <f t="shared" si="1"/>
        <v>0</v>
      </c>
      <c r="CH23">
        <f t="shared" si="1"/>
        <v>0</v>
      </c>
      <c r="CI23">
        <f t="shared" si="1"/>
        <v>0</v>
      </c>
      <c r="CJ23">
        <f t="shared" si="1"/>
        <v>0</v>
      </c>
      <c r="CK23">
        <f t="shared" si="1"/>
        <v>0</v>
      </c>
      <c r="CL23">
        <f t="shared" si="1"/>
        <v>0</v>
      </c>
      <c r="CM23">
        <f t="shared" si="1"/>
        <v>0</v>
      </c>
      <c r="CN23">
        <f t="shared" si="1"/>
        <v>0</v>
      </c>
      <c r="CO23">
        <f t="shared" si="1"/>
        <v>0</v>
      </c>
      <c r="CP23">
        <f t="shared" si="1"/>
        <v>0</v>
      </c>
      <c r="CQ23">
        <f t="shared" si="1"/>
        <v>0</v>
      </c>
      <c r="CR23">
        <f t="shared" si="1"/>
        <v>0</v>
      </c>
      <c r="CS23">
        <f t="shared" si="1"/>
        <v>0</v>
      </c>
      <c r="CT23">
        <f t="shared" si="1"/>
        <v>0</v>
      </c>
      <c r="CU23">
        <f t="shared" si="1"/>
        <v>0</v>
      </c>
      <c r="CV23">
        <f t="shared" si="1"/>
        <v>0</v>
      </c>
      <c r="CW23">
        <f t="shared" si="1"/>
        <v>0</v>
      </c>
      <c r="CX23">
        <f t="shared" si="1"/>
        <v>0</v>
      </c>
      <c r="CY23">
        <f t="shared" si="1"/>
        <v>0</v>
      </c>
      <c r="CZ23">
        <f t="shared" si="1"/>
        <v>0</v>
      </c>
      <c r="DA23">
        <f t="shared" si="1"/>
        <v>0</v>
      </c>
      <c r="DB23">
        <f t="shared" si="1"/>
        <v>0</v>
      </c>
      <c r="DC23">
        <f t="shared" si="1"/>
        <v>0</v>
      </c>
      <c r="DD23">
        <f t="shared" si="1"/>
        <v>0</v>
      </c>
      <c r="DE23">
        <f t="shared" si="1"/>
        <v>0</v>
      </c>
      <c r="DF23">
        <f t="shared" si="1"/>
        <v>0</v>
      </c>
      <c r="DG23">
        <f t="shared" si="1"/>
        <v>0</v>
      </c>
      <c r="DH23">
        <f t="shared" si="1"/>
        <v>0</v>
      </c>
      <c r="DI23">
        <f t="shared" si="1"/>
        <v>0</v>
      </c>
      <c r="DJ23">
        <f t="shared" si="1"/>
        <v>0</v>
      </c>
      <c r="DK23">
        <f t="shared" si="1"/>
        <v>0</v>
      </c>
      <c r="DL23">
        <f t="shared" si="1"/>
        <v>0</v>
      </c>
      <c r="DM23">
        <f t="shared" si="1"/>
        <v>0</v>
      </c>
      <c r="DN23">
        <f t="shared" si="1"/>
        <v>0</v>
      </c>
      <c r="DO23">
        <f t="shared" si="1"/>
        <v>0</v>
      </c>
      <c r="DP23">
        <f t="shared" si="1"/>
        <v>0</v>
      </c>
      <c r="DQ23">
        <f t="shared" si="1"/>
        <v>0</v>
      </c>
      <c r="DR23">
        <f t="shared" si="1"/>
        <v>0</v>
      </c>
      <c r="DS23">
        <f t="shared" si="1"/>
        <v>0</v>
      </c>
      <c r="DT23">
        <f t="shared" si="1"/>
        <v>0</v>
      </c>
      <c r="DU23">
        <f t="shared" si="1"/>
        <v>0</v>
      </c>
      <c r="DV23">
        <f t="shared" si="1"/>
        <v>0</v>
      </c>
      <c r="DW23">
        <f t="shared" si="1"/>
        <v>0</v>
      </c>
      <c r="DX23">
        <f t="shared" si="1"/>
        <v>0</v>
      </c>
      <c r="DY23">
        <f t="shared" si="1"/>
        <v>0</v>
      </c>
      <c r="DZ23">
        <f t="shared" si="1"/>
        <v>0</v>
      </c>
      <c r="EA23">
        <f t="shared" si="1"/>
        <v>0</v>
      </c>
      <c r="EB23">
        <f t="shared" si="1"/>
        <v>0</v>
      </c>
      <c r="EC23">
        <f t="shared" si="1"/>
        <v>0</v>
      </c>
      <c r="ED23">
        <f t="shared" ref="ED23:FU23" si="2">SUM(ED4:ED20)</f>
        <v>0</v>
      </c>
      <c r="EE23">
        <f t="shared" si="2"/>
        <v>0</v>
      </c>
      <c r="EF23">
        <f t="shared" si="2"/>
        <v>0</v>
      </c>
      <c r="EG23">
        <f t="shared" si="2"/>
        <v>0</v>
      </c>
      <c r="EH23">
        <f t="shared" si="2"/>
        <v>0</v>
      </c>
      <c r="EI23">
        <f t="shared" si="2"/>
        <v>0</v>
      </c>
      <c r="EJ23">
        <f t="shared" si="2"/>
        <v>0</v>
      </c>
      <c r="EK23">
        <f t="shared" si="2"/>
        <v>0</v>
      </c>
      <c r="EL23">
        <f t="shared" si="2"/>
        <v>0</v>
      </c>
      <c r="EM23">
        <f t="shared" si="2"/>
        <v>0</v>
      </c>
      <c r="EN23">
        <f t="shared" si="2"/>
        <v>0</v>
      </c>
      <c r="EO23">
        <f t="shared" si="2"/>
        <v>0</v>
      </c>
      <c r="EP23">
        <f t="shared" si="2"/>
        <v>0</v>
      </c>
      <c r="EQ23">
        <f t="shared" si="2"/>
        <v>0</v>
      </c>
      <c r="ER23">
        <f t="shared" si="2"/>
        <v>0</v>
      </c>
      <c r="ES23">
        <f t="shared" si="2"/>
        <v>0</v>
      </c>
      <c r="ET23">
        <f t="shared" si="2"/>
        <v>0</v>
      </c>
      <c r="EU23">
        <f t="shared" si="2"/>
        <v>0</v>
      </c>
      <c r="EV23">
        <f t="shared" si="2"/>
        <v>0</v>
      </c>
      <c r="EW23">
        <f t="shared" si="2"/>
        <v>0</v>
      </c>
      <c r="EX23">
        <f t="shared" si="2"/>
        <v>0</v>
      </c>
      <c r="EY23">
        <f t="shared" si="2"/>
        <v>0</v>
      </c>
      <c r="EZ23">
        <f t="shared" si="2"/>
        <v>0</v>
      </c>
      <c r="FA23">
        <f t="shared" si="2"/>
        <v>0</v>
      </c>
      <c r="FB23">
        <f t="shared" si="2"/>
        <v>0</v>
      </c>
      <c r="FC23">
        <f t="shared" si="2"/>
        <v>0</v>
      </c>
      <c r="FD23">
        <f t="shared" si="2"/>
        <v>0</v>
      </c>
      <c r="FE23">
        <f t="shared" si="2"/>
        <v>0</v>
      </c>
      <c r="FF23">
        <f t="shared" si="2"/>
        <v>0</v>
      </c>
      <c r="FG23">
        <f t="shared" si="2"/>
        <v>0</v>
      </c>
      <c r="FH23">
        <f t="shared" si="2"/>
        <v>0</v>
      </c>
      <c r="FI23">
        <f t="shared" si="2"/>
        <v>0</v>
      </c>
      <c r="FJ23">
        <f t="shared" si="2"/>
        <v>0</v>
      </c>
      <c r="FK23">
        <f t="shared" si="2"/>
        <v>0</v>
      </c>
      <c r="FL23">
        <f t="shared" si="2"/>
        <v>0</v>
      </c>
      <c r="FM23">
        <f t="shared" si="2"/>
        <v>0</v>
      </c>
      <c r="FN23">
        <f t="shared" si="2"/>
        <v>0</v>
      </c>
      <c r="FO23">
        <f t="shared" si="2"/>
        <v>0</v>
      </c>
      <c r="FP23">
        <f t="shared" si="2"/>
        <v>0</v>
      </c>
      <c r="FQ23">
        <f t="shared" si="2"/>
        <v>0</v>
      </c>
      <c r="FR23">
        <f t="shared" si="2"/>
        <v>0</v>
      </c>
      <c r="FS23">
        <f t="shared" si="2"/>
        <v>0</v>
      </c>
      <c r="FT23">
        <f t="shared" si="2"/>
        <v>0</v>
      </c>
      <c r="FU23">
        <f t="shared" si="2"/>
        <v>0</v>
      </c>
    </row>
    <row r="30" spans="1:177" x14ac:dyDescent="0.25">
      <c r="A30" s="1" t="s">
        <v>0</v>
      </c>
      <c r="B30" s="1" t="s">
        <v>1</v>
      </c>
      <c r="C30" s="1" t="s">
        <v>2</v>
      </c>
      <c r="D30" s="1" t="s">
        <v>8</v>
      </c>
      <c r="E30" s="2">
        <f>E3</f>
        <v>44331</v>
      </c>
      <c r="F30" s="2">
        <f t="shared" ref="F30:BQ30" si="3">F3</f>
        <v>44332</v>
      </c>
      <c r="G30" s="2">
        <f t="shared" si="3"/>
        <v>44334</v>
      </c>
      <c r="H30" s="2">
        <f t="shared" si="3"/>
        <v>44336</v>
      </c>
      <c r="I30" s="2">
        <f t="shared" si="3"/>
        <v>44337</v>
      </c>
      <c r="J30" s="2">
        <f t="shared" si="3"/>
        <v>44338</v>
      </c>
      <c r="K30" s="2">
        <f t="shared" si="3"/>
        <v>44339</v>
      </c>
      <c r="L30" s="2">
        <f t="shared" si="3"/>
        <v>44340</v>
      </c>
      <c r="M30" s="2">
        <f t="shared" si="3"/>
        <v>44341</v>
      </c>
      <c r="N30" s="2">
        <f t="shared" si="3"/>
        <v>44342</v>
      </c>
      <c r="O30" s="2">
        <f t="shared" si="3"/>
        <v>44343</v>
      </c>
      <c r="P30" s="2">
        <f t="shared" si="3"/>
        <v>44344</v>
      </c>
      <c r="Q30" s="2">
        <f t="shared" si="3"/>
        <v>44345</v>
      </c>
      <c r="R30" s="2">
        <f t="shared" si="3"/>
        <v>44346</v>
      </c>
      <c r="S30" s="2">
        <f t="shared" si="3"/>
        <v>44347</v>
      </c>
      <c r="T30" s="2">
        <f t="shared" si="3"/>
        <v>44348</v>
      </c>
      <c r="U30" s="2">
        <f t="shared" si="3"/>
        <v>44349</v>
      </c>
      <c r="V30" s="2">
        <f t="shared" si="3"/>
        <v>44350</v>
      </c>
      <c r="W30" s="2">
        <f t="shared" si="3"/>
        <v>44351</v>
      </c>
      <c r="X30" s="2">
        <f t="shared" si="3"/>
        <v>44352</v>
      </c>
      <c r="Y30" s="2">
        <f t="shared" si="3"/>
        <v>44353</v>
      </c>
      <c r="Z30" s="2">
        <f t="shared" si="3"/>
        <v>44354</v>
      </c>
      <c r="AA30" s="2">
        <f t="shared" si="3"/>
        <v>44355</v>
      </c>
      <c r="AB30" s="2">
        <f t="shared" si="3"/>
        <v>44356</v>
      </c>
      <c r="AC30" s="2">
        <f t="shared" si="3"/>
        <v>44357</v>
      </c>
      <c r="AD30" s="2">
        <f t="shared" si="3"/>
        <v>44358</v>
      </c>
      <c r="AE30" s="2">
        <f t="shared" si="3"/>
        <v>44359</v>
      </c>
      <c r="AF30" s="2">
        <f t="shared" si="3"/>
        <v>44360</v>
      </c>
      <c r="AG30" s="2">
        <f t="shared" si="3"/>
        <v>44361</v>
      </c>
      <c r="AH30" s="2">
        <f t="shared" si="3"/>
        <v>44362</v>
      </c>
      <c r="AI30" s="2">
        <f t="shared" si="3"/>
        <v>44363</v>
      </c>
      <c r="AJ30" s="2">
        <f t="shared" si="3"/>
        <v>44364</v>
      </c>
      <c r="AK30" s="2">
        <f t="shared" si="3"/>
        <v>44365</v>
      </c>
      <c r="AL30" s="2">
        <f t="shared" si="3"/>
        <v>44366</v>
      </c>
      <c r="AM30" s="2">
        <f t="shared" si="3"/>
        <v>44367</v>
      </c>
      <c r="AN30" s="2">
        <f t="shared" si="3"/>
        <v>44368</v>
      </c>
      <c r="AO30" s="2">
        <f t="shared" si="3"/>
        <v>44369</v>
      </c>
      <c r="AP30" s="2">
        <f t="shared" si="3"/>
        <v>44370</v>
      </c>
      <c r="AQ30" s="2">
        <f t="shared" si="3"/>
        <v>44371</v>
      </c>
      <c r="AR30" s="2">
        <f t="shared" si="3"/>
        <v>44372</v>
      </c>
      <c r="AS30" s="2">
        <f t="shared" si="3"/>
        <v>44373</v>
      </c>
      <c r="AT30" s="2">
        <f t="shared" si="3"/>
        <v>44374</v>
      </c>
      <c r="AU30" s="2">
        <f t="shared" si="3"/>
        <v>44375</v>
      </c>
      <c r="AV30" s="2">
        <f t="shared" si="3"/>
        <v>44376</v>
      </c>
      <c r="AW30" s="2">
        <f t="shared" si="3"/>
        <v>44377</v>
      </c>
      <c r="AX30" s="2">
        <f t="shared" si="3"/>
        <v>44378</v>
      </c>
      <c r="AY30" s="2">
        <f t="shared" si="3"/>
        <v>44379</v>
      </c>
      <c r="AZ30" s="2">
        <f t="shared" si="3"/>
        <v>44380</v>
      </c>
      <c r="BA30" s="2">
        <f t="shared" si="3"/>
        <v>44381</v>
      </c>
      <c r="BB30" s="2">
        <f t="shared" si="3"/>
        <v>44382</v>
      </c>
      <c r="BC30" s="2">
        <f t="shared" si="3"/>
        <v>44383</v>
      </c>
      <c r="BD30" s="2">
        <f t="shared" si="3"/>
        <v>44384</v>
      </c>
      <c r="BE30" s="2">
        <f t="shared" si="3"/>
        <v>44385</v>
      </c>
      <c r="BF30" s="2">
        <f t="shared" si="3"/>
        <v>44386</v>
      </c>
      <c r="BG30" s="2">
        <f t="shared" si="3"/>
        <v>44387</v>
      </c>
      <c r="BH30" s="2">
        <f t="shared" si="3"/>
        <v>44388</v>
      </c>
      <c r="BI30" s="2">
        <f t="shared" si="3"/>
        <v>44389</v>
      </c>
      <c r="BJ30" s="2">
        <f t="shared" si="3"/>
        <v>44390</v>
      </c>
      <c r="BK30" s="2">
        <f t="shared" si="3"/>
        <v>44391</v>
      </c>
      <c r="BL30" s="2">
        <f t="shared" si="3"/>
        <v>44392</v>
      </c>
      <c r="BM30" s="2">
        <f t="shared" si="3"/>
        <v>44393</v>
      </c>
      <c r="BN30" s="2">
        <f t="shared" si="3"/>
        <v>44394</v>
      </c>
      <c r="BO30" s="2">
        <f t="shared" si="3"/>
        <v>44395</v>
      </c>
      <c r="BP30" s="2">
        <f t="shared" si="3"/>
        <v>44396</v>
      </c>
      <c r="BQ30" s="2">
        <f t="shared" si="3"/>
        <v>44397</v>
      </c>
      <c r="BR30" s="2">
        <f t="shared" ref="BR30:EC30" si="4">BR3</f>
        <v>44398</v>
      </c>
      <c r="BS30" s="2">
        <f t="shared" si="4"/>
        <v>44399</v>
      </c>
      <c r="BT30" s="2">
        <f t="shared" si="4"/>
        <v>44400</v>
      </c>
      <c r="BU30" s="2">
        <f t="shared" si="4"/>
        <v>44401</v>
      </c>
      <c r="BV30" s="2">
        <f t="shared" si="4"/>
        <v>44402</v>
      </c>
      <c r="BW30" s="2">
        <f t="shared" si="4"/>
        <v>44403</v>
      </c>
      <c r="BX30" s="2">
        <f t="shared" si="4"/>
        <v>44404</v>
      </c>
      <c r="BY30" s="2">
        <f t="shared" si="4"/>
        <v>44405</v>
      </c>
      <c r="BZ30" s="2">
        <f t="shared" si="4"/>
        <v>44406</v>
      </c>
      <c r="CA30" s="2">
        <f t="shared" si="4"/>
        <v>44407</v>
      </c>
      <c r="CB30" s="2">
        <f t="shared" si="4"/>
        <v>44408</v>
      </c>
      <c r="CC30" s="2">
        <f t="shared" si="4"/>
        <v>44409</v>
      </c>
      <c r="CD30" s="2">
        <f t="shared" si="4"/>
        <v>44410</v>
      </c>
      <c r="CE30" s="2">
        <f t="shared" si="4"/>
        <v>44411</v>
      </c>
      <c r="CF30" s="2">
        <f t="shared" si="4"/>
        <v>44412</v>
      </c>
      <c r="CG30" s="2">
        <f t="shared" si="4"/>
        <v>44413</v>
      </c>
      <c r="CH30" s="2">
        <f t="shared" si="4"/>
        <v>44414</v>
      </c>
      <c r="CI30" s="2">
        <f t="shared" si="4"/>
        <v>44415</v>
      </c>
      <c r="CJ30" s="2">
        <f t="shared" si="4"/>
        <v>44416</v>
      </c>
      <c r="CK30" s="2">
        <f t="shared" si="4"/>
        <v>44417</v>
      </c>
      <c r="CL30" s="2">
        <f t="shared" si="4"/>
        <v>44418</v>
      </c>
      <c r="CM30" s="2">
        <f t="shared" si="4"/>
        <v>44419</v>
      </c>
      <c r="CN30" s="2">
        <f t="shared" si="4"/>
        <v>44420</v>
      </c>
      <c r="CO30" s="2">
        <f t="shared" si="4"/>
        <v>44421</v>
      </c>
      <c r="CP30" s="2">
        <f t="shared" si="4"/>
        <v>44422</v>
      </c>
      <c r="CQ30" s="2">
        <f t="shared" si="4"/>
        <v>44423</v>
      </c>
      <c r="CR30" s="2">
        <f t="shared" si="4"/>
        <v>44424</v>
      </c>
      <c r="CS30" s="2">
        <f t="shared" si="4"/>
        <v>44425</v>
      </c>
      <c r="CT30" s="2">
        <f t="shared" si="4"/>
        <v>44426</v>
      </c>
      <c r="CU30" s="2">
        <f t="shared" si="4"/>
        <v>44427</v>
      </c>
      <c r="CV30" s="2">
        <f t="shared" si="4"/>
        <v>44428</v>
      </c>
      <c r="CW30" s="2">
        <f t="shared" si="4"/>
        <v>44429</v>
      </c>
      <c r="CX30" s="2">
        <f t="shared" si="4"/>
        <v>44430</v>
      </c>
      <c r="CY30" s="2">
        <f t="shared" si="4"/>
        <v>44431</v>
      </c>
      <c r="CZ30" s="2">
        <f t="shared" si="4"/>
        <v>44432</v>
      </c>
      <c r="DA30" s="2">
        <f t="shared" si="4"/>
        <v>44433</v>
      </c>
      <c r="DB30" s="2">
        <f t="shared" si="4"/>
        <v>44434</v>
      </c>
      <c r="DC30" s="2">
        <f t="shared" si="4"/>
        <v>44435</v>
      </c>
      <c r="DD30" s="2">
        <f t="shared" si="4"/>
        <v>44436</v>
      </c>
      <c r="DE30" s="2">
        <f t="shared" si="4"/>
        <v>44437</v>
      </c>
      <c r="DF30" s="2">
        <f t="shared" si="4"/>
        <v>44438</v>
      </c>
      <c r="DG30" s="2">
        <f t="shared" si="4"/>
        <v>44439</v>
      </c>
      <c r="DH30" s="2">
        <f t="shared" si="4"/>
        <v>44440</v>
      </c>
      <c r="DI30" s="2">
        <f t="shared" si="4"/>
        <v>44441</v>
      </c>
      <c r="DJ30" s="2">
        <f t="shared" si="4"/>
        <v>44442</v>
      </c>
      <c r="DK30" s="2">
        <f t="shared" si="4"/>
        <v>44443</v>
      </c>
      <c r="DL30" s="2">
        <f t="shared" si="4"/>
        <v>44444</v>
      </c>
      <c r="DM30" s="2">
        <f t="shared" si="4"/>
        <v>44445</v>
      </c>
      <c r="DN30" s="2">
        <f t="shared" si="4"/>
        <v>44446</v>
      </c>
      <c r="DO30" s="2">
        <f t="shared" si="4"/>
        <v>44447</v>
      </c>
      <c r="DP30" s="2">
        <f t="shared" si="4"/>
        <v>44448</v>
      </c>
      <c r="DQ30" s="2">
        <f t="shared" si="4"/>
        <v>44449</v>
      </c>
      <c r="DR30" s="2">
        <f t="shared" si="4"/>
        <v>44450</v>
      </c>
      <c r="DS30" s="2">
        <f t="shared" si="4"/>
        <v>44451</v>
      </c>
      <c r="DT30" s="2">
        <f t="shared" si="4"/>
        <v>44452</v>
      </c>
      <c r="DU30" s="2">
        <f t="shared" si="4"/>
        <v>44453</v>
      </c>
      <c r="DV30" s="2">
        <f t="shared" si="4"/>
        <v>44454</v>
      </c>
      <c r="DW30" s="2">
        <f t="shared" si="4"/>
        <v>44455</v>
      </c>
      <c r="DX30" s="2">
        <f t="shared" si="4"/>
        <v>44456</v>
      </c>
      <c r="DY30" s="2">
        <f t="shared" si="4"/>
        <v>44457</v>
      </c>
      <c r="DZ30" s="2">
        <f t="shared" si="4"/>
        <v>44458</v>
      </c>
      <c r="EA30" s="2">
        <f t="shared" si="4"/>
        <v>44459</v>
      </c>
      <c r="EB30" s="2">
        <f t="shared" si="4"/>
        <v>44460</v>
      </c>
      <c r="EC30" s="2">
        <f t="shared" si="4"/>
        <v>44461</v>
      </c>
      <c r="ED30" s="2">
        <f t="shared" ref="ED30:FU30" si="5">ED3</f>
        <v>44462</v>
      </c>
      <c r="EE30" s="2">
        <f t="shared" si="5"/>
        <v>44463</v>
      </c>
      <c r="EF30" s="2">
        <f t="shared" si="5"/>
        <v>44464</v>
      </c>
      <c r="EG30" s="2">
        <f t="shared" si="5"/>
        <v>44465</v>
      </c>
      <c r="EH30" s="2">
        <f t="shared" si="5"/>
        <v>44466</v>
      </c>
      <c r="EI30" s="2">
        <f t="shared" si="5"/>
        <v>44467</v>
      </c>
      <c r="EJ30" s="2">
        <f t="shared" si="5"/>
        <v>44468</v>
      </c>
      <c r="EK30" s="2">
        <f t="shared" si="5"/>
        <v>44469</v>
      </c>
      <c r="EL30" s="2">
        <f t="shared" si="5"/>
        <v>44470</v>
      </c>
      <c r="EM30" s="2">
        <f t="shared" si="5"/>
        <v>44471</v>
      </c>
      <c r="EN30" s="2">
        <f t="shared" si="5"/>
        <v>44472</v>
      </c>
      <c r="EO30" s="2">
        <f t="shared" si="5"/>
        <v>44473</v>
      </c>
      <c r="EP30" s="2">
        <f t="shared" si="5"/>
        <v>44474</v>
      </c>
      <c r="EQ30" s="2">
        <f t="shared" si="5"/>
        <v>44475</v>
      </c>
      <c r="ER30" s="2">
        <f t="shared" si="5"/>
        <v>44476</v>
      </c>
      <c r="ES30" s="2">
        <f t="shared" si="5"/>
        <v>44477</v>
      </c>
      <c r="ET30" s="2">
        <f t="shared" si="5"/>
        <v>44478</v>
      </c>
      <c r="EU30" s="2">
        <f t="shared" si="5"/>
        <v>44479</v>
      </c>
      <c r="EV30" s="2">
        <f t="shared" si="5"/>
        <v>44480</v>
      </c>
      <c r="EW30" s="2">
        <f t="shared" si="5"/>
        <v>44481</v>
      </c>
      <c r="EX30" s="2">
        <f t="shared" si="5"/>
        <v>44482</v>
      </c>
      <c r="EY30" s="2">
        <f t="shared" si="5"/>
        <v>44483</v>
      </c>
      <c r="EZ30" s="2">
        <f t="shared" si="5"/>
        <v>44484</v>
      </c>
      <c r="FA30" s="2">
        <f t="shared" si="5"/>
        <v>44485</v>
      </c>
      <c r="FB30" s="2">
        <f t="shared" si="5"/>
        <v>44486</v>
      </c>
      <c r="FC30" s="2">
        <f t="shared" si="5"/>
        <v>44487</v>
      </c>
      <c r="FD30" s="2">
        <f t="shared" si="5"/>
        <v>44488</v>
      </c>
      <c r="FE30" s="2">
        <f t="shared" si="5"/>
        <v>44489</v>
      </c>
      <c r="FF30" s="2">
        <f t="shared" si="5"/>
        <v>44490</v>
      </c>
      <c r="FG30" s="2">
        <f t="shared" si="5"/>
        <v>44491</v>
      </c>
      <c r="FH30" s="2">
        <f t="shared" si="5"/>
        <v>44492</v>
      </c>
      <c r="FI30" s="2">
        <f t="shared" si="5"/>
        <v>44493</v>
      </c>
      <c r="FJ30" s="2">
        <f t="shared" si="5"/>
        <v>44494</v>
      </c>
      <c r="FK30" s="2">
        <f t="shared" si="5"/>
        <v>44495</v>
      </c>
      <c r="FL30" s="2">
        <f t="shared" si="5"/>
        <v>44496</v>
      </c>
      <c r="FM30" s="2">
        <f t="shared" si="5"/>
        <v>44497</v>
      </c>
      <c r="FN30" s="2">
        <f t="shared" si="5"/>
        <v>44498</v>
      </c>
      <c r="FO30" s="2">
        <f t="shared" si="5"/>
        <v>44499</v>
      </c>
      <c r="FP30" s="2">
        <f t="shared" si="5"/>
        <v>44500</v>
      </c>
      <c r="FQ30" s="2">
        <f t="shared" si="5"/>
        <v>44501</v>
      </c>
      <c r="FR30" s="2">
        <f t="shared" si="5"/>
        <v>44502</v>
      </c>
      <c r="FS30" s="2">
        <f t="shared" si="5"/>
        <v>44503</v>
      </c>
      <c r="FT30" s="2">
        <f t="shared" si="5"/>
        <v>44504</v>
      </c>
      <c r="FU30" s="2">
        <f t="shared" si="5"/>
        <v>44505</v>
      </c>
    </row>
    <row r="31" spans="1:177" x14ac:dyDescent="0.25">
      <c r="A31" t="str">
        <f>A4</f>
        <v>SSG 08</v>
      </c>
      <c r="B31" t="str">
        <f t="shared" ref="B31:D31" si="6">B4</f>
        <v>Necropos MW</v>
      </c>
      <c r="C31" t="str">
        <f t="shared" si="6"/>
        <v>Other Rifle</v>
      </c>
      <c r="D31" t="str">
        <f t="shared" si="6"/>
        <v>Wildfire</v>
      </c>
      <c r="E31">
        <f>E4-ROUNDUP(E4*0.3,2)</f>
        <v>0</v>
      </c>
      <c r="F31">
        <f t="shared" ref="F31:BQ32" si="7">F4-ROUNDUP(F4*0.3,2)</f>
        <v>0</v>
      </c>
      <c r="G31">
        <f t="shared" si="7"/>
        <v>0</v>
      </c>
      <c r="H31">
        <f t="shared" si="7"/>
        <v>0</v>
      </c>
      <c r="I31">
        <f t="shared" si="7"/>
        <v>0</v>
      </c>
      <c r="J31">
        <f t="shared" si="7"/>
        <v>0</v>
      </c>
      <c r="K31">
        <f t="shared" si="7"/>
        <v>0.23000000000000004</v>
      </c>
      <c r="L31">
        <f t="shared" si="7"/>
        <v>0.21</v>
      </c>
      <c r="M31">
        <f t="shared" si="7"/>
        <v>0.22000000000000003</v>
      </c>
      <c r="N31">
        <f t="shared" si="7"/>
        <v>0.22000000000000003</v>
      </c>
      <c r="O31">
        <f t="shared" si="7"/>
        <v>0.22000000000000003</v>
      </c>
      <c r="P31">
        <f t="shared" si="7"/>
        <v>0.21000000000000002</v>
      </c>
      <c r="Q31">
        <f t="shared" si="7"/>
        <v>0.21</v>
      </c>
      <c r="R31">
        <f t="shared" si="7"/>
        <v>0.22000000000000003</v>
      </c>
      <c r="S31">
        <f t="shared" si="7"/>
        <v>0.21000000000000002</v>
      </c>
      <c r="T31">
        <f t="shared" si="7"/>
        <v>0.21000000000000002</v>
      </c>
      <c r="U31">
        <f t="shared" si="7"/>
        <v>0.21000000000000002</v>
      </c>
      <c r="V31">
        <f t="shared" si="7"/>
        <v>0.21000000000000002</v>
      </c>
      <c r="W31">
        <f t="shared" si="7"/>
        <v>0.19999999999999998</v>
      </c>
      <c r="X31">
        <f t="shared" si="7"/>
        <v>0.21</v>
      </c>
      <c r="Y31">
        <f t="shared" si="7"/>
        <v>0.22000000000000003</v>
      </c>
      <c r="Z31">
        <f t="shared" si="7"/>
        <v>0</v>
      </c>
      <c r="AA31">
        <f t="shared" si="7"/>
        <v>0</v>
      </c>
      <c r="AB31">
        <f t="shared" si="7"/>
        <v>0</v>
      </c>
      <c r="AC31">
        <f t="shared" si="7"/>
        <v>0</v>
      </c>
      <c r="AD31">
        <f t="shared" si="7"/>
        <v>0</v>
      </c>
      <c r="AE31">
        <f t="shared" si="7"/>
        <v>0</v>
      </c>
      <c r="AF31">
        <f t="shared" si="7"/>
        <v>0</v>
      </c>
      <c r="AG31">
        <f t="shared" si="7"/>
        <v>0</v>
      </c>
      <c r="AH31">
        <f t="shared" si="7"/>
        <v>0</v>
      </c>
      <c r="AI31">
        <f t="shared" si="7"/>
        <v>0</v>
      </c>
      <c r="AJ31">
        <f t="shared" si="7"/>
        <v>0</v>
      </c>
      <c r="AK31">
        <f t="shared" si="7"/>
        <v>0</v>
      </c>
      <c r="AL31">
        <f t="shared" si="7"/>
        <v>0</v>
      </c>
      <c r="AM31">
        <f t="shared" si="7"/>
        <v>0</v>
      </c>
      <c r="AN31">
        <f t="shared" si="7"/>
        <v>0</v>
      </c>
      <c r="AO31">
        <f t="shared" si="7"/>
        <v>0</v>
      </c>
      <c r="AP31">
        <f t="shared" si="7"/>
        <v>0</v>
      </c>
      <c r="AQ31">
        <f t="shared" si="7"/>
        <v>0</v>
      </c>
      <c r="AR31">
        <f t="shared" si="7"/>
        <v>0</v>
      </c>
      <c r="AS31">
        <f t="shared" si="7"/>
        <v>0</v>
      </c>
      <c r="AT31">
        <f t="shared" si="7"/>
        <v>0</v>
      </c>
      <c r="AU31">
        <f t="shared" si="7"/>
        <v>0</v>
      </c>
      <c r="AV31">
        <f t="shared" si="7"/>
        <v>0</v>
      </c>
      <c r="AW31">
        <f t="shared" si="7"/>
        <v>0</v>
      </c>
      <c r="AX31">
        <f t="shared" si="7"/>
        <v>0</v>
      </c>
      <c r="AY31">
        <f t="shared" si="7"/>
        <v>0</v>
      </c>
      <c r="AZ31">
        <f t="shared" si="7"/>
        <v>0</v>
      </c>
      <c r="BA31">
        <f t="shared" si="7"/>
        <v>0</v>
      </c>
      <c r="BB31">
        <f t="shared" si="7"/>
        <v>0</v>
      </c>
      <c r="BC31">
        <f t="shared" si="7"/>
        <v>0</v>
      </c>
      <c r="BD31">
        <f t="shared" si="7"/>
        <v>0</v>
      </c>
      <c r="BE31">
        <f t="shared" si="7"/>
        <v>0</v>
      </c>
      <c r="BF31">
        <f t="shared" si="7"/>
        <v>0</v>
      </c>
      <c r="BG31">
        <f t="shared" si="7"/>
        <v>0</v>
      </c>
      <c r="BH31">
        <f t="shared" si="7"/>
        <v>0</v>
      </c>
      <c r="BI31">
        <f t="shared" si="7"/>
        <v>0</v>
      </c>
      <c r="BJ31">
        <f t="shared" si="7"/>
        <v>0</v>
      </c>
      <c r="BK31">
        <f t="shared" si="7"/>
        <v>0</v>
      </c>
      <c r="BL31">
        <f t="shared" si="7"/>
        <v>0</v>
      </c>
      <c r="BM31">
        <f t="shared" si="7"/>
        <v>0</v>
      </c>
      <c r="BN31">
        <f t="shared" si="7"/>
        <v>0</v>
      </c>
      <c r="BO31">
        <f t="shared" si="7"/>
        <v>0</v>
      </c>
      <c r="BP31">
        <f t="shared" si="7"/>
        <v>0</v>
      </c>
      <c r="BQ31">
        <f t="shared" si="7"/>
        <v>0</v>
      </c>
      <c r="BR31">
        <f t="shared" ref="BR31:EC34" si="8">BR4-ROUNDUP(BR4*0.3,2)</f>
        <v>0</v>
      </c>
      <c r="BS31">
        <f t="shared" si="8"/>
        <v>0</v>
      </c>
      <c r="BT31">
        <f t="shared" si="8"/>
        <v>0</v>
      </c>
      <c r="BU31">
        <f t="shared" si="8"/>
        <v>0</v>
      </c>
      <c r="BV31">
        <f t="shared" si="8"/>
        <v>0</v>
      </c>
      <c r="BW31">
        <f t="shared" si="8"/>
        <v>0</v>
      </c>
      <c r="BX31">
        <f t="shared" si="8"/>
        <v>0</v>
      </c>
      <c r="BY31">
        <f t="shared" si="8"/>
        <v>0</v>
      </c>
      <c r="BZ31">
        <f t="shared" si="8"/>
        <v>0</v>
      </c>
      <c r="CA31">
        <f t="shared" si="8"/>
        <v>0</v>
      </c>
      <c r="CB31">
        <f t="shared" si="8"/>
        <v>0</v>
      </c>
      <c r="CC31">
        <f t="shared" si="8"/>
        <v>0</v>
      </c>
      <c r="CD31">
        <f t="shared" si="8"/>
        <v>0</v>
      </c>
      <c r="CE31">
        <f t="shared" si="8"/>
        <v>0</v>
      </c>
      <c r="CF31">
        <f t="shared" si="8"/>
        <v>0</v>
      </c>
      <c r="CG31">
        <f t="shared" si="8"/>
        <v>0</v>
      </c>
      <c r="CH31">
        <f t="shared" si="8"/>
        <v>0</v>
      </c>
      <c r="CI31">
        <f t="shared" si="8"/>
        <v>0</v>
      </c>
      <c r="CJ31">
        <f t="shared" si="8"/>
        <v>0</v>
      </c>
      <c r="CK31">
        <f t="shared" si="8"/>
        <v>0</v>
      </c>
      <c r="CL31">
        <f t="shared" si="8"/>
        <v>0</v>
      </c>
      <c r="CM31">
        <f t="shared" si="8"/>
        <v>0</v>
      </c>
      <c r="CN31">
        <f t="shared" si="8"/>
        <v>0</v>
      </c>
      <c r="CO31">
        <f t="shared" si="8"/>
        <v>0</v>
      </c>
      <c r="CP31">
        <f t="shared" si="8"/>
        <v>0</v>
      </c>
      <c r="CQ31">
        <f t="shared" si="8"/>
        <v>0</v>
      </c>
      <c r="CR31">
        <f t="shared" si="8"/>
        <v>0</v>
      </c>
      <c r="CS31">
        <f t="shared" si="8"/>
        <v>0</v>
      </c>
      <c r="CT31">
        <f t="shared" si="8"/>
        <v>0</v>
      </c>
      <c r="CU31">
        <f t="shared" si="8"/>
        <v>0</v>
      </c>
      <c r="CV31">
        <f t="shared" si="8"/>
        <v>0</v>
      </c>
      <c r="CW31">
        <f t="shared" si="8"/>
        <v>0</v>
      </c>
      <c r="CX31">
        <f t="shared" si="8"/>
        <v>0</v>
      </c>
      <c r="CY31">
        <f t="shared" si="8"/>
        <v>0</v>
      </c>
      <c r="CZ31">
        <f t="shared" si="8"/>
        <v>0</v>
      </c>
      <c r="DA31">
        <f t="shared" si="8"/>
        <v>0</v>
      </c>
      <c r="DB31">
        <f t="shared" si="8"/>
        <v>0</v>
      </c>
      <c r="DC31">
        <f t="shared" si="8"/>
        <v>0</v>
      </c>
      <c r="DD31">
        <f t="shared" si="8"/>
        <v>0</v>
      </c>
      <c r="DE31">
        <f t="shared" si="8"/>
        <v>0</v>
      </c>
      <c r="DF31">
        <f t="shared" si="8"/>
        <v>0</v>
      </c>
      <c r="DG31">
        <f t="shared" si="8"/>
        <v>0</v>
      </c>
      <c r="DH31">
        <f t="shared" si="8"/>
        <v>0</v>
      </c>
      <c r="DI31">
        <f t="shared" si="8"/>
        <v>0</v>
      </c>
      <c r="DJ31">
        <f t="shared" si="8"/>
        <v>0</v>
      </c>
      <c r="DK31">
        <f t="shared" si="8"/>
        <v>0</v>
      </c>
      <c r="DL31">
        <f t="shared" si="8"/>
        <v>0</v>
      </c>
      <c r="DM31">
        <f t="shared" si="8"/>
        <v>0</v>
      </c>
      <c r="DN31">
        <f t="shared" si="8"/>
        <v>0</v>
      </c>
      <c r="DO31">
        <f t="shared" si="8"/>
        <v>0</v>
      </c>
      <c r="DP31">
        <f t="shared" si="8"/>
        <v>0</v>
      </c>
      <c r="DQ31">
        <f t="shared" si="8"/>
        <v>0</v>
      </c>
      <c r="DR31">
        <f t="shared" si="8"/>
        <v>0</v>
      </c>
      <c r="DS31">
        <f t="shared" si="8"/>
        <v>0</v>
      </c>
      <c r="DT31">
        <f t="shared" si="8"/>
        <v>0</v>
      </c>
      <c r="DU31">
        <f t="shared" si="8"/>
        <v>0</v>
      </c>
      <c r="DV31">
        <f t="shared" si="8"/>
        <v>0</v>
      </c>
      <c r="DW31">
        <f t="shared" si="8"/>
        <v>0</v>
      </c>
      <c r="DX31">
        <f t="shared" si="8"/>
        <v>0</v>
      </c>
      <c r="DY31">
        <f t="shared" si="8"/>
        <v>0</v>
      </c>
      <c r="DZ31">
        <f t="shared" si="8"/>
        <v>0</v>
      </c>
      <c r="EA31">
        <f t="shared" si="8"/>
        <v>0</v>
      </c>
      <c r="EB31">
        <f t="shared" si="8"/>
        <v>0</v>
      </c>
      <c r="EC31">
        <f t="shared" si="8"/>
        <v>0</v>
      </c>
      <c r="ED31">
        <f t="shared" ref="ED31:FU33" si="9">ED4-ROUNDUP(ED4*0.3,2)</f>
        <v>0</v>
      </c>
      <c r="EE31">
        <f t="shared" si="9"/>
        <v>0</v>
      </c>
      <c r="EF31">
        <f t="shared" si="9"/>
        <v>0</v>
      </c>
      <c r="EG31">
        <f t="shared" si="9"/>
        <v>0</v>
      </c>
      <c r="EH31">
        <f t="shared" si="9"/>
        <v>0</v>
      </c>
      <c r="EI31">
        <f t="shared" si="9"/>
        <v>0</v>
      </c>
      <c r="EJ31">
        <f t="shared" si="9"/>
        <v>0</v>
      </c>
      <c r="EK31">
        <f t="shared" si="9"/>
        <v>0</v>
      </c>
      <c r="EL31">
        <f t="shared" si="9"/>
        <v>0</v>
      </c>
      <c r="EM31">
        <f t="shared" si="9"/>
        <v>0</v>
      </c>
      <c r="EN31">
        <f t="shared" si="9"/>
        <v>0</v>
      </c>
      <c r="EO31">
        <f t="shared" si="9"/>
        <v>0</v>
      </c>
      <c r="EP31">
        <f t="shared" si="9"/>
        <v>0</v>
      </c>
      <c r="EQ31">
        <f t="shared" si="9"/>
        <v>0</v>
      </c>
      <c r="ER31">
        <f t="shared" si="9"/>
        <v>0</v>
      </c>
      <c r="ES31">
        <f t="shared" si="9"/>
        <v>0</v>
      </c>
      <c r="ET31">
        <f t="shared" si="9"/>
        <v>0</v>
      </c>
      <c r="EU31">
        <f t="shared" si="9"/>
        <v>0</v>
      </c>
      <c r="EV31">
        <f t="shared" si="9"/>
        <v>0</v>
      </c>
      <c r="EW31">
        <f t="shared" si="9"/>
        <v>0</v>
      </c>
      <c r="EX31">
        <f t="shared" si="9"/>
        <v>0</v>
      </c>
      <c r="EY31">
        <f t="shared" si="9"/>
        <v>0</v>
      </c>
      <c r="EZ31">
        <f t="shared" si="9"/>
        <v>0</v>
      </c>
      <c r="FA31">
        <f t="shared" si="9"/>
        <v>0</v>
      </c>
      <c r="FB31">
        <f t="shared" si="9"/>
        <v>0</v>
      </c>
      <c r="FC31">
        <f t="shared" si="9"/>
        <v>0</v>
      </c>
      <c r="FD31">
        <f t="shared" si="9"/>
        <v>0</v>
      </c>
      <c r="FE31">
        <f t="shared" si="9"/>
        <v>0</v>
      </c>
      <c r="FF31">
        <f t="shared" si="9"/>
        <v>0</v>
      </c>
      <c r="FG31">
        <f t="shared" si="9"/>
        <v>0</v>
      </c>
      <c r="FH31">
        <f t="shared" si="9"/>
        <v>0</v>
      </c>
      <c r="FI31">
        <f t="shared" si="9"/>
        <v>0</v>
      </c>
      <c r="FJ31">
        <f t="shared" si="9"/>
        <v>0</v>
      </c>
      <c r="FK31">
        <f t="shared" si="9"/>
        <v>0</v>
      </c>
      <c r="FL31">
        <f t="shared" si="9"/>
        <v>0</v>
      </c>
      <c r="FM31">
        <f t="shared" si="9"/>
        <v>0</v>
      </c>
      <c r="FN31">
        <f t="shared" si="9"/>
        <v>0</v>
      </c>
      <c r="FO31">
        <f t="shared" si="9"/>
        <v>0</v>
      </c>
      <c r="FP31">
        <f t="shared" si="9"/>
        <v>0</v>
      </c>
      <c r="FQ31">
        <f t="shared" si="9"/>
        <v>0</v>
      </c>
      <c r="FR31">
        <f t="shared" si="9"/>
        <v>0</v>
      </c>
      <c r="FS31">
        <f t="shared" si="9"/>
        <v>0</v>
      </c>
      <c r="FT31">
        <f t="shared" si="9"/>
        <v>0</v>
      </c>
      <c r="FU31">
        <f t="shared" si="9"/>
        <v>0</v>
      </c>
    </row>
    <row r="32" spans="1:177" x14ac:dyDescent="0.25">
      <c r="A32" t="str">
        <f t="shared" ref="A32:D32" si="10">A5</f>
        <v>SG 553</v>
      </c>
      <c r="B32" t="str">
        <f t="shared" si="10"/>
        <v>Atlas FN</v>
      </c>
      <c r="C32" t="str">
        <f t="shared" si="10"/>
        <v>Other Rifle</v>
      </c>
      <c r="D32" t="str">
        <f t="shared" si="10"/>
        <v>Chroma 3</v>
      </c>
      <c r="E32">
        <f t="shared" ref="E32:T47" si="11">E5-ROUNDUP(E5*0.3,2)</f>
        <v>0</v>
      </c>
      <c r="F32">
        <f t="shared" si="11"/>
        <v>0</v>
      </c>
      <c r="G32">
        <f t="shared" si="11"/>
        <v>0</v>
      </c>
      <c r="H32">
        <f t="shared" si="11"/>
        <v>0</v>
      </c>
      <c r="I32">
        <f t="shared" si="11"/>
        <v>0</v>
      </c>
      <c r="J32">
        <f t="shared" si="11"/>
        <v>0</v>
      </c>
      <c r="K32">
        <f t="shared" si="11"/>
        <v>0.22000000000000003</v>
      </c>
      <c r="L32">
        <f t="shared" si="11"/>
        <v>0.23000000000000004</v>
      </c>
      <c r="M32">
        <f t="shared" si="11"/>
        <v>0.22000000000000003</v>
      </c>
      <c r="N32">
        <f t="shared" si="11"/>
        <v>0.22000000000000003</v>
      </c>
      <c r="O32">
        <f t="shared" si="11"/>
        <v>0.22000000000000003</v>
      </c>
      <c r="P32">
        <f t="shared" si="11"/>
        <v>0.22000000000000003</v>
      </c>
      <c r="Q32">
        <f t="shared" si="11"/>
        <v>0.21</v>
      </c>
      <c r="R32">
        <f t="shared" si="11"/>
        <v>0.21000000000000002</v>
      </c>
      <c r="S32">
        <f t="shared" si="11"/>
        <v>0.19999999999999998</v>
      </c>
      <c r="T32">
        <f t="shared" si="11"/>
        <v>0.19999999999999998</v>
      </c>
      <c r="U32">
        <f t="shared" si="7"/>
        <v>0.19000000000000003</v>
      </c>
      <c r="V32">
        <f t="shared" si="7"/>
        <v>0.21</v>
      </c>
      <c r="W32">
        <f t="shared" si="7"/>
        <v>0.19999999999999998</v>
      </c>
      <c r="X32">
        <f t="shared" si="7"/>
        <v>0.19000000000000003</v>
      </c>
      <c r="Y32">
        <f t="shared" si="7"/>
        <v>0.19999999999999998</v>
      </c>
      <c r="Z32">
        <f t="shared" si="7"/>
        <v>0</v>
      </c>
      <c r="AA32">
        <f t="shared" si="7"/>
        <v>0</v>
      </c>
      <c r="AB32">
        <f t="shared" si="7"/>
        <v>0</v>
      </c>
      <c r="AC32">
        <f t="shared" si="7"/>
        <v>0</v>
      </c>
      <c r="AD32">
        <f t="shared" si="7"/>
        <v>0</v>
      </c>
      <c r="AE32">
        <f t="shared" si="7"/>
        <v>0</v>
      </c>
      <c r="AF32">
        <f t="shared" si="7"/>
        <v>0</v>
      </c>
      <c r="AG32">
        <f t="shared" si="7"/>
        <v>0</v>
      </c>
      <c r="AH32">
        <f t="shared" si="7"/>
        <v>0</v>
      </c>
      <c r="AI32">
        <f t="shared" si="7"/>
        <v>0</v>
      </c>
      <c r="AJ32">
        <f t="shared" si="7"/>
        <v>0</v>
      </c>
      <c r="AK32">
        <f t="shared" si="7"/>
        <v>0</v>
      </c>
      <c r="AL32">
        <f t="shared" si="7"/>
        <v>0</v>
      </c>
      <c r="AM32">
        <f t="shared" si="7"/>
        <v>0</v>
      </c>
      <c r="AN32">
        <f t="shared" si="7"/>
        <v>0</v>
      </c>
      <c r="AO32">
        <f t="shared" si="7"/>
        <v>0</v>
      </c>
      <c r="AP32">
        <f t="shared" si="7"/>
        <v>0</v>
      </c>
      <c r="AQ32">
        <f t="shared" si="7"/>
        <v>0</v>
      </c>
      <c r="AR32">
        <f t="shared" si="7"/>
        <v>0</v>
      </c>
      <c r="AS32">
        <f t="shared" si="7"/>
        <v>0</v>
      </c>
      <c r="AT32">
        <f t="shared" si="7"/>
        <v>0</v>
      </c>
      <c r="AU32">
        <f t="shared" si="7"/>
        <v>0</v>
      </c>
      <c r="AV32">
        <f t="shared" si="7"/>
        <v>0</v>
      </c>
      <c r="AW32">
        <f t="shared" si="7"/>
        <v>0</v>
      </c>
      <c r="AX32">
        <f t="shared" si="7"/>
        <v>0</v>
      </c>
      <c r="AY32">
        <f t="shared" si="7"/>
        <v>0</v>
      </c>
      <c r="AZ32">
        <f t="shared" si="7"/>
        <v>0</v>
      </c>
      <c r="BA32">
        <f t="shared" si="7"/>
        <v>0</v>
      </c>
      <c r="BB32">
        <f t="shared" si="7"/>
        <v>0</v>
      </c>
      <c r="BC32">
        <f t="shared" si="7"/>
        <v>0</v>
      </c>
      <c r="BD32">
        <f t="shared" si="7"/>
        <v>0</v>
      </c>
      <c r="BE32">
        <f t="shared" si="7"/>
        <v>0</v>
      </c>
      <c r="BF32">
        <f t="shared" si="7"/>
        <v>0</v>
      </c>
      <c r="BG32">
        <f t="shared" si="7"/>
        <v>0</v>
      </c>
      <c r="BH32">
        <f t="shared" si="7"/>
        <v>0</v>
      </c>
      <c r="BI32">
        <f t="shared" si="7"/>
        <v>0</v>
      </c>
      <c r="BJ32">
        <f t="shared" si="7"/>
        <v>0</v>
      </c>
      <c r="BK32">
        <f t="shared" si="7"/>
        <v>0</v>
      </c>
      <c r="BL32">
        <f t="shared" si="7"/>
        <v>0</v>
      </c>
      <c r="BM32">
        <f t="shared" si="7"/>
        <v>0</v>
      </c>
      <c r="BN32">
        <f t="shared" si="7"/>
        <v>0</v>
      </c>
      <c r="BO32">
        <f t="shared" si="7"/>
        <v>0</v>
      </c>
      <c r="BP32">
        <f t="shared" si="7"/>
        <v>0</v>
      </c>
      <c r="BQ32">
        <f t="shared" si="7"/>
        <v>0</v>
      </c>
      <c r="BR32">
        <f t="shared" si="8"/>
        <v>0</v>
      </c>
      <c r="BS32">
        <f t="shared" si="8"/>
        <v>0</v>
      </c>
      <c r="BT32">
        <f t="shared" si="8"/>
        <v>0</v>
      </c>
      <c r="BU32">
        <f t="shared" si="8"/>
        <v>0</v>
      </c>
      <c r="BV32">
        <f t="shared" si="8"/>
        <v>0</v>
      </c>
      <c r="BW32">
        <f t="shared" si="8"/>
        <v>0</v>
      </c>
      <c r="BX32">
        <f t="shared" si="8"/>
        <v>0</v>
      </c>
      <c r="BY32">
        <f t="shared" si="8"/>
        <v>0</v>
      </c>
      <c r="BZ32">
        <f t="shared" si="8"/>
        <v>0</v>
      </c>
      <c r="CA32">
        <f t="shared" si="8"/>
        <v>0</v>
      </c>
      <c r="CB32">
        <f t="shared" si="8"/>
        <v>0</v>
      </c>
      <c r="CC32">
        <f t="shared" si="8"/>
        <v>0</v>
      </c>
      <c r="CD32">
        <f t="shared" si="8"/>
        <v>0</v>
      </c>
      <c r="CE32">
        <f t="shared" si="8"/>
        <v>0</v>
      </c>
      <c r="CF32">
        <f t="shared" si="8"/>
        <v>0</v>
      </c>
      <c r="CG32">
        <f t="shared" si="8"/>
        <v>0</v>
      </c>
      <c r="CH32">
        <f t="shared" si="8"/>
        <v>0</v>
      </c>
      <c r="CI32">
        <f t="shared" si="8"/>
        <v>0</v>
      </c>
      <c r="CJ32">
        <f t="shared" si="8"/>
        <v>0</v>
      </c>
      <c r="CK32">
        <f t="shared" si="8"/>
        <v>0</v>
      </c>
      <c r="CL32">
        <f t="shared" si="8"/>
        <v>0</v>
      </c>
      <c r="CM32">
        <f t="shared" si="8"/>
        <v>0</v>
      </c>
      <c r="CN32">
        <f t="shared" si="8"/>
        <v>0</v>
      </c>
      <c r="CO32">
        <f t="shared" si="8"/>
        <v>0</v>
      </c>
      <c r="CP32">
        <f t="shared" si="8"/>
        <v>0</v>
      </c>
      <c r="CQ32">
        <f t="shared" si="8"/>
        <v>0</v>
      </c>
      <c r="CR32">
        <f t="shared" si="8"/>
        <v>0</v>
      </c>
      <c r="CS32">
        <f t="shared" si="8"/>
        <v>0</v>
      </c>
      <c r="CT32">
        <f t="shared" si="8"/>
        <v>0</v>
      </c>
      <c r="CU32">
        <f t="shared" si="8"/>
        <v>0</v>
      </c>
      <c r="CV32">
        <f t="shared" si="8"/>
        <v>0</v>
      </c>
      <c r="CW32">
        <f t="shared" si="8"/>
        <v>0</v>
      </c>
      <c r="CX32">
        <f t="shared" si="8"/>
        <v>0</v>
      </c>
      <c r="CY32">
        <f t="shared" si="8"/>
        <v>0</v>
      </c>
      <c r="CZ32">
        <f t="shared" si="8"/>
        <v>0</v>
      </c>
      <c r="DA32">
        <f t="shared" si="8"/>
        <v>0</v>
      </c>
      <c r="DB32">
        <f t="shared" si="8"/>
        <v>0</v>
      </c>
      <c r="DC32">
        <f t="shared" si="8"/>
        <v>0</v>
      </c>
      <c r="DD32">
        <f t="shared" si="8"/>
        <v>0</v>
      </c>
      <c r="DE32">
        <f t="shared" si="8"/>
        <v>0</v>
      </c>
      <c r="DF32">
        <f t="shared" si="8"/>
        <v>0</v>
      </c>
      <c r="DG32">
        <f t="shared" si="8"/>
        <v>0</v>
      </c>
      <c r="DH32">
        <f t="shared" si="8"/>
        <v>0</v>
      </c>
      <c r="DI32">
        <f t="shared" si="8"/>
        <v>0</v>
      </c>
      <c r="DJ32">
        <f t="shared" si="8"/>
        <v>0</v>
      </c>
      <c r="DK32">
        <f t="shared" si="8"/>
        <v>0</v>
      </c>
      <c r="DL32">
        <f t="shared" si="8"/>
        <v>0</v>
      </c>
      <c r="DM32">
        <f t="shared" si="8"/>
        <v>0</v>
      </c>
      <c r="DN32">
        <f t="shared" si="8"/>
        <v>0</v>
      </c>
      <c r="DO32">
        <f t="shared" si="8"/>
        <v>0</v>
      </c>
      <c r="DP32">
        <f t="shared" si="8"/>
        <v>0</v>
      </c>
      <c r="DQ32">
        <f t="shared" si="8"/>
        <v>0</v>
      </c>
      <c r="DR32">
        <f t="shared" si="8"/>
        <v>0</v>
      </c>
      <c r="DS32">
        <f t="shared" si="8"/>
        <v>0</v>
      </c>
      <c r="DT32">
        <f t="shared" si="8"/>
        <v>0</v>
      </c>
      <c r="DU32">
        <f t="shared" si="8"/>
        <v>0</v>
      </c>
      <c r="DV32">
        <f t="shared" si="8"/>
        <v>0</v>
      </c>
      <c r="DW32">
        <f t="shared" si="8"/>
        <v>0</v>
      </c>
      <c r="DX32">
        <f t="shared" si="8"/>
        <v>0</v>
      </c>
      <c r="DY32">
        <f t="shared" si="8"/>
        <v>0</v>
      </c>
      <c r="DZ32">
        <f t="shared" si="8"/>
        <v>0</v>
      </c>
      <c r="EA32">
        <f t="shared" si="8"/>
        <v>0</v>
      </c>
      <c r="EB32">
        <f t="shared" si="8"/>
        <v>0</v>
      </c>
      <c r="EC32">
        <f t="shared" si="8"/>
        <v>0</v>
      </c>
      <c r="ED32">
        <f t="shared" si="9"/>
        <v>0</v>
      </c>
      <c r="EE32">
        <f t="shared" si="9"/>
        <v>0</v>
      </c>
      <c r="EF32">
        <f t="shared" si="9"/>
        <v>0</v>
      </c>
      <c r="EG32">
        <f t="shared" si="9"/>
        <v>0</v>
      </c>
      <c r="EH32">
        <f t="shared" si="9"/>
        <v>0</v>
      </c>
      <c r="EI32">
        <f t="shared" si="9"/>
        <v>0</v>
      </c>
      <c r="EJ32">
        <f t="shared" si="9"/>
        <v>0</v>
      </c>
      <c r="EK32">
        <f t="shared" si="9"/>
        <v>0</v>
      </c>
      <c r="EL32">
        <f t="shared" si="9"/>
        <v>0</v>
      </c>
      <c r="EM32">
        <f t="shared" si="9"/>
        <v>0</v>
      </c>
      <c r="EN32">
        <f t="shared" si="9"/>
        <v>0</v>
      </c>
      <c r="EO32">
        <f t="shared" si="9"/>
        <v>0</v>
      </c>
      <c r="EP32">
        <f t="shared" si="9"/>
        <v>0</v>
      </c>
      <c r="EQ32">
        <f t="shared" si="9"/>
        <v>0</v>
      </c>
      <c r="ER32">
        <f t="shared" si="9"/>
        <v>0</v>
      </c>
      <c r="ES32">
        <f t="shared" si="9"/>
        <v>0</v>
      </c>
      <c r="ET32">
        <f t="shared" si="9"/>
        <v>0</v>
      </c>
      <c r="EU32">
        <f t="shared" si="9"/>
        <v>0</v>
      </c>
      <c r="EV32">
        <f t="shared" si="9"/>
        <v>0</v>
      </c>
      <c r="EW32">
        <f t="shared" si="9"/>
        <v>0</v>
      </c>
      <c r="EX32">
        <f t="shared" si="9"/>
        <v>0</v>
      </c>
      <c r="EY32">
        <f t="shared" si="9"/>
        <v>0</v>
      </c>
      <c r="EZ32">
        <f t="shared" si="9"/>
        <v>0</v>
      </c>
      <c r="FA32">
        <f t="shared" si="9"/>
        <v>0</v>
      </c>
      <c r="FB32">
        <f t="shared" si="9"/>
        <v>0</v>
      </c>
      <c r="FC32">
        <f t="shared" si="9"/>
        <v>0</v>
      </c>
      <c r="FD32">
        <f t="shared" si="9"/>
        <v>0</v>
      </c>
      <c r="FE32">
        <f t="shared" si="9"/>
        <v>0</v>
      </c>
      <c r="FF32">
        <f t="shared" si="9"/>
        <v>0</v>
      </c>
      <c r="FG32">
        <f t="shared" si="9"/>
        <v>0</v>
      </c>
      <c r="FH32">
        <f t="shared" si="9"/>
        <v>0</v>
      </c>
      <c r="FI32">
        <f t="shared" si="9"/>
        <v>0</v>
      </c>
      <c r="FJ32">
        <f t="shared" si="9"/>
        <v>0</v>
      </c>
      <c r="FK32">
        <f t="shared" si="9"/>
        <v>0</v>
      </c>
      <c r="FL32">
        <f t="shared" si="9"/>
        <v>0</v>
      </c>
      <c r="FM32">
        <f t="shared" si="9"/>
        <v>0</v>
      </c>
      <c r="FN32">
        <f t="shared" si="9"/>
        <v>0</v>
      </c>
      <c r="FO32">
        <f t="shared" si="9"/>
        <v>0</v>
      </c>
      <c r="FP32">
        <f t="shared" si="9"/>
        <v>0</v>
      </c>
      <c r="FQ32">
        <f t="shared" si="9"/>
        <v>0</v>
      </c>
      <c r="FR32">
        <f t="shared" si="9"/>
        <v>0</v>
      </c>
      <c r="FS32">
        <f t="shared" si="9"/>
        <v>0</v>
      </c>
      <c r="FT32">
        <f t="shared" si="9"/>
        <v>0</v>
      </c>
      <c r="FU32">
        <f t="shared" si="9"/>
        <v>0</v>
      </c>
    </row>
    <row r="33" spans="1:177" x14ac:dyDescent="0.25">
      <c r="A33" t="str">
        <f t="shared" ref="A33:D33" si="12">A6</f>
        <v>SCAR-20</v>
      </c>
      <c r="B33" t="str">
        <f t="shared" si="12"/>
        <v>Powercore MW</v>
      </c>
      <c r="C33" t="str">
        <f t="shared" si="12"/>
        <v>Other Rifle</v>
      </c>
      <c r="D33" t="str">
        <f t="shared" si="12"/>
        <v>Gamma 2</v>
      </c>
      <c r="E33">
        <f t="shared" si="11"/>
        <v>0</v>
      </c>
      <c r="F33">
        <f t="shared" ref="F33:BQ36" si="13">F6-ROUNDUP(F6*0.3,2)</f>
        <v>0</v>
      </c>
      <c r="G33">
        <f t="shared" si="13"/>
        <v>0</v>
      </c>
      <c r="H33">
        <f t="shared" si="13"/>
        <v>0</v>
      </c>
      <c r="I33">
        <f t="shared" si="13"/>
        <v>0</v>
      </c>
      <c r="J33">
        <f t="shared" si="13"/>
        <v>0</v>
      </c>
      <c r="K33">
        <f t="shared" si="13"/>
        <v>0.35</v>
      </c>
      <c r="L33">
        <f t="shared" si="13"/>
        <v>0.33999999999999997</v>
      </c>
      <c r="M33">
        <f t="shared" si="13"/>
        <v>0.35</v>
      </c>
      <c r="N33">
        <f t="shared" si="13"/>
        <v>0.32</v>
      </c>
      <c r="O33">
        <f t="shared" si="13"/>
        <v>0.31999999999999995</v>
      </c>
      <c r="P33">
        <f t="shared" si="13"/>
        <v>0.31999999999999995</v>
      </c>
      <c r="Q33">
        <f t="shared" si="13"/>
        <v>0.35</v>
      </c>
      <c r="R33">
        <f t="shared" si="13"/>
        <v>0.35</v>
      </c>
      <c r="S33">
        <f t="shared" si="13"/>
        <v>0.31999999999999995</v>
      </c>
      <c r="T33">
        <f t="shared" si="13"/>
        <v>0.32</v>
      </c>
      <c r="U33">
        <f t="shared" si="13"/>
        <v>0.33999999999999997</v>
      </c>
      <c r="V33">
        <f t="shared" si="13"/>
        <v>0.35</v>
      </c>
      <c r="W33">
        <f t="shared" si="13"/>
        <v>0.33999999999999997</v>
      </c>
      <c r="X33">
        <f t="shared" si="13"/>
        <v>0.31999999999999995</v>
      </c>
      <c r="Y33">
        <f t="shared" si="13"/>
        <v>0.33999999999999997</v>
      </c>
      <c r="Z33">
        <f t="shared" si="13"/>
        <v>0</v>
      </c>
      <c r="AA33">
        <f t="shared" si="13"/>
        <v>0</v>
      </c>
      <c r="AB33">
        <f t="shared" si="13"/>
        <v>0</v>
      </c>
      <c r="AC33">
        <f t="shared" si="13"/>
        <v>0</v>
      </c>
      <c r="AD33">
        <f t="shared" si="13"/>
        <v>0</v>
      </c>
      <c r="AE33">
        <f t="shared" si="13"/>
        <v>0</v>
      </c>
      <c r="AF33">
        <f t="shared" si="13"/>
        <v>0</v>
      </c>
      <c r="AG33">
        <f t="shared" si="13"/>
        <v>0</v>
      </c>
      <c r="AH33">
        <f t="shared" si="13"/>
        <v>0</v>
      </c>
      <c r="AI33">
        <f t="shared" si="13"/>
        <v>0</v>
      </c>
      <c r="AJ33">
        <f t="shared" si="13"/>
        <v>0</v>
      </c>
      <c r="AK33">
        <f t="shared" si="13"/>
        <v>0</v>
      </c>
      <c r="AL33">
        <f t="shared" si="13"/>
        <v>0</v>
      </c>
      <c r="AM33">
        <f t="shared" si="13"/>
        <v>0</v>
      </c>
      <c r="AN33">
        <f t="shared" si="13"/>
        <v>0</v>
      </c>
      <c r="AO33">
        <f t="shared" si="13"/>
        <v>0</v>
      </c>
      <c r="AP33">
        <f t="shared" si="13"/>
        <v>0</v>
      </c>
      <c r="AQ33">
        <f t="shared" si="13"/>
        <v>0</v>
      </c>
      <c r="AR33">
        <f t="shared" si="13"/>
        <v>0</v>
      </c>
      <c r="AS33">
        <f t="shared" si="13"/>
        <v>0</v>
      </c>
      <c r="AT33">
        <f t="shared" si="13"/>
        <v>0</v>
      </c>
      <c r="AU33">
        <f t="shared" si="13"/>
        <v>0</v>
      </c>
      <c r="AV33">
        <f t="shared" si="13"/>
        <v>0</v>
      </c>
      <c r="AW33">
        <f t="shared" si="13"/>
        <v>0</v>
      </c>
      <c r="AX33">
        <f t="shared" si="13"/>
        <v>0</v>
      </c>
      <c r="AY33">
        <f t="shared" si="13"/>
        <v>0</v>
      </c>
      <c r="AZ33">
        <f t="shared" si="13"/>
        <v>0</v>
      </c>
      <c r="BA33">
        <f t="shared" si="13"/>
        <v>0</v>
      </c>
      <c r="BB33">
        <f t="shared" si="13"/>
        <v>0</v>
      </c>
      <c r="BC33">
        <f t="shared" si="13"/>
        <v>0</v>
      </c>
      <c r="BD33">
        <f t="shared" si="13"/>
        <v>0</v>
      </c>
      <c r="BE33">
        <f t="shared" si="13"/>
        <v>0</v>
      </c>
      <c r="BF33">
        <f t="shared" si="13"/>
        <v>0</v>
      </c>
      <c r="BG33">
        <f t="shared" si="13"/>
        <v>0</v>
      </c>
      <c r="BH33">
        <f t="shared" si="13"/>
        <v>0</v>
      </c>
      <c r="BI33">
        <f t="shared" si="13"/>
        <v>0</v>
      </c>
      <c r="BJ33">
        <f t="shared" si="13"/>
        <v>0</v>
      </c>
      <c r="BK33">
        <f t="shared" si="13"/>
        <v>0</v>
      </c>
      <c r="BL33">
        <f t="shared" si="13"/>
        <v>0</v>
      </c>
      <c r="BM33">
        <f t="shared" si="13"/>
        <v>0</v>
      </c>
      <c r="BN33">
        <f t="shared" si="13"/>
        <v>0</v>
      </c>
      <c r="BO33">
        <f t="shared" si="13"/>
        <v>0</v>
      </c>
      <c r="BP33">
        <f t="shared" si="13"/>
        <v>0</v>
      </c>
      <c r="BQ33">
        <f t="shared" si="13"/>
        <v>0</v>
      </c>
      <c r="BR33">
        <f t="shared" si="8"/>
        <v>0</v>
      </c>
      <c r="BS33">
        <f t="shared" si="8"/>
        <v>0</v>
      </c>
      <c r="BT33">
        <f t="shared" si="8"/>
        <v>0</v>
      </c>
      <c r="BU33">
        <f t="shared" si="8"/>
        <v>0</v>
      </c>
      <c r="BV33">
        <f t="shared" si="8"/>
        <v>0</v>
      </c>
      <c r="BW33">
        <f t="shared" si="8"/>
        <v>0</v>
      </c>
      <c r="BX33">
        <f t="shared" si="8"/>
        <v>0</v>
      </c>
      <c r="BY33">
        <f t="shared" si="8"/>
        <v>0</v>
      </c>
      <c r="BZ33">
        <f t="shared" si="8"/>
        <v>0</v>
      </c>
      <c r="CA33">
        <f t="shared" si="8"/>
        <v>0</v>
      </c>
      <c r="CB33">
        <f t="shared" si="8"/>
        <v>0</v>
      </c>
      <c r="CC33">
        <f t="shared" si="8"/>
        <v>0</v>
      </c>
      <c r="CD33">
        <f t="shared" si="8"/>
        <v>0</v>
      </c>
      <c r="CE33">
        <f t="shared" si="8"/>
        <v>0</v>
      </c>
      <c r="CF33">
        <f t="shared" si="8"/>
        <v>0</v>
      </c>
      <c r="CG33">
        <f t="shared" si="8"/>
        <v>0</v>
      </c>
      <c r="CH33">
        <f t="shared" si="8"/>
        <v>0</v>
      </c>
      <c r="CI33">
        <f t="shared" si="8"/>
        <v>0</v>
      </c>
      <c r="CJ33">
        <f t="shared" si="8"/>
        <v>0</v>
      </c>
      <c r="CK33">
        <f t="shared" si="8"/>
        <v>0</v>
      </c>
      <c r="CL33">
        <f t="shared" si="8"/>
        <v>0</v>
      </c>
      <c r="CM33">
        <f t="shared" si="8"/>
        <v>0</v>
      </c>
      <c r="CN33">
        <f t="shared" si="8"/>
        <v>0</v>
      </c>
      <c r="CO33">
        <f t="shared" si="8"/>
        <v>0</v>
      </c>
      <c r="CP33">
        <f t="shared" si="8"/>
        <v>0</v>
      </c>
      <c r="CQ33">
        <f t="shared" si="8"/>
        <v>0</v>
      </c>
      <c r="CR33">
        <f t="shared" si="8"/>
        <v>0</v>
      </c>
      <c r="CS33">
        <f t="shared" si="8"/>
        <v>0</v>
      </c>
      <c r="CT33">
        <f t="shared" si="8"/>
        <v>0</v>
      </c>
      <c r="CU33">
        <f t="shared" si="8"/>
        <v>0</v>
      </c>
      <c r="CV33">
        <f t="shared" si="8"/>
        <v>0</v>
      </c>
      <c r="CW33">
        <f t="shared" si="8"/>
        <v>0</v>
      </c>
      <c r="CX33">
        <f t="shared" si="8"/>
        <v>0</v>
      </c>
      <c r="CY33">
        <f t="shared" si="8"/>
        <v>0</v>
      </c>
      <c r="CZ33">
        <f t="shared" si="8"/>
        <v>0</v>
      </c>
      <c r="DA33">
        <f t="shared" si="8"/>
        <v>0</v>
      </c>
      <c r="DB33">
        <f t="shared" si="8"/>
        <v>0</v>
      </c>
      <c r="DC33">
        <f t="shared" si="8"/>
        <v>0</v>
      </c>
      <c r="DD33">
        <f t="shared" si="8"/>
        <v>0</v>
      </c>
      <c r="DE33">
        <f t="shared" si="8"/>
        <v>0</v>
      </c>
      <c r="DF33">
        <f t="shared" si="8"/>
        <v>0</v>
      </c>
      <c r="DG33">
        <f t="shared" si="8"/>
        <v>0</v>
      </c>
      <c r="DH33">
        <f t="shared" si="8"/>
        <v>0</v>
      </c>
      <c r="DI33">
        <f t="shared" si="8"/>
        <v>0</v>
      </c>
      <c r="DJ33">
        <f t="shared" si="8"/>
        <v>0</v>
      </c>
      <c r="DK33">
        <f t="shared" si="8"/>
        <v>0</v>
      </c>
      <c r="DL33">
        <f t="shared" si="8"/>
        <v>0</v>
      </c>
      <c r="DM33">
        <f t="shared" si="8"/>
        <v>0</v>
      </c>
      <c r="DN33">
        <f t="shared" si="8"/>
        <v>0</v>
      </c>
      <c r="DO33">
        <f t="shared" si="8"/>
        <v>0</v>
      </c>
      <c r="DP33">
        <f t="shared" si="8"/>
        <v>0</v>
      </c>
      <c r="DQ33">
        <f t="shared" si="8"/>
        <v>0</v>
      </c>
      <c r="DR33">
        <f t="shared" si="8"/>
        <v>0</v>
      </c>
      <c r="DS33">
        <f t="shared" si="8"/>
        <v>0</v>
      </c>
      <c r="DT33">
        <f t="shared" si="8"/>
        <v>0</v>
      </c>
      <c r="DU33">
        <f t="shared" si="8"/>
        <v>0</v>
      </c>
      <c r="DV33">
        <f t="shared" si="8"/>
        <v>0</v>
      </c>
      <c r="DW33">
        <f t="shared" si="8"/>
        <v>0</v>
      </c>
      <c r="DX33">
        <f t="shared" si="8"/>
        <v>0</v>
      </c>
      <c r="DY33">
        <f t="shared" si="8"/>
        <v>0</v>
      </c>
      <c r="DZ33">
        <f t="shared" si="8"/>
        <v>0</v>
      </c>
      <c r="EA33">
        <f t="shared" si="8"/>
        <v>0</v>
      </c>
      <c r="EB33">
        <f t="shared" si="8"/>
        <v>0</v>
      </c>
      <c r="EC33">
        <f t="shared" si="8"/>
        <v>0</v>
      </c>
      <c r="ED33">
        <f t="shared" si="9"/>
        <v>0</v>
      </c>
      <c r="EE33">
        <f t="shared" si="9"/>
        <v>0</v>
      </c>
      <c r="EF33">
        <f t="shared" si="9"/>
        <v>0</v>
      </c>
      <c r="EG33">
        <f t="shared" si="9"/>
        <v>0</v>
      </c>
      <c r="EH33">
        <f t="shared" si="9"/>
        <v>0</v>
      </c>
      <c r="EI33">
        <f t="shared" si="9"/>
        <v>0</v>
      </c>
      <c r="EJ33">
        <f t="shared" si="9"/>
        <v>0</v>
      </c>
      <c r="EK33">
        <f t="shared" si="9"/>
        <v>0</v>
      </c>
      <c r="EL33">
        <f t="shared" si="9"/>
        <v>0</v>
      </c>
      <c r="EM33">
        <f t="shared" si="9"/>
        <v>0</v>
      </c>
      <c r="EN33">
        <f t="shared" si="9"/>
        <v>0</v>
      </c>
      <c r="EO33">
        <f t="shared" si="9"/>
        <v>0</v>
      </c>
      <c r="EP33">
        <f t="shared" si="9"/>
        <v>0</v>
      </c>
      <c r="EQ33">
        <f t="shared" si="9"/>
        <v>0</v>
      </c>
      <c r="ER33">
        <f t="shared" si="9"/>
        <v>0</v>
      </c>
      <c r="ES33">
        <f t="shared" si="9"/>
        <v>0</v>
      </c>
      <c r="ET33">
        <f t="shared" si="9"/>
        <v>0</v>
      </c>
      <c r="EU33">
        <f t="shared" si="9"/>
        <v>0</v>
      </c>
      <c r="EV33">
        <f t="shared" si="9"/>
        <v>0</v>
      </c>
      <c r="EW33">
        <f t="shared" si="9"/>
        <v>0</v>
      </c>
      <c r="EX33">
        <f t="shared" si="9"/>
        <v>0</v>
      </c>
      <c r="EY33">
        <f t="shared" si="9"/>
        <v>0</v>
      </c>
      <c r="EZ33">
        <f t="shared" si="9"/>
        <v>0</v>
      </c>
      <c r="FA33">
        <f t="shared" si="9"/>
        <v>0</v>
      </c>
      <c r="FB33">
        <f t="shared" si="9"/>
        <v>0</v>
      </c>
      <c r="FC33">
        <f t="shared" si="9"/>
        <v>0</v>
      </c>
      <c r="FD33">
        <f t="shared" si="9"/>
        <v>0</v>
      </c>
      <c r="FE33">
        <f t="shared" si="9"/>
        <v>0</v>
      </c>
      <c r="FF33">
        <f t="shared" si="9"/>
        <v>0</v>
      </c>
      <c r="FG33">
        <f t="shared" si="9"/>
        <v>0</v>
      </c>
      <c r="FH33">
        <f t="shared" si="9"/>
        <v>0</v>
      </c>
      <c r="FI33">
        <f t="shared" si="9"/>
        <v>0</v>
      </c>
      <c r="FJ33">
        <f t="shared" si="9"/>
        <v>0</v>
      </c>
      <c r="FK33">
        <f t="shared" si="9"/>
        <v>0</v>
      </c>
      <c r="FL33">
        <f t="shared" si="9"/>
        <v>0</v>
      </c>
      <c r="FM33">
        <f t="shared" si="9"/>
        <v>0</v>
      </c>
      <c r="FN33">
        <f t="shared" si="9"/>
        <v>0</v>
      </c>
      <c r="FO33">
        <f t="shared" si="9"/>
        <v>0</v>
      </c>
      <c r="FP33">
        <f t="shared" si="9"/>
        <v>0</v>
      </c>
      <c r="FQ33">
        <f t="shared" si="9"/>
        <v>0</v>
      </c>
      <c r="FR33">
        <f t="shared" si="9"/>
        <v>0</v>
      </c>
      <c r="FS33">
        <f t="shared" si="9"/>
        <v>0</v>
      </c>
      <c r="FT33">
        <f t="shared" si="9"/>
        <v>0</v>
      </c>
      <c r="FU33">
        <f t="shared" si="9"/>
        <v>0</v>
      </c>
    </row>
    <row r="34" spans="1:177" x14ac:dyDescent="0.25">
      <c r="A34" t="str">
        <f t="shared" ref="A34:D34" si="14">A7</f>
        <v>Galil AR</v>
      </c>
      <c r="B34" t="str">
        <f t="shared" si="14"/>
        <v>Eco FT</v>
      </c>
      <c r="C34" t="str">
        <f t="shared" si="14"/>
        <v>Other Rifle</v>
      </c>
      <c r="D34" t="str">
        <f t="shared" si="14"/>
        <v>Chroma 2</v>
      </c>
      <c r="E34">
        <f t="shared" si="11"/>
        <v>0</v>
      </c>
      <c r="F34">
        <f t="shared" si="13"/>
        <v>0</v>
      </c>
      <c r="G34">
        <f t="shared" si="13"/>
        <v>0</v>
      </c>
      <c r="H34">
        <f t="shared" si="13"/>
        <v>0</v>
      </c>
      <c r="I34">
        <f t="shared" si="13"/>
        <v>0</v>
      </c>
      <c r="J34">
        <f t="shared" si="13"/>
        <v>0</v>
      </c>
      <c r="K34">
        <f t="shared" si="13"/>
        <v>2.67</v>
      </c>
      <c r="L34">
        <f t="shared" si="13"/>
        <v>2.68</v>
      </c>
      <c r="M34">
        <f t="shared" si="13"/>
        <v>2.63</v>
      </c>
      <c r="N34">
        <f t="shared" si="13"/>
        <v>2.6</v>
      </c>
      <c r="O34">
        <f t="shared" si="13"/>
        <v>2.58</v>
      </c>
      <c r="P34">
        <f t="shared" si="13"/>
        <v>2.5700000000000003</v>
      </c>
      <c r="Q34">
        <f t="shared" si="13"/>
        <v>2.5700000000000003</v>
      </c>
      <c r="R34">
        <f t="shared" si="13"/>
        <v>2.6100000000000003</v>
      </c>
      <c r="S34">
        <f t="shared" si="13"/>
        <v>2.61</v>
      </c>
      <c r="T34">
        <f t="shared" si="13"/>
        <v>2.54</v>
      </c>
      <c r="U34">
        <f t="shared" si="13"/>
        <v>2.5199999999999996</v>
      </c>
      <c r="V34">
        <f t="shared" si="13"/>
        <v>2.54</v>
      </c>
      <c r="W34">
        <f t="shared" si="13"/>
        <v>2.4699999999999998</v>
      </c>
      <c r="X34">
        <f t="shared" si="13"/>
        <v>2.5</v>
      </c>
      <c r="Y34">
        <f t="shared" si="13"/>
        <v>2.4499999999999997</v>
      </c>
      <c r="Z34">
        <f t="shared" si="13"/>
        <v>0</v>
      </c>
      <c r="AA34">
        <f t="shared" si="13"/>
        <v>0</v>
      </c>
      <c r="AB34">
        <f t="shared" si="13"/>
        <v>0</v>
      </c>
      <c r="AC34">
        <f t="shared" si="13"/>
        <v>0</v>
      </c>
      <c r="AD34">
        <f t="shared" si="13"/>
        <v>0</v>
      </c>
      <c r="AE34">
        <f t="shared" si="13"/>
        <v>0</v>
      </c>
      <c r="AF34">
        <f t="shared" si="13"/>
        <v>0</v>
      </c>
      <c r="AG34">
        <f t="shared" si="13"/>
        <v>0</v>
      </c>
      <c r="AH34">
        <f t="shared" si="13"/>
        <v>0</v>
      </c>
      <c r="AI34">
        <f t="shared" si="13"/>
        <v>0</v>
      </c>
      <c r="AJ34">
        <f t="shared" si="13"/>
        <v>0</v>
      </c>
      <c r="AK34">
        <f t="shared" si="13"/>
        <v>0</v>
      </c>
      <c r="AL34">
        <f t="shared" si="13"/>
        <v>0</v>
      </c>
      <c r="AM34">
        <f t="shared" si="13"/>
        <v>0</v>
      </c>
      <c r="AN34">
        <f t="shared" si="13"/>
        <v>0</v>
      </c>
      <c r="AO34">
        <f t="shared" si="13"/>
        <v>0</v>
      </c>
      <c r="AP34">
        <f t="shared" si="13"/>
        <v>0</v>
      </c>
      <c r="AQ34">
        <f t="shared" si="13"/>
        <v>0</v>
      </c>
      <c r="AR34">
        <f t="shared" si="13"/>
        <v>0</v>
      </c>
      <c r="AS34">
        <f t="shared" si="13"/>
        <v>0</v>
      </c>
      <c r="AT34">
        <f t="shared" si="13"/>
        <v>0</v>
      </c>
      <c r="AU34">
        <f t="shared" si="13"/>
        <v>0</v>
      </c>
      <c r="AV34">
        <f t="shared" si="13"/>
        <v>0</v>
      </c>
      <c r="AW34">
        <f t="shared" si="13"/>
        <v>0</v>
      </c>
      <c r="AX34">
        <f t="shared" si="13"/>
        <v>0</v>
      </c>
      <c r="AY34">
        <f t="shared" si="13"/>
        <v>0</v>
      </c>
      <c r="AZ34">
        <f t="shared" si="13"/>
        <v>0</v>
      </c>
      <c r="BA34">
        <f t="shared" si="13"/>
        <v>0</v>
      </c>
      <c r="BB34">
        <f t="shared" si="13"/>
        <v>0</v>
      </c>
      <c r="BC34">
        <f t="shared" si="13"/>
        <v>0</v>
      </c>
      <c r="BD34">
        <f t="shared" si="13"/>
        <v>0</v>
      </c>
      <c r="BE34">
        <f t="shared" si="13"/>
        <v>0</v>
      </c>
      <c r="BF34">
        <f t="shared" si="13"/>
        <v>0</v>
      </c>
      <c r="BG34">
        <f t="shared" si="13"/>
        <v>0</v>
      </c>
      <c r="BH34">
        <f t="shared" si="13"/>
        <v>0</v>
      </c>
      <c r="BI34">
        <f t="shared" si="13"/>
        <v>0</v>
      </c>
      <c r="BJ34">
        <f t="shared" si="13"/>
        <v>0</v>
      </c>
      <c r="BK34">
        <f t="shared" si="13"/>
        <v>0</v>
      </c>
      <c r="BL34">
        <f t="shared" si="13"/>
        <v>0</v>
      </c>
      <c r="BM34">
        <f t="shared" si="13"/>
        <v>0</v>
      </c>
      <c r="BN34">
        <f t="shared" si="13"/>
        <v>0</v>
      </c>
      <c r="BO34">
        <f t="shared" si="13"/>
        <v>0</v>
      </c>
      <c r="BP34">
        <f t="shared" si="13"/>
        <v>0</v>
      </c>
      <c r="BQ34">
        <f t="shared" si="13"/>
        <v>0</v>
      </c>
      <c r="BR34">
        <f t="shared" si="8"/>
        <v>0</v>
      </c>
      <c r="BS34">
        <f t="shared" si="8"/>
        <v>0</v>
      </c>
      <c r="BT34">
        <f t="shared" si="8"/>
        <v>0</v>
      </c>
      <c r="BU34">
        <f t="shared" si="8"/>
        <v>0</v>
      </c>
      <c r="BV34">
        <f t="shared" si="8"/>
        <v>0</v>
      </c>
      <c r="BW34">
        <f t="shared" si="8"/>
        <v>0</v>
      </c>
      <c r="BX34">
        <f t="shared" si="8"/>
        <v>0</v>
      </c>
      <c r="BY34">
        <f t="shared" si="8"/>
        <v>0</v>
      </c>
      <c r="BZ34">
        <f t="shared" si="8"/>
        <v>0</v>
      </c>
      <c r="CA34">
        <f t="shared" si="8"/>
        <v>0</v>
      </c>
      <c r="CB34">
        <f t="shared" si="8"/>
        <v>0</v>
      </c>
      <c r="CC34">
        <f t="shared" si="8"/>
        <v>0</v>
      </c>
      <c r="CD34">
        <f t="shared" si="8"/>
        <v>0</v>
      </c>
      <c r="CE34">
        <f t="shared" si="8"/>
        <v>0</v>
      </c>
      <c r="CF34">
        <f t="shared" si="8"/>
        <v>0</v>
      </c>
      <c r="CG34">
        <f t="shared" si="8"/>
        <v>0</v>
      </c>
      <c r="CH34">
        <f t="shared" si="8"/>
        <v>0</v>
      </c>
      <c r="CI34">
        <f t="shared" si="8"/>
        <v>0</v>
      </c>
      <c r="CJ34">
        <f t="shared" si="8"/>
        <v>0</v>
      </c>
      <c r="CK34">
        <f t="shared" si="8"/>
        <v>0</v>
      </c>
      <c r="CL34">
        <f t="shared" si="8"/>
        <v>0</v>
      </c>
      <c r="CM34">
        <f t="shared" si="8"/>
        <v>0</v>
      </c>
      <c r="CN34">
        <f t="shared" si="8"/>
        <v>0</v>
      </c>
      <c r="CO34">
        <f t="shared" si="8"/>
        <v>0</v>
      </c>
      <c r="CP34">
        <f t="shared" si="8"/>
        <v>0</v>
      </c>
      <c r="CQ34">
        <f t="shared" si="8"/>
        <v>0</v>
      </c>
      <c r="CR34">
        <f t="shared" si="8"/>
        <v>0</v>
      </c>
      <c r="CS34">
        <f t="shared" si="8"/>
        <v>0</v>
      </c>
      <c r="CT34">
        <f t="shared" si="8"/>
        <v>0</v>
      </c>
      <c r="CU34">
        <f t="shared" si="8"/>
        <v>0</v>
      </c>
      <c r="CV34">
        <f t="shared" si="8"/>
        <v>0</v>
      </c>
      <c r="CW34">
        <f t="shared" si="8"/>
        <v>0</v>
      </c>
      <c r="CX34">
        <f t="shared" si="8"/>
        <v>0</v>
      </c>
      <c r="CY34">
        <f t="shared" si="8"/>
        <v>0</v>
      </c>
      <c r="CZ34">
        <f t="shared" si="8"/>
        <v>0</v>
      </c>
      <c r="DA34">
        <f t="shared" si="8"/>
        <v>0</v>
      </c>
      <c r="DB34">
        <f t="shared" si="8"/>
        <v>0</v>
      </c>
      <c r="DC34">
        <f t="shared" si="8"/>
        <v>0</v>
      </c>
      <c r="DD34">
        <f t="shared" si="8"/>
        <v>0</v>
      </c>
      <c r="DE34">
        <f t="shared" si="8"/>
        <v>0</v>
      </c>
      <c r="DF34">
        <f t="shared" si="8"/>
        <v>0</v>
      </c>
      <c r="DG34">
        <f t="shared" si="8"/>
        <v>0</v>
      </c>
      <c r="DH34">
        <f t="shared" si="8"/>
        <v>0</v>
      </c>
      <c r="DI34">
        <f t="shared" si="8"/>
        <v>0</v>
      </c>
      <c r="DJ34">
        <f t="shared" si="8"/>
        <v>0</v>
      </c>
      <c r="DK34">
        <f t="shared" si="8"/>
        <v>0</v>
      </c>
      <c r="DL34">
        <f t="shared" si="8"/>
        <v>0</v>
      </c>
      <c r="DM34">
        <f t="shared" si="8"/>
        <v>0</v>
      </c>
      <c r="DN34">
        <f t="shared" si="8"/>
        <v>0</v>
      </c>
      <c r="DO34">
        <f t="shared" si="8"/>
        <v>0</v>
      </c>
      <c r="DP34">
        <f t="shared" si="8"/>
        <v>0</v>
      </c>
      <c r="DQ34">
        <f t="shared" si="8"/>
        <v>0</v>
      </c>
      <c r="DR34">
        <f t="shared" si="8"/>
        <v>0</v>
      </c>
      <c r="DS34">
        <f t="shared" si="8"/>
        <v>0</v>
      </c>
      <c r="DT34">
        <f t="shared" si="8"/>
        <v>0</v>
      </c>
      <c r="DU34">
        <f t="shared" si="8"/>
        <v>0</v>
      </c>
      <c r="DV34">
        <f t="shared" si="8"/>
        <v>0</v>
      </c>
      <c r="DW34">
        <f t="shared" si="8"/>
        <v>0</v>
      </c>
      <c r="DX34">
        <f t="shared" si="8"/>
        <v>0</v>
      </c>
      <c r="DY34">
        <f t="shared" si="8"/>
        <v>0</v>
      </c>
      <c r="DZ34">
        <f t="shared" si="8"/>
        <v>0</v>
      </c>
      <c r="EA34">
        <f t="shared" si="8"/>
        <v>0</v>
      </c>
      <c r="EB34">
        <f t="shared" si="8"/>
        <v>0</v>
      </c>
      <c r="EC34">
        <f t="shared" ref="EC34:FU39" si="15">EC7-ROUNDUP(EC7*0.3,2)</f>
        <v>0</v>
      </c>
      <c r="ED34">
        <f t="shared" si="15"/>
        <v>0</v>
      </c>
      <c r="EE34">
        <f t="shared" si="15"/>
        <v>0</v>
      </c>
      <c r="EF34">
        <f t="shared" si="15"/>
        <v>0</v>
      </c>
      <c r="EG34">
        <f t="shared" si="15"/>
        <v>0</v>
      </c>
      <c r="EH34">
        <f t="shared" si="15"/>
        <v>0</v>
      </c>
      <c r="EI34">
        <f t="shared" si="15"/>
        <v>0</v>
      </c>
      <c r="EJ34">
        <f t="shared" si="15"/>
        <v>0</v>
      </c>
      <c r="EK34">
        <f t="shared" si="15"/>
        <v>0</v>
      </c>
      <c r="EL34">
        <f t="shared" si="15"/>
        <v>0</v>
      </c>
      <c r="EM34">
        <f t="shared" si="15"/>
        <v>0</v>
      </c>
      <c r="EN34">
        <f t="shared" si="15"/>
        <v>0</v>
      </c>
      <c r="EO34">
        <f t="shared" si="15"/>
        <v>0</v>
      </c>
      <c r="EP34">
        <f t="shared" si="15"/>
        <v>0</v>
      </c>
      <c r="EQ34">
        <f t="shared" si="15"/>
        <v>0</v>
      </c>
      <c r="ER34">
        <f t="shared" si="15"/>
        <v>0</v>
      </c>
      <c r="ES34">
        <f t="shared" si="15"/>
        <v>0</v>
      </c>
      <c r="ET34">
        <f t="shared" si="15"/>
        <v>0</v>
      </c>
      <c r="EU34">
        <f t="shared" si="15"/>
        <v>0</v>
      </c>
      <c r="EV34">
        <f t="shared" si="15"/>
        <v>0</v>
      </c>
      <c r="EW34">
        <f t="shared" si="15"/>
        <v>0</v>
      </c>
      <c r="EX34">
        <f t="shared" si="15"/>
        <v>0</v>
      </c>
      <c r="EY34">
        <f t="shared" si="15"/>
        <v>0</v>
      </c>
      <c r="EZ34">
        <f t="shared" si="15"/>
        <v>0</v>
      </c>
      <c r="FA34">
        <f t="shared" si="15"/>
        <v>0</v>
      </c>
      <c r="FB34">
        <f t="shared" si="15"/>
        <v>0</v>
      </c>
      <c r="FC34">
        <f t="shared" si="15"/>
        <v>0</v>
      </c>
      <c r="FD34">
        <f t="shared" si="15"/>
        <v>0</v>
      </c>
      <c r="FE34">
        <f t="shared" si="15"/>
        <v>0</v>
      </c>
      <c r="FF34">
        <f t="shared" si="15"/>
        <v>0</v>
      </c>
      <c r="FG34">
        <f t="shared" si="15"/>
        <v>0</v>
      </c>
      <c r="FH34">
        <f t="shared" si="15"/>
        <v>0</v>
      </c>
      <c r="FI34">
        <f t="shared" si="15"/>
        <v>0</v>
      </c>
      <c r="FJ34">
        <f t="shared" si="15"/>
        <v>0</v>
      </c>
      <c r="FK34">
        <f t="shared" si="15"/>
        <v>0</v>
      </c>
      <c r="FL34">
        <f t="shared" si="15"/>
        <v>0</v>
      </c>
      <c r="FM34">
        <f t="shared" si="15"/>
        <v>0</v>
      </c>
      <c r="FN34">
        <f t="shared" si="15"/>
        <v>0</v>
      </c>
      <c r="FO34">
        <f t="shared" si="15"/>
        <v>0</v>
      </c>
      <c r="FP34">
        <f t="shared" si="15"/>
        <v>0</v>
      </c>
      <c r="FQ34">
        <f t="shared" si="15"/>
        <v>0</v>
      </c>
      <c r="FR34">
        <f t="shared" si="15"/>
        <v>0</v>
      </c>
      <c r="FS34">
        <f t="shared" si="15"/>
        <v>0</v>
      </c>
      <c r="FT34">
        <f t="shared" si="15"/>
        <v>0</v>
      </c>
      <c r="FU34">
        <f t="shared" si="15"/>
        <v>0</v>
      </c>
    </row>
    <row r="35" spans="1:177" x14ac:dyDescent="0.25">
      <c r="A35" t="str">
        <f t="shared" ref="A35:D35" si="16">A8</f>
        <v>FAMAS</v>
      </c>
      <c r="B35" t="str">
        <f t="shared" si="16"/>
        <v>Macabre MW</v>
      </c>
      <c r="C35" t="str">
        <f t="shared" si="16"/>
        <v>Other Rifle</v>
      </c>
      <c r="D35" t="str">
        <f t="shared" si="16"/>
        <v>Hydra</v>
      </c>
      <c r="E35">
        <f t="shared" si="11"/>
        <v>0</v>
      </c>
      <c r="F35">
        <f t="shared" si="13"/>
        <v>0</v>
      </c>
      <c r="G35">
        <f t="shared" si="13"/>
        <v>0</v>
      </c>
      <c r="H35">
        <f t="shared" si="13"/>
        <v>0</v>
      </c>
      <c r="I35">
        <f t="shared" si="13"/>
        <v>0</v>
      </c>
      <c r="J35">
        <f t="shared" si="13"/>
        <v>0</v>
      </c>
      <c r="K35">
        <f t="shared" si="13"/>
        <v>0.88</v>
      </c>
      <c r="L35">
        <f t="shared" si="13"/>
        <v>0.88</v>
      </c>
      <c r="M35">
        <f t="shared" si="13"/>
        <v>0.88</v>
      </c>
      <c r="N35">
        <f t="shared" si="13"/>
        <v>0.86</v>
      </c>
      <c r="O35">
        <f t="shared" si="13"/>
        <v>0.88</v>
      </c>
      <c r="P35">
        <f t="shared" si="13"/>
        <v>0.88</v>
      </c>
      <c r="Q35">
        <f t="shared" si="13"/>
        <v>0.88</v>
      </c>
      <c r="R35">
        <f t="shared" si="13"/>
        <v>0.91</v>
      </c>
      <c r="S35">
        <f t="shared" si="13"/>
        <v>0.93</v>
      </c>
      <c r="T35">
        <f t="shared" si="13"/>
        <v>1</v>
      </c>
      <c r="U35">
        <f t="shared" si="13"/>
        <v>1</v>
      </c>
      <c r="V35">
        <f t="shared" si="13"/>
        <v>0.97</v>
      </c>
      <c r="W35">
        <f t="shared" si="13"/>
        <v>1</v>
      </c>
      <c r="X35">
        <f t="shared" si="13"/>
        <v>1.02</v>
      </c>
      <c r="Y35">
        <f t="shared" si="13"/>
        <v>1.02</v>
      </c>
      <c r="Z35">
        <f t="shared" si="13"/>
        <v>0</v>
      </c>
      <c r="AA35">
        <f t="shared" si="13"/>
        <v>0</v>
      </c>
      <c r="AB35">
        <f t="shared" si="13"/>
        <v>0</v>
      </c>
      <c r="AC35">
        <f t="shared" si="13"/>
        <v>0</v>
      </c>
      <c r="AD35">
        <f t="shared" si="13"/>
        <v>0</v>
      </c>
      <c r="AE35">
        <f t="shared" si="13"/>
        <v>0</v>
      </c>
      <c r="AF35">
        <f t="shared" si="13"/>
        <v>0</v>
      </c>
      <c r="AG35">
        <f t="shared" si="13"/>
        <v>0</v>
      </c>
      <c r="AH35">
        <f t="shared" si="13"/>
        <v>0</v>
      </c>
      <c r="AI35">
        <f t="shared" si="13"/>
        <v>0</v>
      </c>
      <c r="AJ35">
        <f t="shared" si="13"/>
        <v>0</v>
      </c>
      <c r="AK35">
        <f t="shared" si="13"/>
        <v>0</v>
      </c>
      <c r="AL35">
        <f t="shared" si="13"/>
        <v>0</v>
      </c>
      <c r="AM35">
        <f t="shared" si="13"/>
        <v>0</v>
      </c>
      <c r="AN35">
        <f t="shared" si="13"/>
        <v>0</v>
      </c>
      <c r="AO35">
        <f t="shared" si="13"/>
        <v>0</v>
      </c>
      <c r="AP35">
        <f t="shared" si="13"/>
        <v>0</v>
      </c>
      <c r="AQ35">
        <f t="shared" si="13"/>
        <v>0</v>
      </c>
      <c r="AR35">
        <f t="shared" si="13"/>
        <v>0</v>
      </c>
      <c r="AS35">
        <f t="shared" si="13"/>
        <v>0</v>
      </c>
      <c r="AT35">
        <f t="shared" si="13"/>
        <v>0</v>
      </c>
      <c r="AU35">
        <f t="shared" si="13"/>
        <v>0</v>
      </c>
      <c r="AV35">
        <f t="shared" si="13"/>
        <v>0</v>
      </c>
      <c r="AW35">
        <f t="shared" si="13"/>
        <v>0</v>
      </c>
      <c r="AX35">
        <f t="shared" si="13"/>
        <v>0</v>
      </c>
      <c r="AY35">
        <f t="shared" si="13"/>
        <v>0</v>
      </c>
      <c r="AZ35">
        <f t="shared" si="13"/>
        <v>0</v>
      </c>
      <c r="BA35">
        <f t="shared" si="13"/>
        <v>0</v>
      </c>
      <c r="BB35">
        <f t="shared" si="13"/>
        <v>0</v>
      </c>
      <c r="BC35">
        <f t="shared" si="13"/>
        <v>0</v>
      </c>
      <c r="BD35">
        <f t="shared" si="13"/>
        <v>0</v>
      </c>
      <c r="BE35">
        <f t="shared" si="13"/>
        <v>0</v>
      </c>
      <c r="BF35">
        <f t="shared" si="13"/>
        <v>0</v>
      </c>
      <c r="BG35">
        <f t="shared" si="13"/>
        <v>0</v>
      </c>
      <c r="BH35">
        <f t="shared" si="13"/>
        <v>0</v>
      </c>
      <c r="BI35">
        <f t="shared" si="13"/>
        <v>0</v>
      </c>
      <c r="BJ35">
        <f t="shared" si="13"/>
        <v>0</v>
      </c>
      <c r="BK35">
        <f t="shared" si="13"/>
        <v>0</v>
      </c>
      <c r="BL35">
        <f t="shared" si="13"/>
        <v>0</v>
      </c>
      <c r="BM35">
        <f t="shared" si="13"/>
        <v>0</v>
      </c>
      <c r="BN35">
        <f t="shared" si="13"/>
        <v>0</v>
      </c>
      <c r="BO35">
        <f t="shared" si="13"/>
        <v>0</v>
      </c>
      <c r="BP35">
        <f t="shared" si="13"/>
        <v>0</v>
      </c>
      <c r="BQ35">
        <f t="shared" si="13"/>
        <v>0</v>
      </c>
      <c r="BR35">
        <f t="shared" ref="BR35:EC47" si="17">BR8-ROUNDUP(BR8*0.3,2)</f>
        <v>0</v>
      </c>
      <c r="BS35">
        <f t="shared" si="17"/>
        <v>0</v>
      </c>
      <c r="BT35">
        <f t="shared" si="17"/>
        <v>0</v>
      </c>
      <c r="BU35">
        <f t="shared" si="17"/>
        <v>0</v>
      </c>
      <c r="BV35">
        <f t="shared" si="17"/>
        <v>0</v>
      </c>
      <c r="BW35">
        <f t="shared" si="17"/>
        <v>0</v>
      </c>
      <c r="BX35">
        <f t="shared" si="17"/>
        <v>0</v>
      </c>
      <c r="BY35">
        <f t="shared" si="17"/>
        <v>0</v>
      </c>
      <c r="BZ35">
        <f t="shared" si="17"/>
        <v>0</v>
      </c>
      <c r="CA35">
        <f t="shared" si="17"/>
        <v>0</v>
      </c>
      <c r="CB35">
        <f t="shared" si="17"/>
        <v>0</v>
      </c>
      <c r="CC35">
        <f t="shared" si="17"/>
        <v>0</v>
      </c>
      <c r="CD35">
        <f t="shared" si="17"/>
        <v>0</v>
      </c>
      <c r="CE35">
        <f t="shared" si="17"/>
        <v>0</v>
      </c>
      <c r="CF35">
        <f t="shared" si="17"/>
        <v>0</v>
      </c>
      <c r="CG35">
        <f t="shared" si="17"/>
        <v>0</v>
      </c>
      <c r="CH35">
        <f t="shared" si="17"/>
        <v>0</v>
      </c>
      <c r="CI35">
        <f t="shared" si="17"/>
        <v>0</v>
      </c>
      <c r="CJ35">
        <f t="shared" si="17"/>
        <v>0</v>
      </c>
      <c r="CK35">
        <f t="shared" si="17"/>
        <v>0</v>
      </c>
      <c r="CL35">
        <f t="shared" si="17"/>
        <v>0</v>
      </c>
      <c r="CM35">
        <f t="shared" si="17"/>
        <v>0</v>
      </c>
      <c r="CN35">
        <f t="shared" si="17"/>
        <v>0</v>
      </c>
      <c r="CO35">
        <f t="shared" si="17"/>
        <v>0</v>
      </c>
      <c r="CP35">
        <f t="shared" si="17"/>
        <v>0</v>
      </c>
      <c r="CQ35">
        <f t="shared" si="17"/>
        <v>0</v>
      </c>
      <c r="CR35">
        <f t="shared" si="17"/>
        <v>0</v>
      </c>
      <c r="CS35">
        <f t="shared" si="17"/>
        <v>0</v>
      </c>
      <c r="CT35">
        <f t="shared" si="17"/>
        <v>0</v>
      </c>
      <c r="CU35">
        <f t="shared" si="17"/>
        <v>0</v>
      </c>
      <c r="CV35">
        <f t="shared" si="17"/>
        <v>0</v>
      </c>
      <c r="CW35">
        <f t="shared" si="17"/>
        <v>0</v>
      </c>
      <c r="CX35">
        <f t="shared" si="17"/>
        <v>0</v>
      </c>
      <c r="CY35">
        <f t="shared" si="17"/>
        <v>0</v>
      </c>
      <c r="CZ35">
        <f t="shared" si="17"/>
        <v>0</v>
      </c>
      <c r="DA35">
        <f t="shared" si="17"/>
        <v>0</v>
      </c>
      <c r="DB35">
        <f t="shared" si="17"/>
        <v>0</v>
      </c>
      <c r="DC35">
        <f t="shared" si="17"/>
        <v>0</v>
      </c>
      <c r="DD35">
        <f t="shared" si="17"/>
        <v>0</v>
      </c>
      <c r="DE35">
        <f t="shared" si="17"/>
        <v>0</v>
      </c>
      <c r="DF35">
        <f t="shared" si="17"/>
        <v>0</v>
      </c>
      <c r="DG35">
        <f t="shared" si="17"/>
        <v>0</v>
      </c>
      <c r="DH35">
        <f t="shared" si="17"/>
        <v>0</v>
      </c>
      <c r="DI35">
        <f t="shared" si="17"/>
        <v>0</v>
      </c>
      <c r="DJ35">
        <f t="shared" si="17"/>
        <v>0</v>
      </c>
      <c r="DK35">
        <f t="shared" si="17"/>
        <v>0</v>
      </c>
      <c r="DL35">
        <f t="shared" si="17"/>
        <v>0</v>
      </c>
      <c r="DM35">
        <f t="shared" si="17"/>
        <v>0</v>
      </c>
      <c r="DN35">
        <f t="shared" si="17"/>
        <v>0</v>
      </c>
      <c r="DO35">
        <f t="shared" si="17"/>
        <v>0</v>
      </c>
      <c r="DP35">
        <f t="shared" si="17"/>
        <v>0</v>
      </c>
      <c r="DQ35">
        <f t="shared" si="17"/>
        <v>0</v>
      </c>
      <c r="DR35">
        <f t="shared" si="17"/>
        <v>0</v>
      </c>
      <c r="DS35">
        <f t="shared" si="17"/>
        <v>0</v>
      </c>
      <c r="DT35">
        <f t="shared" si="17"/>
        <v>0</v>
      </c>
      <c r="DU35">
        <f t="shared" si="17"/>
        <v>0</v>
      </c>
      <c r="DV35">
        <f t="shared" si="17"/>
        <v>0</v>
      </c>
      <c r="DW35">
        <f t="shared" si="17"/>
        <v>0</v>
      </c>
      <c r="DX35">
        <f t="shared" si="17"/>
        <v>0</v>
      </c>
      <c r="DY35">
        <f t="shared" si="17"/>
        <v>0</v>
      </c>
      <c r="DZ35">
        <f t="shared" si="17"/>
        <v>0</v>
      </c>
      <c r="EA35">
        <f t="shared" si="17"/>
        <v>0</v>
      </c>
      <c r="EB35">
        <f t="shared" si="17"/>
        <v>0</v>
      </c>
      <c r="EC35">
        <f t="shared" si="17"/>
        <v>0</v>
      </c>
      <c r="ED35">
        <f t="shared" si="15"/>
        <v>0</v>
      </c>
      <c r="EE35">
        <f t="shared" si="15"/>
        <v>0</v>
      </c>
      <c r="EF35">
        <f t="shared" si="15"/>
        <v>0</v>
      </c>
      <c r="EG35">
        <f t="shared" si="15"/>
        <v>0</v>
      </c>
      <c r="EH35">
        <f t="shared" si="15"/>
        <v>0</v>
      </c>
      <c r="EI35">
        <f t="shared" si="15"/>
        <v>0</v>
      </c>
      <c r="EJ35">
        <f t="shared" si="15"/>
        <v>0</v>
      </c>
      <c r="EK35">
        <f t="shared" si="15"/>
        <v>0</v>
      </c>
      <c r="EL35">
        <f t="shared" si="15"/>
        <v>0</v>
      </c>
      <c r="EM35">
        <f t="shared" si="15"/>
        <v>0</v>
      </c>
      <c r="EN35">
        <f t="shared" si="15"/>
        <v>0</v>
      </c>
      <c r="EO35">
        <f t="shared" si="15"/>
        <v>0</v>
      </c>
      <c r="EP35">
        <f t="shared" si="15"/>
        <v>0</v>
      </c>
      <c r="EQ35">
        <f t="shared" si="15"/>
        <v>0</v>
      </c>
      <c r="ER35">
        <f t="shared" si="15"/>
        <v>0</v>
      </c>
      <c r="ES35">
        <f t="shared" si="15"/>
        <v>0</v>
      </c>
      <c r="ET35">
        <f t="shared" si="15"/>
        <v>0</v>
      </c>
      <c r="EU35">
        <f t="shared" si="15"/>
        <v>0</v>
      </c>
      <c r="EV35">
        <f t="shared" si="15"/>
        <v>0</v>
      </c>
      <c r="EW35">
        <f t="shared" si="15"/>
        <v>0</v>
      </c>
      <c r="EX35">
        <f t="shared" si="15"/>
        <v>0</v>
      </c>
      <c r="EY35">
        <f t="shared" si="15"/>
        <v>0</v>
      </c>
      <c r="EZ35">
        <f t="shared" si="15"/>
        <v>0</v>
      </c>
      <c r="FA35">
        <f t="shared" si="15"/>
        <v>0</v>
      </c>
      <c r="FB35">
        <f t="shared" si="15"/>
        <v>0</v>
      </c>
      <c r="FC35">
        <f t="shared" si="15"/>
        <v>0</v>
      </c>
      <c r="FD35">
        <f t="shared" si="15"/>
        <v>0</v>
      </c>
      <c r="FE35">
        <f t="shared" si="15"/>
        <v>0</v>
      </c>
      <c r="FF35">
        <f t="shared" si="15"/>
        <v>0</v>
      </c>
      <c r="FG35">
        <f t="shared" si="15"/>
        <v>0</v>
      </c>
      <c r="FH35">
        <f t="shared" si="15"/>
        <v>0</v>
      </c>
      <c r="FI35">
        <f t="shared" si="15"/>
        <v>0</v>
      </c>
      <c r="FJ35">
        <f t="shared" si="15"/>
        <v>0</v>
      </c>
      <c r="FK35">
        <f t="shared" si="15"/>
        <v>0</v>
      </c>
      <c r="FL35">
        <f t="shared" si="15"/>
        <v>0</v>
      </c>
      <c r="FM35">
        <f t="shared" si="15"/>
        <v>0</v>
      </c>
      <c r="FN35">
        <f t="shared" si="15"/>
        <v>0</v>
      </c>
      <c r="FO35">
        <f t="shared" si="15"/>
        <v>0</v>
      </c>
      <c r="FP35">
        <f t="shared" si="15"/>
        <v>0</v>
      </c>
      <c r="FQ35">
        <f t="shared" si="15"/>
        <v>0</v>
      </c>
      <c r="FR35">
        <f t="shared" si="15"/>
        <v>0</v>
      </c>
      <c r="FS35">
        <f t="shared" si="15"/>
        <v>0</v>
      </c>
      <c r="FT35">
        <f t="shared" si="15"/>
        <v>0</v>
      </c>
      <c r="FU35">
        <f t="shared" si="15"/>
        <v>0</v>
      </c>
    </row>
    <row r="36" spans="1:177" x14ac:dyDescent="0.25">
      <c r="A36" t="str">
        <f t="shared" ref="A36:D36" si="18">A9</f>
        <v>FAMAS</v>
      </c>
      <c r="B36" t="str">
        <f t="shared" si="18"/>
        <v>Night Borre FT</v>
      </c>
      <c r="C36" t="str">
        <f t="shared" si="18"/>
        <v>Other Rifle</v>
      </c>
      <c r="D36" t="str">
        <f t="shared" si="18"/>
        <v>Norse</v>
      </c>
      <c r="E36">
        <f t="shared" si="11"/>
        <v>0</v>
      </c>
      <c r="F36">
        <f t="shared" si="13"/>
        <v>0</v>
      </c>
      <c r="G36">
        <f t="shared" si="13"/>
        <v>0</v>
      </c>
      <c r="H36">
        <f t="shared" si="13"/>
        <v>0</v>
      </c>
      <c r="I36">
        <f t="shared" si="13"/>
        <v>0</v>
      </c>
      <c r="J36">
        <f t="shared" si="13"/>
        <v>0</v>
      </c>
      <c r="K36">
        <f t="shared" si="13"/>
        <v>0.76</v>
      </c>
      <c r="L36">
        <f t="shared" si="13"/>
        <v>0.94000000000000006</v>
      </c>
      <c r="M36">
        <f t="shared" si="13"/>
        <v>0.89</v>
      </c>
      <c r="N36">
        <f t="shared" si="13"/>
        <v>1.1000000000000001</v>
      </c>
      <c r="O36">
        <f t="shared" si="13"/>
        <v>1.1599999999999999</v>
      </c>
      <c r="P36">
        <f t="shared" si="13"/>
        <v>1.1000000000000001</v>
      </c>
      <c r="Q36">
        <f t="shared" si="13"/>
        <v>1.07</v>
      </c>
      <c r="R36">
        <f t="shared" si="13"/>
        <v>1.02</v>
      </c>
      <c r="S36">
        <f t="shared" si="13"/>
        <v>0.96</v>
      </c>
      <c r="T36">
        <f t="shared" si="13"/>
        <v>0.98</v>
      </c>
      <c r="U36">
        <f t="shared" si="13"/>
        <v>0.88</v>
      </c>
      <c r="V36">
        <f t="shared" si="13"/>
        <v>1.04</v>
      </c>
      <c r="W36">
        <f t="shared" si="13"/>
        <v>1.06</v>
      </c>
      <c r="X36">
        <f t="shared" si="13"/>
        <v>1.0900000000000001</v>
      </c>
      <c r="Y36">
        <f t="shared" si="13"/>
        <v>1.18</v>
      </c>
      <c r="Z36">
        <f t="shared" si="13"/>
        <v>0</v>
      </c>
      <c r="AA36">
        <f t="shared" si="13"/>
        <v>0</v>
      </c>
      <c r="AB36">
        <f t="shared" si="13"/>
        <v>0</v>
      </c>
      <c r="AC36">
        <f t="shared" si="13"/>
        <v>0</v>
      </c>
      <c r="AD36">
        <f t="shared" si="13"/>
        <v>0</v>
      </c>
      <c r="AE36">
        <f t="shared" si="13"/>
        <v>0</v>
      </c>
      <c r="AF36">
        <f t="shared" si="13"/>
        <v>0</v>
      </c>
      <c r="AG36">
        <f t="shared" si="13"/>
        <v>0</v>
      </c>
      <c r="AH36">
        <f t="shared" si="13"/>
        <v>0</v>
      </c>
      <c r="AI36">
        <f t="shared" si="13"/>
        <v>0</v>
      </c>
      <c r="AJ36">
        <f t="shared" si="13"/>
        <v>0</v>
      </c>
      <c r="AK36">
        <f t="shared" si="13"/>
        <v>0</v>
      </c>
      <c r="AL36">
        <f t="shared" si="13"/>
        <v>0</v>
      </c>
      <c r="AM36">
        <f t="shared" si="13"/>
        <v>0</v>
      </c>
      <c r="AN36">
        <f t="shared" si="13"/>
        <v>0</v>
      </c>
      <c r="AO36">
        <f t="shared" si="13"/>
        <v>0</v>
      </c>
      <c r="AP36">
        <f t="shared" si="13"/>
        <v>0</v>
      </c>
      <c r="AQ36">
        <f t="shared" si="13"/>
        <v>0</v>
      </c>
      <c r="AR36">
        <f t="shared" si="13"/>
        <v>0</v>
      </c>
      <c r="AS36">
        <f t="shared" si="13"/>
        <v>0</v>
      </c>
      <c r="AT36">
        <f t="shared" si="13"/>
        <v>0</v>
      </c>
      <c r="AU36">
        <f t="shared" si="13"/>
        <v>0</v>
      </c>
      <c r="AV36">
        <f t="shared" si="13"/>
        <v>0</v>
      </c>
      <c r="AW36">
        <f t="shared" si="13"/>
        <v>0</v>
      </c>
      <c r="AX36">
        <f t="shared" si="13"/>
        <v>0</v>
      </c>
      <c r="AY36">
        <f t="shared" si="13"/>
        <v>0</v>
      </c>
      <c r="AZ36">
        <f t="shared" si="13"/>
        <v>0</v>
      </c>
      <c r="BA36">
        <f t="shared" si="13"/>
        <v>0</v>
      </c>
      <c r="BB36">
        <f t="shared" si="13"/>
        <v>0</v>
      </c>
      <c r="BC36">
        <f t="shared" si="13"/>
        <v>0</v>
      </c>
      <c r="BD36">
        <f t="shared" si="13"/>
        <v>0</v>
      </c>
      <c r="BE36">
        <f t="shared" si="13"/>
        <v>0</v>
      </c>
      <c r="BF36">
        <f t="shared" si="13"/>
        <v>0</v>
      </c>
      <c r="BG36">
        <f t="shared" si="13"/>
        <v>0</v>
      </c>
      <c r="BH36">
        <f t="shared" si="13"/>
        <v>0</v>
      </c>
      <c r="BI36">
        <f t="shared" si="13"/>
        <v>0</v>
      </c>
      <c r="BJ36">
        <f t="shared" si="13"/>
        <v>0</v>
      </c>
      <c r="BK36">
        <f t="shared" si="13"/>
        <v>0</v>
      </c>
      <c r="BL36">
        <f t="shared" si="13"/>
        <v>0</v>
      </c>
      <c r="BM36">
        <f t="shared" si="13"/>
        <v>0</v>
      </c>
      <c r="BN36">
        <f t="shared" si="13"/>
        <v>0</v>
      </c>
      <c r="BO36">
        <f t="shared" si="13"/>
        <v>0</v>
      </c>
      <c r="BP36">
        <f t="shared" si="13"/>
        <v>0</v>
      </c>
      <c r="BQ36">
        <f t="shared" ref="BQ36:EB39" si="19">BQ9-ROUNDUP(BQ9*0.3,2)</f>
        <v>0</v>
      </c>
      <c r="BR36">
        <f t="shared" si="19"/>
        <v>0</v>
      </c>
      <c r="BS36">
        <f t="shared" si="19"/>
        <v>0</v>
      </c>
      <c r="BT36">
        <f t="shared" si="19"/>
        <v>0</v>
      </c>
      <c r="BU36">
        <f t="shared" si="19"/>
        <v>0</v>
      </c>
      <c r="BV36">
        <f t="shared" si="19"/>
        <v>0</v>
      </c>
      <c r="BW36">
        <f t="shared" si="19"/>
        <v>0</v>
      </c>
      <c r="BX36">
        <f t="shared" si="19"/>
        <v>0</v>
      </c>
      <c r="BY36">
        <f t="shared" si="19"/>
        <v>0</v>
      </c>
      <c r="BZ36">
        <f t="shared" si="19"/>
        <v>0</v>
      </c>
      <c r="CA36">
        <f t="shared" si="19"/>
        <v>0</v>
      </c>
      <c r="CB36">
        <f t="shared" si="19"/>
        <v>0</v>
      </c>
      <c r="CC36">
        <f t="shared" si="19"/>
        <v>0</v>
      </c>
      <c r="CD36">
        <f t="shared" si="19"/>
        <v>0</v>
      </c>
      <c r="CE36">
        <f t="shared" si="19"/>
        <v>0</v>
      </c>
      <c r="CF36">
        <f t="shared" si="19"/>
        <v>0</v>
      </c>
      <c r="CG36">
        <f t="shared" si="19"/>
        <v>0</v>
      </c>
      <c r="CH36">
        <f t="shared" si="19"/>
        <v>0</v>
      </c>
      <c r="CI36">
        <f t="shared" si="19"/>
        <v>0</v>
      </c>
      <c r="CJ36">
        <f t="shared" si="19"/>
        <v>0</v>
      </c>
      <c r="CK36">
        <f t="shared" si="19"/>
        <v>0</v>
      </c>
      <c r="CL36">
        <f t="shared" si="19"/>
        <v>0</v>
      </c>
      <c r="CM36">
        <f t="shared" si="19"/>
        <v>0</v>
      </c>
      <c r="CN36">
        <f t="shared" si="19"/>
        <v>0</v>
      </c>
      <c r="CO36">
        <f t="shared" si="19"/>
        <v>0</v>
      </c>
      <c r="CP36">
        <f t="shared" si="19"/>
        <v>0</v>
      </c>
      <c r="CQ36">
        <f t="shared" si="19"/>
        <v>0</v>
      </c>
      <c r="CR36">
        <f t="shared" si="19"/>
        <v>0</v>
      </c>
      <c r="CS36">
        <f t="shared" si="19"/>
        <v>0</v>
      </c>
      <c r="CT36">
        <f t="shared" si="19"/>
        <v>0</v>
      </c>
      <c r="CU36">
        <f t="shared" si="19"/>
        <v>0</v>
      </c>
      <c r="CV36">
        <f t="shared" si="19"/>
        <v>0</v>
      </c>
      <c r="CW36">
        <f t="shared" si="19"/>
        <v>0</v>
      </c>
      <c r="CX36">
        <f t="shared" si="19"/>
        <v>0</v>
      </c>
      <c r="CY36">
        <f t="shared" si="19"/>
        <v>0</v>
      </c>
      <c r="CZ36">
        <f t="shared" si="19"/>
        <v>0</v>
      </c>
      <c r="DA36">
        <f t="shared" si="19"/>
        <v>0</v>
      </c>
      <c r="DB36">
        <f t="shared" si="19"/>
        <v>0</v>
      </c>
      <c r="DC36">
        <f t="shared" si="19"/>
        <v>0</v>
      </c>
      <c r="DD36">
        <f t="shared" si="19"/>
        <v>0</v>
      </c>
      <c r="DE36">
        <f t="shared" si="19"/>
        <v>0</v>
      </c>
      <c r="DF36">
        <f t="shared" si="19"/>
        <v>0</v>
      </c>
      <c r="DG36">
        <f t="shared" si="19"/>
        <v>0</v>
      </c>
      <c r="DH36">
        <f t="shared" si="19"/>
        <v>0</v>
      </c>
      <c r="DI36">
        <f t="shared" si="19"/>
        <v>0</v>
      </c>
      <c r="DJ36">
        <f t="shared" si="19"/>
        <v>0</v>
      </c>
      <c r="DK36">
        <f t="shared" si="19"/>
        <v>0</v>
      </c>
      <c r="DL36">
        <f t="shared" si="19"/>
        <v>0</v>
      </c>
      <c r="DM36">
        <f t="shared" si="19"/>
        <v>0</v>
      </c>
      <c r="DN36">
        <f t="shared" si="19"/>
        <v>0</v>
      </c>
      <c r="DO36">
        <f t="shared" si="19"/>
        <v>0</v>
      </c>
      <c r="DP36">
        <f t="shared" si="19"/>
        <v>0</v>
      </c>
      <c r="DQ36">
        <f t="shared" si="19"/>
        <v>0</v>
      </c>
      <c r="DR36">
        <f t="shared" si="19"/>
        <v>0</v>
      </c>
      <c r="DS36">
        <f t="shared" si="19"/>
        <v>0</v>
      </c>
      <c r="DT36">
        <f t="shared" si="19"/>
        <v>0</v>
      </c>
      <c r="DU36">
        <f t="shared" si="19"/>
        <v>0</v>
      </c>
      <c r="DV36">
        <f t="shared" si="19"/>
        <v>0</v>
      </c>
      <c r="DW36">
        <f t="shared" si="19"/>
        <v>0</v>
      </c>
      <c r="DX36">
        <f t="shared" si="19"/>
        <v>0</v>
      </c>
      <c r="DY36">
        <f t="shared" si="19"/>
        <v>0</v>
      </c>
      <c r="DZ36">
        <f t="shared" si="19"/>
        <v>0</v>
      </c>
      <c r="EA36">
        <f t="shared" si="19"/>
        <v>0</v>
      </c>
      <c r="EB36">
        <f t="shared" si="19"/>
        <v>0</v>
      </c>
      <c r="EC36">
        <f t="shared" si="17"/>
        <v>0</v>
      </c>
      <c r="ED36">
        <f t="shared" si="15"/>
        <v>0</v>
      </c>
      <c r="EE36">
        <f t="shared" si="15"/>
        <v>0</v>
      </c>
      <c r="EF36">
        <f t="shared" si="15"/>
        <v>0</v>
      </c>
      <c r="EG36">
        <f t="shared" si="15"/>
        <v>0</v>
      </c>
      <c r="EH36">
        <f t="shared" si="15"/>
        <v>0</v>
      </c>
      <c r="EI36">
        <f t="shared" si="15"/>
        <v>0</v>
      </c>
      <c r="EJ36">
        <f t="shared" si="15"/>
        <v>0</v>
      </c>
      <c r="EK36">
        <f t="shared" si="15"/>
        <v>0</v>
      </c>
      <c r="EL36">
        <f t="shared" si="15"/>
        <v>0</v>
      </c>
      <c r="EM36">
        <f t="shared" si="15"/>
        <v>0</v>
      </c>
      <c r="EN36">
        <f t="shared" si="15"/>
        <v>0</v>
      </c>
      <c r="EO36">
        <f t="shared" si="15"/>
        <v>0</v>
      </c>
      <c r="EP36">
        <f t="shared" si="15"/>
        <v>0</v>
      </c>
      <c r="EQ36">
        <f t="shared" si="15"/>
        <v>0</v>
      </c>
      <c r="ER36">
        <f t="shared" si="15"/>
        <v>0</v>
      </c>
      <c r="ES36">
        <f t="shared" si="15"/>
        <v>0</v>
      </c>
      <c r="ET36">
        <f t="shared" si="15"/>
        <v>0</v>
      </c>
      <c r="EU36">
        <f t="shared" si="15"/>
        <v>0</v>
      </c>
      <c r="EV36">
        <f t="shared" si="15"/>
        <v>0</v>
      </c>
      <c r="EW36">
        <f t="shared" si="15"/>
        <v>0</v>
      </c>
      <c r="EX36">
        <f t="shared" si="15"/>
        <v>0</v>
      </c>
      <c r="EY36">
        <f t="shared" si="15"/>
        <v>0</v>
      </c>
      <c r="EZ36">
        <f t="shared" si="15"/>
        <v>0</v>
      </c>
      <c r="FA36">
        <f t="shared" si="15"/>
        <v>0</v>
      </c>
      <c r="FB36">
        <f t="shared" si="15"/>
        <v>0</v>
      </c>
      <c r="FC36">
        <f t="shared" si="15"/>
        <v>0</v>
      </c>
      <c r="FD36">
        <f t="shared" si="15"/>
        <v>0</v>
      </c>
      <c r="FE36">
        <f t="shared" si="15"/>
        <v>0</v>
      </c>
      <c r="FF36">
        <f t="shared" si="15"/>
        <v>0</v>
      </c>
      <c r="FG36">
        <f t="shared" si="15"/>
        <v>0</v>
      </c>
      <c r="FH36">
        <f t="shared" si="15"/>
        <v>0</v>
      </c>
      <c r="FI36">
        <f t="shared" si="15"/>
        <v>0</v>
      </c>
      <c r="FJ36">
        <f t="shared" si="15"/>
        <v>0</v>
      </c>
      <c r="FK36">
        <f t="shared" si="15"/>
        <v>0</v>
      </c>
      <c r="FL36">
        <f t="shared" si="15"/>
        <v>0</v>
      </c>
      <c r="FM36">
        <f t="shared" si="15"/>
        <v>0</v>
      </c>
      <c r="FN36">
        <f t="shared" si="15"/>
        <v>0</v>
      </c>
      <c r="FO36">
        <f t="shared" si="15"/>
        <v>0</v>
      </c>
      <c r="FP36">
        <f t="shared" si="15"/>
        <v>0</v>
      </c>
      <c r="FQ36">
        <f t="shared" si="15"/>
        <v>0</v>
      </c>
      <c r="FR36">
        <f t="shared" si="15"/>
        <v>0</v>
      </c>
      <c r="FS36">
        <f t="shared" si="15"/>
        <v>0</v>
      </c>
      <c r="FT36">
        <f t="shared" si="15"/>
        <v>0</v>
      </c>
      <c r="FU36">
        <f t="shared" si="15"/>
        <v>0</v>
      </c>
    </row>
    <row r="37" spans="1:177" x14ac:dyDescent="0.25">
      <c r="A37" t="str">
        <f t="shared" ref="A37:D37" si="20">A10</f>
        <v>Galil AR</v>
      </c>
      <c r="B37" t="str">
        <f t="shared" si="20"/>
        <v>Tornado BS</v>
      </c>
      <c r="C37" t="str">
        <f t="shared" si="20"/>
        <v>Other Rifle</v>
      </c>
      <c r="D37" t="str">
        <f t="shared" si="20"/>
        <v>Norse</v>
      </c>
      <c r="E37">
        <f t="shared" si="11"/>
        <v>0</v>
      </c>
      <c r="F37">
        <f t="shared" ref="F37:BQ40" si="21">F10-ROUNDUP(F10*0.3,2)</f>
        <v>0</v>
      </c>
      <c r="G37">
        <f t="shared" si="21"/>
        <v>0</v>
      </c>
      <c r="H37">
        <f t="shared" si="21"/>
        <v>0</v>
      </c>
      <c r="I37">
        <f t="shared" si="21"/>
        <v>0</v>
      </c>
      <c r="J37">
        <f t="shared" si="21"/>
        <v>0</v>
      </c>
      <c r="K37">
        <f t="shared" si="21"/>
        <v>0.77</v>
      </c>
      <c r="L37">
        <f t="shared" si="21"/>
        <v>0.77</v>
      </c>
      <c r="M37">
        <f t="shared" si="21"/>
        <v>0.77</v>
      </c>
      <c r="N37">
        <f t="shared" si="21"/>
        <v>1.06</v>
      </c>
      <c r="O37">
        <f t="shared" si="21"/>
        <v>1.1200000000000001</v>
      </c>
      <c r="P37">
        <f t="shared" si="21"/>
        <v>0.98</v>
      </c>
      <c r="Q37">
        <f t="shared" si="21"/>
        <v>1.01</v>
      </c>
      <c r="R37">
        <f t="shared" si="21"/>
        <v>0.99</v>
      </c>
      <c r="S37">
        <f t="shared" si="21"/>
        <v>1.02</v>
      </c>
      <c r="T37">
        <f t="shared" si="21"/>
        <v>1.02</v>
      </c>
      <c r="U37">
        <f t="shared" si="21"/>
        <v>1</v>
      </c>
      <c r="V37">
        <f t="shared" si="21"/>
        <v>0.98</v>
      </c>
      <c r="W37">
        <f t="shared" si="21"/>
        <v>0.99</v>
      </c>
      <c r="X37">
        <f t="shared" si="21"/>
        <v>1</v>
      </c>
      <c r="Y37">
        <f t="shared" si="21"/>
        <v>1.0900000000000001</v>
      </c>
      <c r="Z37">
        <f t="shared" si="21"/>
        <v>0</v>
      </c>
      <c r="AA37">
        <f t="shared" si="21"/>
        <v>0</v>
      </c>
      <c r="AB37">
        <f t="shared" si="21"/>
        <v>0</v>
      </c>
      <c r="AC37">
        <f t="shared" si="21"/>
        <v>0</v>
      </c>
      <c r="AD37">
        <f t="shared" si="21"/>
        <v>0</v>
      </c>
      <c r="AE37">
        <f t="shared" si="21"/>
        <v>0</v>
      </c>
      <c r="AF37">
        <f t="shared" si="21"/>
        <v>0</v>
      </c>
      <c r="AG37">
        <f t="shared" si="21"/>
        <v>0</v>
      </c>
      <c r="AH37">
        <f t="shared" si="21"/>
        <v>0</v>
      </c>
      <c r="AI37">
        <f t="shared" si="21"/>
        <v>0</v>
      </c>
      <c r="AJ37">
        <f t="shared" si="21"/>
        <v>0</v>
      </c>
      <c r="AK37">
        <f t="shared" si="21"/>
        <v>0</v>
      </c>
      <c r="AL37">
        <f t="shared" si="21"/>
        <v>0</v>
      </c>
      <c r="AM37">
        <f t="shared" si="21"/>
        <v>0</v>
      </c>
      <c r="AN37">
        <f t="shared" si="21"/>
        <v>0</v>
      </c>
      <c r="AO37">
        <f t="shared" si="21"/>
        <v>0</v>
      </c>
      <c r="AP37">
        <f t="shared" si="21"/>
        <v>0</v>
      </c>
      <c r="AQ37">
        <f t="shared" si="21"/>
        <v>0</v>
      </c>
      <c r="AR37">
        <f t="shared" si="21"/>
        <v>0</v>
      </c>
      <c r="AS37">
        <f t="shared" si="21"/>
        <v>0</v>
      </c>
      <c r="AT37">
        <f t="shared" si="21"/>
        <v>0</v>
      </c>
      <c r="AU37">
        <f t="shared" si="21"/>
        <v>0</v>
      </c>
      <c r="AV37">
        <f t="shared" si="21"/>
        <v>0</v>
      </c>
      <c r="AW37">
        <f t="shared" si="21"/>
        <v>0</v>
      </c>
      <c r="AX37">
        <f t="shared" si="21"/>
        <v>0</v>
      </c>
      <c r="AY37">
        <f t="shared" si="21"/>
        <v>0</v>
      </c>
      <c r="AZ37">
        <f t="shared" si="21"/>
        <v>0</v>
      </c>
      <c r="BA37">
        <f t="shared" si="21"/>
        <v>0</v>
      </c>
      <c r="BB37">
        <f t="shared" si="21"/>
        <v>0</v>
      </c>
      <c r="BC37">
        <f t="shared" si="21"/>
        <v>0</v>
      </c>
      <c r="BD37">
        <f t="shared" si="21"/>
        <v>0</v>
      </c>
      <c r="BE37">
        <f t="shared" si="21"/>
        <v>0</v>
      </c>
      <c r="BF37">
        <f t="shared" si="21"/>
        <v>0</v>
      </c>
      <c r="BG37">
        <f t="shared" si="21"/>
        <v>0</v>
      </c>
      <c r="BH37">
        <f t="shared" si="21"/>
        <v>0</v>
      </c>
      <c r="BI37">
        <f t="shared" si="21"/>
        <v>0</v>
      </c>
      <c r="BJ37">
        <f t="shared" si="21"/>
        <v>0</v>
      </c>
      <c r="BK37">
        <f t="shared" si="21"/>
        <v>0</v>
      </c>
      <c r="BL37">
        <f t="shared" si="21"/>
        <v>0</v>
      </c>
      <c r="BM37">
        <f t="shared" si="21"/>
        <v>0</v>
      </c>
      <c r="BN37">
        <f t="shared" si="21"/>
        <v>0</v>
      </c>
      <c r="BO37">
        <f t="shared" si="21"/>
        <v>0</v>
      </c>
      <c r="BP37">
        <f t="shared" si="21"/>
        <v>0</v>
      </c>
      <c r="BQ37">
        <f t="shared" si="21"/>
        <v>0</v>
      </c>
      <c r="BR37">
        <f t="shared" si="19"/>
        <v>0</v>
      </c>
      <c r="BS37">
        <f t="shared" si="19"/>
        <v>0</v>
      </c>
      <c r="BT37">
        <f t="shared" si="19"/>
        <v>0</v>
      </c>
      <c r="BU37">
        <f t="shared" si="19"/>
        <v>0</v>
      </c>
      <c r="BV37">
        <f t="shared" si="19"/>
        <v>0</v>
      </c>
      <c r="BW37">
        <f t="shared" si="19"/>
        <v>0</v>
      </c>
      <c r="BX37">
        <f t="shared" si="19"/>
        <v>0</v>
      </c>
      <c r="BY37">
        <f t="shared" si="19"/>
        <v>0</v>
      </c>
      <c r="BZ37">
        <f t="shared" si="19"/>
        <v>0</v>
      </c>
      <c r="CA37">
        <f t="shared" si="19"/>
        <v>0</v>
      </c>
      <c r="CB37">
        <f t="shared" si="19"/>
        <v>0</v>
      </c>
      <c r="CC37">
        <f t="shared" si="19"/>
        <v>0</v>
      </c>
      <c r="CD37">
        <f t="shared" si="19"/>
        <v>0</v>
      </c>
      <c r="CE37">
        <f t="shared" si="19"/>
        <v>0</v>
      </c>
      <c r="CF37">
        <f t="shared" si="19"/>
        <v>0</v>
      </c>
      <c r="CG37">
        <f t="shared" si="19"/>
        <v>0</v>
      </c>
      <c r="CH37">
        <f t="shared" si="19"/>
        <v>0</v>
      </c>
      <c r="CI37">
        <f t="shared" si="19"/>
        <v>0</v>
      </c>
      <c r="CJ37">
        <f t="shared" si="19"/>
        <v>0</v>
      </c>
      <c r="CK37">
        <f t="shared" si="19"/>
        <v>0</v>
      </c>
      <c r="CL37">
        <f t="shared" si="19"/>
        <v>0</v>
      </c>
      <c r="CM37">
        <f t="shared" si="19"/>
        <v>0</v>
      </c>
      <c r="CN37">
        <f t="shared" si="19"/>
        <v>0</v>
      </c>
      <c r="CO37">
        <f t="shared" si="19"/>
        <v>0</v>
      </c>
      <c r="CP37">
        <f t="shared" si="19"/>
        <v>0</v>
      </c>
      <c r="CQ37">
        <f t="shared" si="19"/>
        <v>0</v>
      </c>
      <c r="CR37">
        <f t="shared" si="19"/>
        <v>0</v>
      </c>
      <c r="CS37">
        <f t="shared" si="19"/>
        <v>0</v>
      </c>
      <c r="CT37">
        <f t="shared" si="19"/>
        <v>0</v>
      </c>
      <c r="CU37">
        <f t="shared" si="19"/>
        <v>0</v>
      </c>
      <c r="CV37">
        <f t="shared" si="19"/>
        <v>0</v>
      </c>
      <c r="CW37">
        <f t="shared" si="19"/>
        <v>0</v>
      </c>
      <c r="CX37">
        <f t="shared" si="19"/>
        <v>0</v>
      </c>
      <c r="CY37">
        <f t="shared" si="19"/>
        <v>0</v>
      </c>
      <c r="CZ37">
        <f t="shared" si="19"/>
        <v>0</v>
      </c>
      <c r="DA37">
        <f t="shared" si="19"/>
        <v>0</v>
      </c>
      <c r="DB37">
        <f t="shared" si="19"/>
        <v>0</v>
      </c>
      <c r="DC37">
        <f t="shared" si="19"/>
        <v>0</v>
      </c>
      <c r="DD37">
        <f t="shared" si="19"/>
        <v>0</v>
      </c>
      <c r="DE37">
        <f t="shared" si="19"/>
        <v>0</v>
      </c>
      <c r="DF37">
        <f t="shared" si="19"/>
        <v>0</v>
      </c>
      <c r="DG37">
        <f t="shared" si="19"/>
        <v>0</v>
      </c>
      <c r="DH37">
        <f t="shared" si="19"/>
        <v>0</v>
      </c>
      <c r="DI37">
        <f t="shared" si="19"/>
        <v>0</v>
      </c>
      <c r="DJ37">
        <f t="shared" si="19"/>
        <v>0</v>
      </c>
      <c r="DK37">
        <f t="shared" si="19"/>
        <v>0</v>
      </c>
      <c r="DL37">
        <f t="shared" si="19"/>
        <v>0</v>
      </c>
      <c r="DM37">
        <f t="shared" si="19"/>
        <v>0</v>
      </c>
      <c r="DN37">
        <f t="shared" si="19"/>
        <v>0</v>
      </c>
      <c r="DO37">
        <f t="shared" si="19"/>
        <v>0</v>
      </c>
      <c r="DP37">
        <f t="shared" si="19"/>
        <v>0</v>
      </c>
      <c r="DQ37">
        <f t="shared" si="19"/>
        <v>0</v>
      </c>
      <c r="DR37">
        <f t="shared" si="19"/>
        <v>0</v>
      </c>
      <c r="DS37">
        <f t="shared" si="19"/>
        <v>0</v>
      </c>
      <c r="DT37">
        <f t="shared" si="19"/>
        <v>0</v>
      </c>
      <c r="DU37">
        <f t="shared" si="19"/>
        <v>0</v>
      </c>
      <c r="DV37">
        <f t="shared" si="19"/>
        <v>0</v>
      </c>
      <c r="DW37">
        <f t="shared" si="19"/>
        <v>0</v>
      </c>
      <c r="DX37">
        <f t="shared" si="19"/>
        <v>0</v>
      </c>
      <c r="DY37">
        <f t="shared" si="19"/>
        <v>0</v>
      </c>
      <c r="DZ37">
        <f t="shared" si="19"/>
        <v>0</v>
      </c>
      <c r="EA37">
        <f t="shared" si="19"/>
        <v>0</v>
      </c>
      <c r="EB37">
        <f t="shared" si="19"/>
        <v>0</v>
      </c>
      <c r="EC37">
        <f t="shared" si="17"/>
        <v>0</v>
      </c>
      <c r="ED37">
        <f t="shared" si="15"/>
        <v>0</v>
      </c>
      <c r="EE37">
        <f t="shared" si="15"/>
        <v>0</v>
      </c>
      <c r="EF37">
        <f t="shared" si="15"/>
        <v>0</v>
      </c>
      <c r="EG37">
        <f t="shared" si="15"/>
        <v>0</v>
      </c>
      <c r="EH37">
        <f t="shared" si="15"/>
        <v>0</v>
      </c>
      <c r="EI37">
        <f t="shared" si="15"/>
        <v>0</v>
      </c>
      <c r="EJ37">
        <f t="shared" si="15"/>
        <v>0</v>
      </c>
      <c r="EK37">
        <f t="shared" si="15"/>
        <v>0</v>
      </c>
      <c r="EL37">
        <f t="shared" si="15"/>
        <v>0</v>
      </c>
      <c r="EM37">
        <f t="shared" si="15"/>
        <v>0</v>
      </c>
      <c r="EN37">
        <f t="shared" si="15"/>
        <v>0</v>
      </c>
      <c r="EO37">
        <f t="shared" si="15"/>
        <v>0</v>
      </c>
      <c r="EP37">
        <f t="shared" si="15"/>
        <v>0</v>
      </c>
      <c r="EQ37">
        <f t="shared" si="15"/>
        <v>0</v>
      </c>
      <c r="ER37">
        <f t="shared" si="15"/>
        <v>0</v>
      </c>
      <c r="ES37">
        <f t="shared" si="15"/>
        <v>0</v>
      </c>
      <c r="ET37">
        <f t="shared" si="15"/>
        <v>0</v>
      </c>
      <c r="EU37">
        <f t="shared" si="15"/>
        <v>0</v>
      </c>
      <c r="EV37">
        <f t="shared" si="15"/>
        <v>0</v>
      </c>
      <c r="EW37">
        <f t="shared" si="15"/>
        <v>0</v>
      </c>
      <c r="EX37">
        <f t="shared" si="15"/>
        <v>0</v>
      </c>
      <c r="EY37">
        <f t="shared" si="15"/>
        <v>0</v>
      </c>
      <c r="EZ37">
        <f t="shared" si="15"/>
        <v>0</v>
      </c>
      <c r="FA37">
        <f t="shared" si="15"/>
        <v>0</v>
      </c>
      <c r="FB37">
        <f t="shared" si="15"/>
        <v>0</v>
      </c>
      <c r="FC37">
        <f t="shared" si="15"/>
        <v>0</v>
      </c>
      <c r="FD37">
        <f t="shared" si="15"/>
        <v>0</v>
      </c>
      <c r="FE37">
        <f t="shared" si="15"/>
        <v>0</v>
      </c>
      <c r="FF37">
        <f t="shared" si="15"/>
        <v>0</v>
      </c>
      <c r="FG37">
        <f t="shared" si="15"/>
        <v>0</v>
      </c>
      <c r="FH37">
        <f t="shared" si="15"/>
        <v>0</v>
      </c>
      <c r="FI37">
        <f t="shared" si="15"/>
        <v>0</v>
      </c>
      <c r="FJ37">
        <f t="shared" si="15"/>
        <v>0</v>
      </c>
      <c r="FK37">
        <f t="shared" si="15"/>
        <v>0</v>
      </c>
      <c r="FL37">
        <f t="shared" si="15"/>
        <v>0</v>
      </c>
      <c r="FM37">
        <f t="shared" si="15"/>
        <v>0</v>
      </c>
      <c r="FN37">
        <f t="shared" si="15"/>
        <v>0</v>
      </c>
      <c r="FO37">
        <f t="shared" si="15"/>
        <v>0</v>
      </c>
      <c r="FP37">
        <f t="shared" si="15"/>
        <v>0</v>
      </c>
      <c r="FQ37">
        <f t="shared" si="15"/>
        <v>0</v>
      </c>
      <c r="FR37">
        <f t="shared" si="15"/>
        <v>0</v>
      </c>
      <c r="FS37">
        <f t="shared" si="15"/>
        <v>0</v>
      </c>
      <c r="FT37">
        <f t="shared" si="15"/>
        <v>0</v>
      </c>
      <c r="FU37">
        <f t="shared" si="15"/>
        <v>0</v>
      </c>
    </row>
    <row r="38" spans="1:177" x14ac:dyDescent="0.25">
      <c r="A38" t="str">
        <f t="shared" ref="A38:D38" si="22">A11</f>
        <v>AUG</v>
      </c>
      <c r="B38" t="str">
        <f t="shared" si="22"/>
        <v>StatTrak Momentum MW</v>
      </c>
      <c r="C38" t="str">
        <f t="shared" si="22"/>
        <v>Other Rifle</v>
      </c>
      <c r="D38" t="str">
        <f t="shared" si="22"/>
        <v>Prisma</v>
      </c>
      <c r="E38">
        <f t="shared" si="11"/>
        <v>0</v>
      </c>
      <c r="F38">
        <f t="shared" si="21"/>
        <v>0</v>
      </c>
      <c r="G38">
        <f t="shared" si="21"/>
        <v>0</v>
      </c>
      <c r="H38">
        <f t="shared" si="21"/>
        <v>0</v>
      </c>
      <c r="I38">
        <f t="shared" si="21"/>
        <v>0</v>
      </c>
      <c r="J38">
        <f t="shared" si="21"/>
        <v>0</v>
      </c>
      <c r="K38">
        <f t="shared" si="21"/>
        <v>13.23</v>
      </c>
      <c r="L38">
        <f t="shared" si="21"/>
        <v>12.59</v>
      </c>
      <c r="M38">
        <f t="shared" si="21"/>
        <v>14.01</v>
      </c>
      <c r="N38">
        <f t="shared" si="21"/>
        <v>13.62</v>
      </c>
      <c r="O38">
        <f t="shared" si="21"/>
        <v>13.600000000000001</v>
      </c>
      <c r="P38">
        <f t="shared" si="21"/>
        <v>13.68</v>
      </c>
      <c r="Q38">
        <f t="shared" si="21"/>
        <v>13.7</v>
      </c>
      <c r="R38">
        <f t="shared" si="21"/>
        <v>13.97</v>
      </c>
      <c r="S38">
        <f t="shared" si="21"/>
        <v>13.209999999999999</v>
      </c>
      <c r="T38">
        <f t="shared" si="21"/>
        <v>13.47</v>
      </c>
      <c r="U38">
        <f t="shared" si="21"/>
        <v>13.280000000000001</v>
      </c>
      <c r="V38">
        <f t="shared" si="21"/>
        <v>13.240000000000002</v>
      </c>
      <c r="W38">
        <f t="shared" si="21"/>
        <v>13.06</v>
      </c>
      <c r="X38">
        <f t="shared" si="21"/>
        <v>13.95</v>
      </c>
      <c r="Y38">
        <f t="shared" si="21"/>
        <v>13.799999999999999</v>
      </c>
      <c r="Z38">
        <f t="shared" si="21"/>
        <v>0</v>
      </c>
      <c r="AA38">
        <f t="shared" si="21"/>
        <v>0</v>
      </c>
      <c r="AB38">
        <f t="shared" si="21"/>
        <v>0</v>
      </c>
      <c r="AC38">
        <f t="shared" si="21"/>
        <v>0</v>
      </c>
      <c r="AD38">
        <f t="shared" si="21"/>
        <v>0</v>
      </c>
      <c r="AE38">
        <f t="shared" si="21"/>
        <v>0</v>
      </c>
      <c r="AF38">
        <f t="shared" si="21"/>
        <v>0</v>
      </c>
      <c r="AG38">
        <f t="shared" si="21"/>
        <v>0</v>
      </c>
      <c r="AH38">
        <f t="shared" si="21"/>
        <v>0</v>
      </c>
      <c r="AI38">
        <f t="shared" si="21"/>
        <v>0</v>
      </c>
      <c r="AJ38">
        <f t="shared" si="21"/>
        <v>0</v>
      </c>
      <c r="AK38">
        <f t="shared" si="21"/>
        <v>0</v>
      </c>
      <c r="AL38">
        <f t="shared" si="21"/>
        <v>0</v>
      </c>
      <c r="AM38">
        <f t="shared" si="21"/>
        <v>0</v>
      </c>
      <c r="AN38">
        <f t="shared" si="21"/>
        <v>0</v>
      </c>
      <c r="AO38">
        <f t="shared" si="21"/>
        <v>0</v>
      </c>
      <c r="AP38">
        <f t="shared" si="21"/>
        <v>0</v>
      </c>
      <c r="AQ38">
        <f t="shared" si="21"/>
        <v>0</v>
      </c>
      <c r="AR38">
        <f t="shared" si="21"/>
        <v>0</v>
      </c>
      <c r="AS38">
        <f t="shared" si="21"/>
        <v>0</v>
      </c>
      <c r="AT38">
        <f t="shared" si="21"/>
        <v>0</v>
      </c>
      <c r="AU38">
        <f t="shared" si="21"/>
        <v>0</v>
      </c>
      <c r="AV38">
        <f t="shared" si="21"/>
        <v>0</v>
      </c>
      <c r="AW38">
        <f t="shared" si="21"/>
        <v>0</v>
      </c>
      <c r="AX38">
        <f t="shared" si="21"/>
        <v>0</v>
      </c>
      <c r="AY38">
        <f t="shared" si="21"/>
        <v>0</v>
      </c>
      <c r="AZ38">
        <f t="shared" si="21"/>
        <v>0</v>
      </c>
      <c r="BA38">
        <f t="shared" si="21"/>
        <v>0</v>
      </c>
      <c r="BB38">
        <f t="shared" si="21"/>
        <v>0</v>
      </c>
      <c r="BC38">
        <f t="shared" si="21"/>
        <v>0</v>
      </c>
      <c r="BD38">
        <f t="shared" si="21"/>
        <v>0</v>
      </c>
      <c r="BE38">
        <f t="shared" si="21"/>
        <v>0</v>
      </c>
      <c r="BF38">
        <f t="shared" si="21"/>
        <v>0</v>
      </c>
      <c r="BG38">
        <f t="shared" si="21"/>
        <v>0</v>
      </c>
      <c r="BH38">
        <f t="shared" si="21"/>
        <v>0</v>
      </c>
      <c r="BI38">
        <f t="shared" si="21"/>
        <v>0</v>
      </c>
      <c r="BJ38">
        <f t="shared" si="21"/>
        <v>0</v>
      </c>
      <c r="BK38">
        <f t="shared" si="21"/>
        <v>0</v>
      </c>
      <c r="BL38">
        <f t="shared" si="21"/>
        <v>0</v>
      </c>
      <c r="BM38">
        <f t="shared" si="21"/>
        <v>0</v>
      </c>
      <c r="BN38">
        <f t="shared" si="21"/>
        <v>0</v>
      </c>
      <c r="BO38">
        <f t="shared" si="21"/>
        <v>0</v>
      </c>
      <c r="BP38">
        <f t="shared" si="21"/>
        <v>0</v>
      </c>
      <c r="BQ38">
        <f t="shared" si="21"/>
        <v>0</v>
      </c>
      <c r="BR38">
        <f t="shared" si="19"/>
        <v>0</v>
      </c>
      <c r="BS38">
        <f t="shared" si="19"/>
        <v>0</v>
      </c>
      <c r="BT38">
        <f t="shared" si="19"/>
        <v>0</v>
      </c>
      <c r="BU38">
        <f t="shared" si="19"/>
        <v>0</v>
      </c>
      <c r="BV38">
        <f t="shared" si="19"/>
        <v>0</v>
      </c>
      <c r="BW38">
        <f t="shared" si="19"/>
        <v>0</v>
      </c>
      <c r="BX38">
        <f t="shared" si="19"/>
        <v>0</v>
      </c>
      <c r="BY38">
        <f t="shared" si="19"/>
        <v>0</v>
      </c>
      <c r="BZ38">
        <f t="shared" si="19"/>
        <v>0</v>
      </c>
      <c r="CA38">
        <f t="shared" si="19"/>
        <v>0</v>
      </c>
      <c r="CB38">
        <f t="shared" si="19"/>
        <v>0</v>
      </c>
      <c r="CC38">
        <f t="shared" si="19"/>
        <v>0</v>
      </c>
      <c r="CD38">
        <f t="shared" si="19"/>
        <v>0</v>
      </c>
      <c r="CE38">
        <f t="shared" si="19"/>
        <v>0</v>
      </c>
      <c r="CF38">
        <f t="shared" si="19"/>
        <v>0</v>
      </c>
      <c r="CG38">
        <f t="shared" si="19"/>
        <v>0</v>
      </c>
      <c r="CH38">
        <f t="shared" si="19"/>
        <v>0</v>
      </c>
      <c r="CI38">
        <f t="shared" si="19"/>
        <v>0</v>
      </c>
      <c r="CJ38">
        <f t="shared" si="19"/>
        <v>0</v>
      </c>
      <c r="CK38">
        <f t="shared" si="19"/>
        <v>0</v>
      </c>
      <c r="CL38">
        <f t="shared" si="19"/>
        <v>0</v>
      </c>
      <c r="CM38">
        <f t="shared" si="19"/>
        <v>0</v>
      </c>
      <c r="CN38">
        <f t="shared" si="19"/>
        <v>0</v>
      </c>
      <c r="CO38">
        <f t="shared" si="19"/>
        <v>0</v>
      </c>
      <c r="CP38">
        <f t="shared" si="19"/>
        <v>0</v>
      </c>
      <c r="CQ38">
        <f t="shared" si="19"/>
        <v>0</v>
      </c>
      <c r="CR38">
        <f t="shared" si="19"/>
        <v>0</v>
      </c>
      <c r="CS38">
        <f t="shared" si="19"/>
        <v>0</v>
      </c>
      <c r="CT38">
        <f t="shared" si="19"/>
        <v>0</v>
      </c>
      <c r="CU38">
        <f t="shared" si="19"/>
        <v>0</v>
      </c>
      <c r="CV38">
        <f t="shared" si="19"/>
        <v>0</v>
      </c>
      <c r="CW38">
        <f t="shared" si="19"/>
        <v>0</v>
      </c>
      <c r="CX38">
        <f t="shared" si="19"/>
        <v>0</v>
      </c>
      <c r="CY38">
        <f t="shared" si="19"/>
        <v>0</v>
      </c>
      <c r="CZ38">
        <f t="shared" si="19"/>
        <v>0</v>
      </c>
      <c r="DA38">
        <f t="shared" si="19"/>
        <v>0</v>
      </c>
      <c r="DB38">
        <f t="shared" si="19"/>
        <v>0</v>
      </c>
      <c r="DC38">
        <f t="shared" si="19"/>
        <v>0</v>
      </c>
      <c r="DD38">
        <f t="shared" si="19"/>
        <v>0</v>
      </c>
      <c r="DE38">
        <f t="shared" si="19"/>
        <v>0</v>
      </c>
      <c r="DF38">
        <f t="shared" si="19"/>
        <v>0</v>
      </c>
      <c r="DG38">
        <f t="shared" si="19"/>
        <v>0</v>
      </c>
      <c r="DH38">
        <f t="shared" si="19"/>
        <v>0</v>
      </c>
      <c r="DI38">
        <f t="shared" si="19"/>
        <v>0</v>
      </c>
      <c r="DJ38">
        <f t="shared" si="19"/>
        <v>0</v>
      </c>
      <c r="DK38">
        <f t="shared" si="19"/>
        <v>0</v>
      </c>
      <c r="DL38">
        <f t="shared" si="19"/>
        <v>0</v>
      </c>
      <c r="DM38">
        <f t="shared" si="19"/>
        <v>0</v>
      </c>
      <c r="DN38">
        <f t="shared" si="19"/>
        <v>0</v>
      </c>
      <c r="DO38">
        <f t="shared" si="19"/>
        <v>0</v>
      </c>
      <c r="DP38">
        <f t="shared" si="19"/>
        <v>0</v>
      </c>
      <c r="DQ38">
        <f t="shared" si="19"/>
        <v>0</v>
      </c>
      <c r="DR38">
        <f t="shared" si="19"/>
        <v>0</v>
      </c>
      <c r="DS38">
        <f t="shared" si="19"/>
        <v>0</v>
      </c>
      <c r="DT38">
        <f t="shared" si="19"/>
        <v>0</v>
      </c>
      <c r="DU38">
        <f t="shared" si="19"/>
        <v>0</v>
      </c>
      <c r="DV38">
        <f t="shared" si="19"/>
        <v>0</v>
      </c>
      <c r="DW38">
        <f t="shared" si="19"/>
        <v>0</v>
      </c>
      <c r="DX38">
        <f t="shared" si="19"/>
        <v>0</v>
      </c>
      <c r="DY38">
        <f t="shared" si="19"/>
        <v>0</v>
      </c>
      <c r="DZ38">
        <f t="shared" si="19"/>
        <v>0</v>
      </c>
      <c r="EA38">
        <f t="shared" si="19"/>
        <v>0</v>
      </c>
      <c r="EB38">
        <f t="shared" si="19"/>
        <v>0</v>
      </c>
      <c r="EC38">
        <f t="shared" si="17"/>
        <v>0</v>
      </c>
      <c r="ED38">
        <f t="shared" si="15"/>
        <v>0</v>
      </c>
      <c r="EE38">
        <f t="shared" si="15"/>
        <v>0</v>
      </c>
      <c r="EF38">
        <f t="shared" si="15"/>
        <v>0</v>
      </c>
      <c r="EG38">
        <f t="shared" si="15"/>
        <v>0</v>
      </c>
      <c r="EH38">
        <f t="shared" si="15"/>
        <v>0</v>
      </c>
      <c r="EI38">
        <f t="shared" si="15"/>
        <v>0</v>
      </c>
      <c r="EJ38">
        <f t="shared" si="15"/>
        <v>0</v>
      </c>
      <c r="EK38">
        <f t="shared" si="15"/>
        <v>0</v>
      </c>
      <c r="EL38">
        <f t="shared" si="15"/>
        <v>0</v>
      </c>
      <c r="EM38">
        <f t="shared" si="15"/>
        <v>0</v>
      </c>
      <c r="EN38">
        <f t="shared" si="15"/>
        <v>0</v>
      </c>
      <c r="EO38">
        <f t="shared" si="15"/>
        <v>0</v>
      </c>
      <c r="EP38">
        <f t="shared" si="15"/>
        <v>0</v>
      </c>
      <c r="EQ38">
        <f t="shared" si="15"/>
        <v>0</v>
      </c>
      <c r="ER38">
        <f t="shared" si="15"/>
        <v>0</v>
      </c>
      <c r="ES38">
        <f t="shared" si="15"/>
        <v>0</v>
      </c>
      <c r="ET38">
        <f t="shared" si="15"/>
        <v>0</v>
      </c>
      <c r="EU38">
        <f t="shared" si="15"/>
        <v>0</v>
      </c>
      <c r="EV38">
        <f t="shared" si="15"/>
        <v>0</v>
      </c>
      <c r="EW38">
        <f t="shared" si="15"/>
        <v>0</v>
      </c>
      <c r="EX38">
        <f t="shared" si="15"/>
        <v>0</v>
      </c>
      <c r="EY38">
        <f t="shared" si="15"/>
        <v>0</v>
      </c>
      <c r="EZ38">
        <f t="shared" si="15"/>
        <v>0</v>
      </c>
      <c r="FA38">
        <f t="shared" si="15"/>
        <v>0</v>
      </c>
      <c r="FB38">
        <f t="shared" si="15"/>
        <v>0</v>
      </c>
      <c r="FC38">
        <f t="shared" si="15"/>
        <v>0</v>
      </c>
      <c r="FD38">
        <f t="shared" si="15"/>
        <v>0</v>
      </c>
      <c r="FE38">
        <f t="shared" si="15"/>
        <v>0</v>
      </c>
      <c r="FF38">
        <f t="shared" si="15"/>
        <v>0</v>
      </c>
      <c r="FG38">
        <f t="shared" si="15"/>
        <v>0</v>
      </c>
      <c r="FH38">
        <f t="shared" si="15"/>
        <v>0</v>
      </c>
      <c r="FI38">
        <f t="shared" si="15"/>
        <v>0</v>
      </c>
      <c r="FJ38">
        <f t="shared" si="15"/>
        <v>0</v>
      </c>
      <c r="FK38">
        <f t="shared" si="15"/>
        <v>0</v>
      </c>
      <c r="FL38">
        <f t="shared" si="15"/>
        <v>0</v>
      </c>
      <c r="FM38">
        <f t="shared" si="15"/>
        <v>0</v>
      </c>
      <c r="FN38">
        <f t="shared" si="15"/>
        <v>0</v>
      </c>
      <c r="FO38">
        <f t="shared" si="15"/>
        <v>0</v>
      </c>
      <c r="FP38">
        <f t="shared" si="15"/>
        <v>0</v>
      </c>
      <c r="FQ38">
        <f t="shared" si="15"/>
        <v>0</v>
      </c>
      <c r="FR38">
        <f t="shared" si="15"/>
        <v>0</v>
      </c>
      <c r="FS38">
        <f t="shared" si="15"/>
        <v>0</v>
      </c>
      <c r="FT38">
        <f t="shared" si="15"/>
        <v>0</v>
      </c>
      <c r="FU38">
        <f t="shared" si="15"/>
        <v>0</v>
      </c>
    </row>
    <row r="39" spans="1:177" x14ac:dyDescent="0.25">
      <c r="A39" t="str">
        <f t="shared" ref="A39:D39" si="23">A12</f>
        <v>Galil AR</v>
      </c>
      <c r="B39" t="str">
        <f t="shared" si="23"/>
        <v>Stone Cold FT</v>
      </c>
      <c r="C39" t="str">
        <f t="shared" si="23"/>
        <v>Other Rifle</v>
      </c>
      <c r="D39" t="str">
        <f t="shared" si="23"/>
        <v>Shadow</v>
      </c>
      <c r="E39">
        <f t="shared" si="11"/>
        <v>0</v>
      </c>
      <c r="F39">
        <f t="shared" si="21"/>
        <v>0</v>
      </c>
      <c r="G39">
        <f t="shared" si="21"/>
        <v>0</v>
      </c>
      <c r="H39">
        <f t="shared" si="21"/>
        <v>0</v>
      </c>
      <c r="I39">
        <f t="shared" si="21"/>
        <v>0</v>
      </c>
      <c r="J39">
        <f t="shared" si="21"/>
        <v>0</v>
      </c>
      <c r="K39">
        <f t="shared" si="21"/>
        <v>2.36</v>
      </c>
      <c r="L39">
        <f t="shared" si="21"/>
        <v>2.17</v>
      </c>
      <c r="M39">
        <f t="shared" si="21"/>
        <v>2.2599999999999998</v>
      </c>
      <c r="N39">
        <f t="shared" si="21"/>
        <v>2.19</v>
      </c>
      <c r="O39">
        <f t="shared" si="21"/>
        <v>2.2600000000000002</v>
      </c>
      <c r="P39">
        <f t="shared" si="21"/>
        <v>2.0500000000000003</v>
      </c>
      <c r="Q39">
        <f t="shared" si="21"/>
        <v>1.9299999999999997</v>
      </c>
      <c r="R39">
        <f t="shared" si="21"/>
        <v>2.14</v>
      </c>
      <c r="S39">
        <f t="shared" si="21"/>
        <v>2.0500000000000003</v>
      </c>
      <c r="T39">
        <f t="shared" si="21"/>
        <v>1.9500000000000002</v>
      </c>
      <c r="U39">
        <f t="shared" si="21"/>
        <v>1.9699999999999998</v>
      </c>
      <c r="V39">
        <f t="shared" si="21"/>
        <v>1.96</v>
      </c>
      <c r="W39">
        <f t="shared" si="21"/>
        <v>1.9900000000000002</v>
      </c>
      <c r="X39">
        <f t="shared" si="21"/>
        <v>1.9699999999999998</v>
      </c>
      <c r="Y39">
        <f t="shared" si="21"/>
        <v>1.8900000000000001</v>
      </c>
      <c r="Z39">
        <f t="shared" si="21"/>
        <v>0</v>
      </c>
      <c r="AA39">
        <f t="shared" si="21"/>
        <v>0</v>
      </c>
      <c r="AB39">
        <f t="shared" si="21"/>
        <v>0</v>
      </c>
      <c r="AC39">
        <f t="shared" si="21"/>
        <v>0</v>
      </c>
      <c r="AD39">
        <f t="shared" si="21"/>
        <v>0</v>
      </c>
      <c r="AE39">
        <f t="shared" si="21"/>
        <v>0</v>
      </c>
      <c r="AF39">
        <f t="shared" si="21"/>
        <v>0</v>
      </c>
      <c r="AG39">
        <f t="shared" si="21"/>
        <v>0</v>
      </c>
      <c r="AH39">
        <f t="shared" si="21"/>
        <v>0</v>
      </c>
      <c r="AI39">
        <f t="shared" si="21"/>
        <v>0</v>
      </c>
      <c r="AJ39">
        <f t="shared" si="21"/>
        <v>0</v>
      </c>
      <c r="AK39">
        <f t="shared" si="21"/>
        <v>0</v>
      </c>
      <c r="AL39">
        <f t="shared" si="21"/>
        <v>0</v>
      </c>
      <c r="AM39">
        <f t="shared" si="21"/>
        <v>0</v>
      </c>
      <c r="AN39">
        <f t="shared" si="21"/>
        <v>0</v>
      </c>
      <c r="AO39">
        <f t="shared" si="21"/>
        <v>0</v>
      </c>
      <c r="AP39">
        <f t="shared" si="21"/>
        <v>0</v>
      </c>
      <c r="AQ39">
        <f t="shared" si="21"/>
        <v>0</v>
      </c>
      <c r="AR39">
        <f t="shared" si="21"/>
        <v>0</v>
      </c>
      <c r="AS39">
        <f t="shared" si="21"/>
        <v>0</v>
      </c>
      <c r="AT39">
        <f t="shared" si="21"/>
        <v>0</v>
      </c>
      <c r="AU39">
        <f t="shared" si="21"/>
        <v>0</v>
      </c>
      <c r="AV39">
        <f t="shared" si="21"/>
        <v>0</v>
      </c>
      <c r="AW39">
        <f t="shared" si="21"/>
        <v>0</v>
      </c>
      <c r="AX39">
        <f t="shared" si="21"/>
        <v>0</v>
      </c>
      <c r="AY39">
        <f t="shared" si="21"/>
        <v>0</v>
      </c>
      <c r="AZ39">
        <f t="shared" si="21"/>
        <v>0</v>
      </c>
      <c r="BA39">
        <f t="shared" si="21"/>
        <v>0</v>
      </c>
      <c r="BB39">
        <f t="shared" si="21"/>
        <v>0</v>
      </c>
      <c r="BC39">
        <f t="shared" si="21"/>
        <v>0</v>
      </c>
      <c r="BD39">
        <f t="shared" si="21"/>
        <v>0</v>
      </c>
      <c r="BE39">
        <f t="shared" si="21"/>
        <v>0</v>
      </c>
      <c r="BF39">
        <f t="shared" si="21"/>
        <v>0</v>
      </c>
      <c r="BG39">
        <f t="shared" si="21"/>
        <v>0</v>
      </c>
      <c r="BH39">
        <f t="shared" si="21"/>
        <v>0</v>
      </c>
      <c r="BI39">
        <f t="shared" si="21"/>
        <v>0</v>
      </c>
      <c r="BJ39">
        <f t="shared" si="21"/>
        <v>0</v>
      </c>
      <c r="BK39">
        <f t="shared" si="21"/>
        <v>0</v>
      </c>
      <c r="BL39">
        <f t="shared" si="21"/>
        <v>0</v>
      </c>
      <c r="BM39">
        <f t="shared" si="21"/>
        <v>0</v>
      </c>
      <c r="BN39">
        <f t="shared" si="21"/>
        <v>0</v>
      </c>
      <c r="BO39">
        <f t="shared" si="21"/>
        <v>0</v>
      </c>
      <c r="BP39">
        <f t="shared" si="21"/>
        <v>0</v>
      </c>
      <c r="BQ39">
        <f t="shared" si="21"/>
        <v>0</v>
      </c>
      <c r="BR39">
        <f t="shared" si="19"/>
        <v>0</v>
      </c>
      <c r="BS39">
        <f t="shared" si="19"/>
        <v>0</v>
      </c>
      <c r="BT39">
        <f t="shared" si="19"/>
        <v>0</v>
      </c>
      <c r="BU39">
        <f t="shared" si="19"/>
        <v>0</v>
      </c>
      <c r="BV39">
        <f t="shared" si="19"/>
        <v>0</v>
      </c>
      <c r="BW39">
        <f t="shared" si="19"/>
        <v>0</v>
      </c>
      <c r="BX39">
        <f t="shared" si="19"/>
        <v>0</v>
      </c>
      <c r="BY39">
        <f t="shared" si="19"/>
        <v>0</v>
      </c>
      <c r="BZ39">
        <f t="shared" si="19"/>
        <v>0</v>
      </c>
      <c r="CA39">
        <f t="shared" si="19"/>
        <v>0</v>
      </c>
      <c r="CB39">
        <f t="shared" si="19"/>
        <v>0</v>
      </c>
      <c r="CC39">
        <f t="shared" si="19"/>
        <v>0</v>
      </c>
      <c r="CD39">
        <f t="shared" si="19"/>
        <v>0</v>
      </c>
      <c r="CE39">
        <f t="shared" si="19"/>
        <v>0</v>
      </c>
      <c r="CF39">
        <f t="shared" si="19"/>
        <v>0</v>
      </c>
      <c r="CG39">
        <f t="shared" si="19"/>
        <v>0</v>
      </c>
      <c r="CH39">
        <f t="shared" si="19"/>
        <v>0</v>
      </c>
      <c r="CI39">
        <f t="shared" si="19"/>
        <v>0</v>
      </c>
      <c r="CJ39">
        <f t="shared" si="19"/>
        <v>0</v>
      </c>
      <c r="CK39">
        <f t="shared" si="19"/>
        <v>0</v>
      </c>
      <c r="CL39">
        <f t="shared" si="19"/>
        <v>0</v>
      </c>
      <c r="CM39">
        <f t="shared" si="19"/>
        <v>0</v>
      </c>
      <c r="CN39">
        <f t="shared" si="19"/>
        <v>0</v>
      </c>
      <c r="CO39">
        <f t="shared" si="19"/>
        <v>0</v>
      </c>
      <c r="CP39">
        <f t="shared" si="19"/>
        <v>0</v>
      </c>
      <c r="CQ39">
        <f t="shared" si="19"/>
        <v>0</v>
      </c>
      <c r="CR39">
        <f t="shared" si="19"/>
        <v>0</v>
      </c>
      <c r="CS39">
        <f t="shared" si="19"/>
        <v>0</v>
      </c>
      <c r="CT39">
        <f t="shared" si="19"/>
        <v>0</v>
      </c>
      <c r="CU39">
        <f t="shared" si="19"/>
        <v>0</v>
      </c>
      <c r="CV39">
        <f t="shared" si="19"/>
        <v>0</v>
      </c>
      <c r="CW39">
        <f t="shared" si="19"/>
        <v>0</v>
      </c>
      <c r="CX39">
        <f t="shared" si="19"/>
        <v>0</v>
      </c>
      <c r="CY39">
        <f t="shared" si="19"/>
        <v>0</v>
      </c>
      <c r="CZ39">
        <f t="shared" si="19"/>
        <v>0</v>
      </c>
      <c r="DA39">
        <f t="shared" si="19"/>
        <v>0</v>
      </c>
      <c r="DB39">
        <f t="shared" si="19"/>
        <v>0</v>
      </c>
      <c r="DC39">
        <f t="shared" si="19"/>
        <v>0</v>
      </c>
      <c r="DD39">
        <f t="shared" si="19"/>
        <v>0</v>
      </c>
      <c r="DE39">
        <f t="shared" si="19"/>
        <v>0</v>
      </c>
      <c r="DF39">
        <f t="shared" si="19"/>
        <v>0</v>
      </c>
      <c r="DG39">
        <f t="shared" si="19"/>
        <v>0</v>
      </c>
      <c r="DH39">
        <f t="shared" si="19"/>
        <v>0</v>
      </c>
      <c r="DI39">
        <f t="shared" si="19"/>
        <v>0</v>
      </c>
      <c r="DJ39">
        <f t="shared" si="19"/>
        <v>0</v>
      </c>
      <c r="DK39">
        <f t="shared" si="19"/>
        <v>0</v>
      </c>
      <c r="DL39">
        <f t="shared" si="19"/>
        <v>0</v>
      </c>
      <c r="DM39">
        <f t="shared" si="19"/>
        <v>0</v>
      </c>
      <c r="DN39">
        <f t="shared" si="19"/>
        <v>0</v>
      </c>
      <c r="DO39">
        <f t="shared" si="19"/>
        <v>0</v>
      </c>
      <c r="DP39">
        <f t="shared" si="19"/>
        <v>0</v>
      </c>
      <c r="DQ39">
        <f t="shared" si="19"/>
        <v>0</v>
      </c>
      <c r="DR39">
        <f t="shared" si="19"/>
        <v>0</v>
      </c>
      <c r="DS39">
        <f t="shared" si="19"/>
        <v>0</v>
      </c>
      <c r="DT39">
        <f t="shared" si="19"/>
        <v>0</v>
      </c>
      <c r="DU39">
        <f t="shared" si="19"/>
        <v>0</v>
      </c>
      <c r="DV39">
        <f t="shared" si="19"/>
        <v>0</v>
      </c>
      <c r="DW39">
        <f t="shared" si="19"/>
        <v>0</v>
      </c>
      <c r="DX39">
        <f t="shared" si="19"/>
        <v>0</v>
      </c>
      <c r="DY39">
        <f t="shared" si="19"/>
        <v>0</v>
      </c>
      <c r="DZ39">
        <f t="shared" si="19"/>
        <v>0</v>
      </c>
      <c r="EA39">
        <f t="shared" si="19"/>
        <v>0</v>
      </c>
      <c r="EB39">
        <f t="shared" si="19"/>
        <v>0</v>
      </c>
      <c r="EC39">
        <f t="shared" si="17"/>
        <v>0</v>
      </c>
      <c r="ED39">
        <f t="shared" si="15"/>
        <v>0</v>
      </c>
      <c r="EE39">
        <f t="shared" si="15"/>
        <v>0</v>
      </c>
      <c r="EF39">
        <f t="shared" si="15"/>
        <v>0</v>
      </c>
      <c r="EG39">
        <f t="shared" si="15"/>
        <v>0</v>
      </c>
      <c r="EH39">
        <f t="shared" si="15"/>
        <v>0</v>
      </c>
      <c r="EI39">
        <f t="shared" si="15"/>
        <v>0</v>
      </c>
      <c r="EJ39">
        <f t="shared" si="15"/>
        <v>0</v>
      </c>
      <c r="EK39">
        <f t="shared" si="15"/>
        <v>0</v>
      </c>
      <c r="EL39">
        <f t="shared" si="15"/>
        <v>0</v>
      </c>
      <c r="EM39">
        <f t="shared" si="15"/>
        <v>0</v>
      </c>
      <c r="EN39">
        <f t="shared" si="15"/>
        <v>0</v>
      </c>
      <c r="EO39">
        <f t="shared" si="15"/>
        <v>0</v>
      </c>
      <c r="EP39">
        <f t="shared" si="15"/>
        <v>0</v>
      </c>
      <c r="EQ39">
        <f t="shared" si="15"/>
        <v>0</v>
      </c>
      <c r="ER39">
        <f t="shared" si="15"/>
        <v>0</v>
      </c>
      <c r="ES39">
        <f t="shared" si="15"/>
        <v>0</v>
      </c>
      <c r="ET39">
        <f t="shared" si="15"/>
        <v>0</v>
      </c>
      <c r="EU39">
        <f t="shared" si="15"/>
        <v>0</v>
      </c>
      <c r="EV39">
        <f t="shared" si="15"/>
        <v>0</v>
      </c>
      <c r="EW39">
        <f t="shared" si="15"/>
        <v>0</v>
      </c>
      <c r="EX39">
        <f t="shared" si="15"/>
        <v>0</v>
      </c>
      <c r="EY39">
        <f t="shared" si="15"/>
        <v>0</v>
      </c>
      <c r="EZ39">
        <f t="shared" si="15"/>
        <v>0</v>
      </c>
      <c r="FA39">
        <f t="shared" si="15"/>
        <v>0</v>
      </c>
      <c r="FB39">
        <f t="shared" si="15"/>
        <v>0</v>
      </c>
      <c r="FC39">
        <f t="shared" si="15"/>
        <v>0</v>
      </c>
      <c r="FD39">
        <f t="shared" si="15"/>
        <v>0</v>
      </c>
      <c r="FE39">
        <f t="shared" si="15"/>
        <v>0</v>
      </c>
      <c r="FF39">
        <f t="shared" si="15"/>
        <v>0</v>
      </c>
      <c r="FG39">
        <f t="shared" si="15"/>
        <v>0</v>
      </c>
      <c r="FH39">
        <f t="shared" si="15"/>
        <v>0</v>
      </c>
      <c r="FI39">
        <f t="shared" si="15"/>
        <v>0</v>
      </c>
      <c r="FJ39">
        <f t="shared" si="15"/>
        <v>0</v>
      </c>
      <c r="FK39">
        <f t="shared" si="15"/>
        <v>0</v>
      </c>
      <c r="FL39">
        <f t="shared" ref="FL39:FU39" si="24">FL12-ROUNDUP(FL12*0.3,2)</f>
        <v>0</v>
      </c>
      <c r="FM39">
        <f t="shared" si="24"/>
        <v>0</v>
      </c>
      <c r="FN39">
        <f t="shared" si="24"/>
        <v>0</v>
      </c>
      <c r="FO39">
        <f t="shared" si="24"/>
        <v>0</v>
      </c>
      <c r="FP39">
        <f t="shared" si="24"/>
        <v>0</v>
      </c>
      <c r="FQ39">
        <f t="shared" si="24"/>
        <v>0</v>
      </c>
      <c r="FR39">
        <f t="shared" si="24"/>
        <v>0</v>
      </c>
      <c r="FS39">
        <f t="shared" si="24"/>
        <v>0</v>
      </c>
      <c r="FT39">
        <f t="shared" si="24"/>
        <v>0</v>
      </c>
      <c r="FU39">
        <f t="shared" si="24"/>
        <v>0</v>
      </c>
    </row>
    <row r="40" spans="1:177" x14ac:dyDescent="0.25">
      <c r="A40" t="str">
        <f t="shared" ref="A40:D40" si="25">A13</f>
        <v>SSG 08</v>
      </c>
      <c r="B40" t="str">
        <f t="shared" si="25"/>
        <v>StatTrak Death's Head MW</v>
      </c>
      <c r="C40" t="str">
        <f t="shared" si="25"/>
        <v>Other Rifle</v>
      </c>
      <c r="D40" t="str">
        <f t="shared" si="25"/>
        <v>Hydra</v>
      </c>
      <c r="E40">
        <f t="shared" si="11"/>
        <v>0</v>
      </c>
      <c r="F40">
        <f t="shared" si="21"/>
        <v>0</v>
      </c>
      <c r="G40">
        <f t="shared" si="21"/>
        <v>0</v>
      </c>
      <c r="H40">
        <f t="shared" si="21"/>
        <v>0</v>
      </c>
      <c r="I40">
        <f t="shared" si="21"/>
        <v>0</v>
      </c>
      <c r="J40">
        <f t="shared" si="21"/>
        <v>0</v>
      </c>
      <c r="K40">
        <f t="shared" si="21"/>
        <v>7.59</v>
      </c>
      <c r="L40">
        <f t="shared" si="21"/>
        <v>6.9499999999999993</v>
      </c>
      <c r="M40">
        <f t="shared" si="21"/>
        <v>7.59</v>
      </c>
      <c r="N40">
        <f t="shared" si="21"/>
        <v>7.6</v>
      </c>
      <c r="O40">
        <f t="shared" si="21"/>
        <v>7.6</v>
      </c>
      <c r="P40">
        <f t="shared" si="21"/>
        <v>7.9499999999999993</v>
      </c>
      <c r="Q40">
        <f t="shared" si="21"/>
        <v>8.1199999999999992</v>
      </c>
      <c r="R40">
        <f t="shared" si="21"/>
        <v>8.11</v>
      </c>
      <c r="S40">
        <f t="shared" si="21"/>
        <v>8.0200000000000014</v>
      </c>
      <c r="T40">
        <f t="shared" si="21"/>
        <v>7.8600000000000012</v>
      </c>
      <c r="U40">
        <f t="shared" si="21"/>
        <v>7.7900000000000009</v>
      </c>
      <c r="V40">
        <f t="shared" si="21"/>
        <v>7.99</v>
      </c>
      <c r="W40">
        <f t="shared" si="21"/>
        <v>8.2999999999999989</v>
      </c>
      <c r="X40">
        <f t="shared" si="21"/>
        <v>10.1</v>
      </c>
      <c r="Y40">
        <f t="shared" si="21"/>
        <v>9.7800000000000011</v>
      </c>
      <c r="Z40">
        <f t="shared" si="21"/>
        <v>0</v>
      </c>
      <c r="AA40">
        <f t="shared" si="21"/>
        <v>0</v>
      </c>
      <c r="AB40">
        <f t="shared" si="21"/>
        <v>0</v>
      </c>
      <c r="AC40">
        <f t="shared" si="21"/>
        <v>0</v>
      </c>
      <c r="AD40">
        <f t="shared" si="21"/>
        <v>0</v>
      </c>
      <c r="AE40">
        <f t="shared" si="21"/>
        <v>0</v>
      </c>
      <c r="AF40">
        <f t="shared" si="21"/>
        <v>0</v>
      </c>
      <c r="AG40">
        <f t="shared" si="21"/>
        <v>0</v>
      </c>
      <c r="AH40">
        <f t="shared" si="21"/>
        <v>0</v>
      </c>
      <c r="AI40">
        <f t="shared" si="21"/>
        <v>0</v>
      </c>
      <c r="AJ40">
        <f t="shared" si="21"/>
        <v>0</v>
      </c>
      <c r="AK40">
        <f t="shared" si="21"/>
        <v>0</v>
      </c>
      <c r="AL40">
        <f t="shared" si="21"/>
        <v>0</v>
      </c>
      <c r="AM40">
        <f t="shared" si="21"/>
        <v>0</v>
      </c>
      <c r="AN40">
        <f t="shared" si="21"/>
        <v>0</v>
      </c>
      <c r="AO40">
        <f t="shared" si="21"/>
        <v>0</v>
      </c>
      <c r="AP40">
        <f t="shared" si="21"/>
        <v>0</v>
      </c>
      <c r="AQ40">
        <f t="shared" si="21"/>
        <v>0</v>
      </c>
      <c r="AR40">
        <f t="shared" si="21"/>
        <v>0</v>
      </c>
      <c r="AS40">
        <f t="shared" si="21"/>
        <v>0</v>
      </c>
      <c r="AT40">
        <f t="shared" si="21"/>
        <v>0</v>
      </c>
      <c r="AU40">
        <f t="shared" si="21"/>
        <v>0</v>
      </c>
      <c r="AV40">
        <f t="shared" si="21"/>
        <v>0</v>
      </c>
      <c r="AW40">
        <f t="shared" si="21"/>
        <v>0</v>
      </c>
      <c r="AX40">
        <f t="shared" si="21"/>
        <v>0</v>
      </c>
      <c r="AY40">
        <f t="shared" si="21"/>
        <v>0</v>
      </c>
      <c r="AZ40">
        <f t="shared" si="21"/>
        <v>0</v>
      </c>
      <c r="BA40">
        <f t="shared" si="21"/>
        <v>0</v>
      </c>
      <c r="BB40">
        <f t="shared" si="21"/>
        <v>0</v>
      </c>
      <c r="BC40">
        <f t="shared" si="21"/>
        <v>0</v>
      </c>
      <c r="BD40">
        <f t="shared" si="21"/>
        <v>0</v>
      </c>
      <c r="BE40">
        <f t="shared" si="21"/>
        <v>0</v>
      </c>
      <c r="BF40">
        <f t="shared" si="21"/>
        <v>0</v>
      </c>
      <c r="BG40">
        <f t="shared" si="21"/>
        <v>0</v>
      </c>
      <c r="BH40">
        <f t="shared" si="21"/>
        <v>0</v>
      </c>
      <c r="BI40">
        <f t="shared" si="21"/>
        <v>0</v>
      </c>
      <c r="BJ40">
        <f t="shared" si="21"/>
        <v>0</v>
      </c>
      <c r="BK40">
        <f t="shared" si="21"/>
        <v>0</v>
      </c>
      <c r="BL40">
        <f t="shared" si="21"/>
        <v>0</v>
      </c>
      <c r="BM40">
        <f t="shared" si="21"/>
        <v>0</v>
      </c>
      <c r="BN40">
        <f t="shared" si="21"/>
        <v>0</v>
      </c>
      <c r="BO40">
        <f t="shared" si="21"/>
        <v>0</v>
      </c>
      <c r="BP40">
        <f t="shared" si="21"/>
        <v>0</v>
      </c>
      <c r="BQ40">
        <f t="shared" ref="BQ40:EB43" si="26">BQ13-ROUNDUP(BQ13*0.3,2)</f>
        <v>0</v>
      </c>
      <c r="BR40">
        <f t="shared" si="26"/>
        <v>0</v>
      </c>
      <c r="BS40">
        <f t="shared" si="26"/>
        <v>0</v>
      </c>
      <c r="BT40">
        <f t="shared" si="26"/>
        <v>0</v>
      </c>
      <c r="BU40">
        <f t="shared" si="26"/>
        <v>0</v>
      </c>
      <c r="BV40">
        <f t="shared" si="26"/>
        <v>0</v>
      </c>
      <c r="BW40">
        <f t="shared" si="26"/>
        <v>0</v>
      </c>
      <c r="BX40">
        <f t="shared" si="26"/>
        <v>0</v>
      </c>
      <c r="BY40">
        <f t="shared" si="26"/>
        <v>0</v>
      </c>
      <c r="BZ40">
        <f t="shared" si="26"/>
        <v>0</v>
      </c>
      <c r="CA40">
        <f t="shared" si="26"/>
        <v>0</v>
      </c>
      <c r="CB40">
        <f t="shared" si="26"/>
        <v>0</v>
      </c>
      <c r="CC40">
        <f t="shared" si="26"/>
        <v>0</v>
      </c>
      <c r="CD40">
        <f t="shared" si="26"/>
        <v>0</v>
      </c>
      <c r="CE40">
        <f t="shared" si="26"/>
        <v>0</v>
      </c>
      <c r="CF40">
        <f t="shared" si="26"/>
        <v>0</v>
      </c>
      <c r="CG40">
        <f t="shared" si="26"/>
        <v>0</v>
      </c>
      <c r="CH40">
        <f t="shared" si="26"/>
        <v>0</v>
      </c>
      <c r="CI40">
        <f t="shared" si="26"/>
        <v>0</v>
      </c>
      <c r="CJ40">
        <f t="shared" si="26"/>
        <v>0</v>
      </c>
      <c r="CK40">
        <f t="shared" si="26"/>
        <v>0</v>
      </c>
      <c r="CL40">
        <f t="shared" si="26"/>
        <v>0</v>
      </c>
      <c r="CM40">
        <f t="shared" si="26"/>
        <v>0</v>
      </c>
      <c r="CN40">
        <f t="shared" si="26"/>
        <v>0</v>
      </c>
      <c r="CO40">
        <f t="shared" si="26"/>
        <v>0</v>
      </c>
      <c r="CP40">
        <f t="shared" si="26"/>
        <v>0</v>
      </c>
      <c r="CQ40">
        <f t="shared" si="26"/>
        <v>0</v>
      </c>
      <c r="CR40">
        <f t="shared" si="26"/>
        <v>0</v>
      </c>
      <c r="CS40">
        <f t="shared" si="26"/>
        <v>0</v>
      </c>
      <c r="CT40">
        <f t="shared" si="26"/>
        <v>0</v>
      </c>
      <c r="CU40">
        <f t="shared" si="26"/>
        <v>0</v>
      </c>
      <c r="CV40">
        <f t="shared" si="26"/>
        <v>0</v>
      </c>
      <c r="CW40">
        <f t="shared" si="26"/>
        <v>0</v>
      </c>
      <c r="CX40">
        <f t="shared" si="26"/>
        <v>0</v>
      </c>
      <c r="CY40">
        <f t="shared" si="26"/>
        <v>0</v>
      </c>
      <c r="CZ40">
        <f t="shared" si="26"/>
        <v>0</v>
      </c>
      <c r="DA40">
        <f t="shared" si="26"/>
        <v>0</v>
      </c>
      <c r="DB40">
        <f t="shared" si="26"/>
        <v>0</v>
      </c>
      <c r="DC40">
        <f t="shared" si="26"/>
        <v>0</v>
      </c>
      <c r="DD40">
        <f t="shared" si="26"/>
        <v>0</v>
      </c>
      <c r="DE40">
        <f t="shared" si="26"/>
        <v>0</v>
      </c>
      <c r="DF40">
        <f t="shared" si="26"/>
        <v>0</v>
      </c>
      <c r="DG40">
        <f t="shared" si="26"/>
        <v>0</v>
      </c>
      <c r="DH40">
        <f t="shared" si="26"/>
        <v>0</v>
      </c>
      <c r="DI40">
        <f t="shared" si="26"/>
        <v>0</v>
      </c>
      <c r="DJ40">
        <f t="shared" si="26"/>
        <v>0</v>
      </c>
      <c r="DK40">
        <f t="shared" si="26"/>
        <v>0</v>
      </c>
      <c r="DL40">
        <f t="shared" si="26"/>
        <v>0</v>
      </c>
      <c r="DM40">
        <f t="shared" si="26"/>
        <v>0</v>
      </c>
      <c r="DN40">
        <f t="shared" si="26"/>
        <v>0</v>
      </c>
      <c r="DO40">
        <f t="shared" si="26"/>
        <v>0</v>
      </c>
      <c r="DP40">
        <f t="shared" si="26"/>
        <v>0</v>
      </c>
      <c r="DQ40">
        <f t="shared" si="26"/>
        <v>0</v>
      </c>
      <c r="DR40">
        <f t="shared" si="26"/>
        <v>0</v>
      </c>
      <c r="DS40">
        <f t="shared" si="26"/>
        <v>0</v>
      </c>
      <c r="DT40">
        <f t="shared" si="26"/>
        <v>0</v>
      </c>
      <c r="DU40">
        <f t="shared" si="26"/>
        <v>0</v>
      </c>
      <c r="DV40">
        <f t="shared" si="26"/>
        <v>0</v>
      </c>
      <c r="DW40">
        <f t="shared" si="26"/>
        <v>0</v>
      </c>
      <c r="DX40">
        <f t="shared" si="26"/>
        <v>0</v>
      </c>
      <c r="DY40">
        <f t="shared" si="26"/>
        <v>0</v>
      </c>
      <c r="DZ40">
        <f t="shared" si="26"/>
        <v>0</v>
      </c>
      <c r="EA40">
        <f t="shared" si="26"/>
        <v>0</v>
      </c>
      <c r="EB40">
        <f t="shared" si="26"/>
        <v>0</v>
      </c>
      <c r="EC40">
        <f t="shared" si="17"/>
        <v>0</v>
      </c>
      <c r="ED40">
        <f t="shared" ref="ED40:FU45" si="27">ED13-ROUNDUP(ED13*0.3,2)</f>
        <v>0</v>
      </c>
      <c r="EE40">
        <f t="shared" si="27"/>
        <v>0</v>
      </c>
      <c r="EF40">
        <f t="shared" si="27"/>
        <v>0</v>
      </c>
      <c r="EG40">
        <f t="shared" si="27"/>
        <v>0</v>
      </c>
      <c r="EH40">
        <f t="shared" si="27"/>
        <v>0</v>
      </c>
      <c r="EI40">
        <f t="shared" si="27"/>
        <v>0</v>
      </c>
      <c r="EJ40">
        <f t="shared" si="27"/>
        <v>0</v>
      </c>
      <c r="EK40">
        <f t="shared" si="27"/>
        <v>0</v>
      </c>
      <c r="EL40">
        <f t="shared" si="27"/>
        <v>0</v>
      </c>
      <c r="EM40">
        <f t="shared" si="27"/>
        <v>0</v>
      </c>
      <c r="EN40">
        <f t="shared" si="27"/>
        <v>0</v>
      </c>
      <c r="EO40">
        <f t="shared" si="27"/>
        <v>0</v>
      </c>
      <c r="EP40">
        <f t="shared" si="27"/>
        <v>0</v>
      </c>
      <c r="EQ40">
        <f t="shared" si="27"/>
        <v>0</v>
      </c>
      <c r="ER40">
        <f t="shared" si="27"/>
        <v>0</v>
      </c>
      <c r="ES40">
        <f t="shared" si="27"/>
        <v>0</v>
      </c>
      <c r="ET40">
        <f t="shared" si="27"/>
        <v>0</v>
      </c>
      <c r="EU40">
        <f t="shared" si="27"/>
        <v>0</v>
      </c>
      <c r="EV40">
        <f t="shared" si="27"/>
        <v>0</v>
      </c>
      <c r="EW40">
        <f t="shared" si="27"/>
        <v>0</v>
      </c>
      <c r="EX40">
        <f t="shared" si="27"/>
        <v>0</v>
      </c>
      <c r="EY40">
        <f t="shared" si="27"/>
        <v>0</v>
      </c>
      <c r="EZ40">
        <f t="shared" si="27"/>
        <v>0</v>
      </c>
      <c r="FA40">
        <f t="shared" si="27"/>
        <v>0</v>
      </c>
      <c r="FB40">
        <f t="shared" si="27"/>
        <v>0</v>
      </c>
      <c r="FC40">
        <f t="shared" si="27"/>
        <v>0</v>
      </c>
      <c r="FD40">
        <f t="shared" si="27"/>
        <v>0</v>
      </c>
      <c r="FE40">
        <f t="shared" si="27"/>
        <v>0</v>
      </c>
      <c r="FF40">
        <f t="shared" si="27"/>
        <v>0</v>
      </c>
      <c r="FG40">
        <f t="shared" si="27"/>
        <v>0</v>
      </c>
      <c r="FH40">
        <f t="shared" si="27"/>
        <v>0</v>
      </c>
      <c r="FI40">
        <f t="shared" si="27"/>
        <v>0</v>
      </c>
      <c r="FJ40">
        <f t="shared" si="27"/>
        <v>0</v>
      </c>
      <c r="FK40">
        <f t="shared" si="27"/>
        <v>0</v>
      </c>
      <c r="FL40">
        <f t="shared" si="27"/>
        <v>0</v>
      </c>
      <c r="FM40">
        <f t="shared" si="27"/>
        <v>0</v>
      </c>
      <c r="FN40">
        <f t="shared" si="27"/>
        <v>0</v>
      </c>
      <c r="FO40">
        <f t="shared" si="27"/>
        <v>0</v>
      </c>
      <c r="FP40">
        <f t="shared" si="27"/>
        <v>0</v>
      </c>
      <c r="FQ40">
        <f t="shared" si="27"/>
        <v>0</v>
      </c>
      <c r="FR40">
        <f t="shared" si="27"/>
        <v>0</v>
      </c>
      <c r="FS40">
        <f t="shared" si="27"/>
        <v>0</v>
      </c>
      <c r="FT40">
        <f t="shared" si="27"/>
        <v>0</v>
      </c>
      <c r="FU40">
        <f t="shared" si="27"/>
        <v>0</v>
      </c>
    </row>
    <row r="41" spans="1:177" x14ac:dyDescent="0.25">
      <c r="A41" t="str">
        <f t="shared" ref="A41:D41" si="28">A14</f>
        <v>FAMAS</v>
      </c>
      <c r="B41" t="str">
        <f t="shared" si="28"/>
        <v>Roll Cage MW</v>
      </c>
      <c r="C41" t="str">
        <f t="shared" si="28"/>
        <v>Other Rifle</v>
      </c>
      <c r="D41" t="str">
        <f t="shared" si="28"/>
        <v>Gamma 2</v>
      </c>
      <c r="E41">
        <f t="shared" si="11"/>
        <v>0</v>
      </c>
      <c r="F41">
        <f t="shared" ref="F41:BQ44" si="29">F14-ROUNDUP(F14*0.3,2)</f>
        <v>0</v>
      </c>
      <c r="G41">
        <f t="shared" si="29"/>
        <v>0</v>
      </c>
      <c r="H41">
        <f t="shared" si="29"/>
        <v>0</v>
      </c>
      <c r="I41">
        <f t="shared" si="29"/>
        <v>0</v>
      </c>
      <c r="J41">
        <f t="shared" si="29"/>
        <v>0</v>
      </c>
      <c r="K41">
        <f t="shared" si="29"/>
        <v>4.3499999999999996</v>
      </c>
      <c r="L41">
        <f t="shared" si="29"/>
        <v>4.3600000000000003</v>
      </c>
      <c r="M41">
        <f t="shared" si="29"/>
        <v>4.4800000000000004</v>
      </c>
      <c r="N41">
        <f t="shared" si="29"/>
        <v>4.22</v>
      </c>
      <c r="O41">
        <f t="shared" si="29"/>
        <v>4.55</v>
      </c>
      <c r="P41">
        <f t="shared" si="29"/>
        <v>4.4399999999999995</v>
      </c>
      <c r="Q41">
        <f t="shared" si="29"/>
        <v>4.1199999999999992</v>
      </c>
      <c r="R41">
        <f t="shared" si="29"/>
        <v>4.2700000000000005</v>
      </c>
      <c r="S41">
        <f t="shared" si="29"/>
        <v>4.38</v>
      </c>
      <c r="T41">
        <f t="shared" si="29"/>
        <v>4.5599999999999996</v>
      </c>
      <c r="U41">
        <f t="shared" si="29"/>
        <v>4.41</v>
      </c>
      <c r="V41">
        <f t="shared" si="29"/>
        <v>4.47</v>
      </c>
      <c r="W41">
        <f t="shared" si="29"/>
        <v>4.43</v>
      </c>
      <c r="X41">
        <f t="shared" si="29"/>
        <v>4.5199999999999996</v>
      </c>
      <c r="Y41">
        <f t="shared" si="29"/>
        <v>4.38</v>
      </c>
      <c r="Z41">
        <f t="shared" si="29"/>
        <v>0</v>
      </c>
      <c r="AA41">
        <f t="shared" si="29"/>
        <v>0</v>
      </c>
      <c r="AB41">
        <f t="shared" si="29"/>
        <v>0</v>
      </c>
      <c r="AC41">
        <f t="shared" si="29"/>
        <v>0</v>
      </c>
      <c r="AD41">
        <f t="shared" si="29"/>
        <v>0</v>
      </c>
      <c r="AE41">
        <f t="shared" si="29"/>
        <v>0</v>
      </c>
      <c r="AF41">
        <f t="shared" si="29"/>
        <v>0</v>
      </c>
      <c r="AG41">
        <f t="shared" si="29"/>
        <v>0</v>
      </c>
      <c r="AH41">
        <f t="shared" si="29"/>
        <v>0</v>
      </c>
      <c r="AI41">
        <f t="shared" si="29"/>
        <v>0</v>
      </c>
      <c r="AJ41">
        <f t="shared" si="29"/>
        <v>0</v>
      </c>
      <c r="AK41">
        <f t="shared" si="29"/>
        <v>0</v>
      </c>
      <c r="AL41">
        <f t="shared" si="29"/>
        <v>0</v>
      </c>
      <c r="AM41">
        <f t="shared" si="29"/>
        <v>0</v>
      </c>
      <c r="AN41">
        <f t="shared" si="29"/>
        <v>0</v>
      </c>
      <c r="AO41">
        <f t="shared" si="29"/>
        <v>0</v>
      </c>
      <c r="AP41">
        <f t="shared" si="29"/>
        <v>0</v>
      </c>
      <c r="AQ41">
        <f t="shared" si="29"/>
        <v>0</v>
      </c>
      <c r="AR41">
        <f t="shared" si="29"/>
        <v>0</v>
      </c>
      <c r="AS41">
        <f t="shared" si="29"/>
        <v>0</v>
      </c>
      <c r="AT41">
        <f t="shared" si="29"/>
        <v>0</v>
      </c>
      <c r="AU41">
        <f t="shared" si="29"/>
        <v>0</v>
      </c>
      <c r="AV41">
        <f t="shared" si="29"/>
        <v>0</v>
      </c>
      <c r="AW41">
        <f t="shared" si="29"/>
        <v>0</v>
      </c>
      <c r="AX41">
        <f t="shared" si="29"/>
        <v>0</v>
      </c>
      <c r="AY41">
        <f t="shared" si="29"/>
        <v>0</v>
      </c>
      <c r="AZ41">
        <f t="shared" si="29"/>
        <v>0</v>
      </c>
      <c r="BA41">
        <f t="shared" si="29"/>
        <v>0</v>
      </c>
      <c r="BB41">
        <f t="shared" si="29"/>
        <v>0</v>
      </c>
      <c r="BC41">
        <f t="shared" si="29"/>
        <v>0</v>
      </c>
      <c r="BD41">
        <f t="shared" si="29"/>
        <v>0</v>
      </c>
      <c r="BE41">
        <f t="shared" si="29"/>
        <v>0</v>
      </c>
      <c r="BF41">
        <f t="shared" si="29"/>
        <v>0</v>
      </c>
      <c r="BG41">
        <f t="shared" si="29"/>
        <v>0</v>
      </c>
      <c r="BH41">
        <f t="shared" si="29"/>
        <v>0</v>
      </c>
      <c r="BI41">
        <f t="shared" si="29"/>
        <v>0</v>
      </c>
      <c r="BJ41">
        <f t="shared" si="29"/>
        <v>0</v>
      </c>
      <c r="BK41">
        <f t="shared" si="29"/>
        <v>0</v>
      </c>
      <c r="BL41">
        <f t="shared" si="29"/>
        <v>0</v>
      </c>
      <c r="BM41">
        <f t="shared" si="29"/>
        <v>0</v>
      </c>
      <c r="BN41">
        <f t="shared" si="29"/>
        <v>0</v>
      </c>
      <c r="BO41">
        <f t="shared" si="29"/>
        <v>0</v>
      </c>
      <c r="BP41">
        <f t="shared" si="29"/>
        <v>0</v>
      </c>
      <c r="BQ41">
        <f t="shared" si="29"/>
        <v>0</v>
      </c>
      <c r="BR41">
        <f t="shared" si="26"/>
        <v>0</v>
      </c>
      <c r="BS41">
        <f t="shared" si="26"/>
        <v>0</v>
      </c>
      <c r="BT41">
        <f t="shared" si="26"/>
        <v>0</v>
      </c>
      <c r="BU41">
        <f t="shared" si="26"/>
        <v>0</v>
      </c>
      <c r="BV41">
        <f t="shared" si="26"/>
        <v>0</v>
      </c>
      <c r="BW41">
        <f t="shared" si="26"/>
        <v>0</v>
      </c>
      <c r="BX41">
        <f t="shared" si="26"/>
        <v>0</v>
      </c>
      <c r="BY41">
        <f t="shared" si="26"/>
        <v>0</v>
      </c>
      <c r="BZ41">
        <f t="shared" si="26"/>
        <v>0</v>
      </c>
      <c r="CA41">
        <f t="shared" si="26"/>
        <v>0</v>
      </c>
      <c r="CB41">
        <f t="shared" si="26"/>
        <v>0</v>
      </c>
      <c r="CC41">
        <f t="shared" si="26"/>
        <v>0</v>
      </c>
      <c r="CD41">
        <f t="shared" si="26"/>
        <v>0</v>
      </c>
      <c r="CE41">
        <f t="shared" si="26"/>
        <v>0</v>
      </c>
      <c r="CF41">
        <f t="shared" si="26"/>
        <v>0</v>
      </c>
      <c r="CG41">
        <f t="shared" si="26"/>
        <v>0</v>
      </c>
      <c r="CH41">
        <f t="shared" si="26"/>
        <v>0</v>
      </c>
      <c r="CI41">
        <f t="shared" si="26"/>
        <v>0</v>
      </c>
      <c r="CJ41">
        <f t="shared" si="26"/>
        <v>0</v>
      </c>
      <c r="CK41">
        <f t="shared" si="26"/>
        <v>0</v>
      </c>
      <c r="CL41">
        <f t="shared" si="26"/>
        <v>0</v>
      </c>
      <c r="CM41">
        <f t="shared" si="26"/>
        <v>0</v>
      </c>
      <c r="CN41">
        <f t="shared" si="26"/>
        <v>0</v>
      </c>
      <c r="CO41">
        <f t="shared" si="26"/>
        <v>0</v>
      </c>
      <c r="CP41">
        <f t="shared" si="26"/>
        <v>0</v>
      </c>
      <c r="CQ41">
        <f t="shared" si="26"/>
        <v>0</v>
      </c>
      <c r="CR41">
        <f t="shared" si="26"/>
        <v>0</v>
      </c>
      <c r="CS41">
        <f t="shared" si="26"/>
        <v>0</v>
      </c>
      <c r="CT41">
        <f t="shared" si="26"/>
        <v>0</v>
      </c>
      <c r="CU41">
        <f t="shared" si="26"/>
        <v>0</v>
      </c>
      <c r="CV41">
        <f t="shared" si="26"/>
        <v>0</v>
      </c>
      <c r="CW41">
        <f t="shared" si="26"/>
        <v>0</v>
      </c>
      <c r="CX41">
        <f t="shared" si="26"/>
        <v>0</v>
      </c>
      <c r="CY41">
        <f t="shared" si="26"/>
        <v>0</v>
      </c>
      <c r="CZ41">
        <f t="shared" si="26"/>
        <v>0</v>
      </c>
      <c r="DA41">
        <f t="shared" si="26"/>
        <v>0</v>
      </c>
      <c r="DB41">
        <f t="shared" si="26"/>
        <v>0</v>
      </c>
      <c r="DC41">
        <f t="shared" si="26"/>
        <v>0</v>
      </c>
      <c r="DD41">
        <f t="shared" si="26"/>
        <v>0</v>
      </c>
      <c r="DE41">
        <f t="shared" si="26"/>
        <v>0</v>
      </c>
      <c r="DF41">
        <f t="shared" si="26"/>
        <v>0</v>
      </c>
      <c r="DG41">
        <f t="shared" si="26"/>
        <v>0</v>
      </c>
      <c r="DH41">
        <f t="shared" si="26"/>
        <v>0</v>
      </c>
      <c r="DI41">
        <f t="shared" si="26"/>
        <v>0</v>
      </c>
      <c r="DJ41">
        <f t="shared" si="26"/>
        <v>0</v>
      </c>
      <c r="DK41">
        <f t="shared" si="26"/>
        <v>0</v>
      </c>
      <c r="DL41">
        <f t="shared" si="26"/>
        <v>0</v>
      </c>
      <c r="DM41">
        <f t="shared" si="26"/>
        <v>0</v>
      </c>
      <c r="DN41">
        <f t="shared" si="26"/>
        <v>0</v>
      </c>
      <c r="DO41">
        <f t="shared" si="26"/>
        <v>0</v>
      </c>
      <c r="DP41">
        <f t="shared" si="26"/>
        <v>0</v>
      </c>
      <c r="DQ41">
        <f t="shared" si="26"/>
        <v>0</v>
      </c>
      <c r="DR41">
        <f t="shared" si="26"/>
        <v>0</v>
      </c>
      <c r="DS41">
        <f t="shared" si="26"/>
        <v>0</v>
      </c>
      <c r="DT41">
        <f t="shared" si="26"/>
        <v>0</v>
      </c>
      <c r="DU41">
        <f t="shared" si="26"/>
        <v>0</v>
      </c>
      <c r="DV41">
        <f t="shared" si="26"/>
        <v>0</v>
      </c>
      <c r="DW41">
        <f t="shared" si="26"/>
        <v>0</v>
      </c>
      <c r="DX41">
        <f t="shared" si="26"/>
        <v>0</v>
      </c>
      <c r="DY41">
        <f t="shared" si="26"/>
        <v>0</v>
      </c>
      <c r="DZ41">
        <f t="shared" si="26"/>
        <v>0</v>
      </c>
      <c r="EA41">
        <f t="shared" si="26"/>
        <v>0</v>
      </c>
      <c r="EB41">
        <f t="shared" si="26"/>
        <v>0</v>
      </c>
      <c r="EC41">
        <f t="shared" si="17"/>
        <v>0</v>
      </c>
      <c r="ED41">
        <f t="shared" si="27"/>
        <v>0</v>
      </c>
      <c r="EE41">
        <f t="shared" si="27"/>
        <v>0</v>
      </c>
      <c r="EF41">
        <f t="shared" si="27"/>
        <v>0</v>
      </c>
      <c r="EG41">
        <f t="shared" si="27"/>
        <v>0</v>
      </c>
      <c r="EH41">
        <f t="shared" si="27"/>
        <v>0</v>
      </c>
      <c r="EI41">
        <f t="shared" si="27"/>
        <v>0</v>
      </c>
      <c r="EJ41">
        <f t="shared" si="27"/>
        <v>0</v>
      </c>
      <c r="EK41">
        <f t="shared" si="27"/>
        <v>0</v>
      </c>
      <c r="EL41">
        <f t="shared" si="27"/>
        <v>0</v>
      </c>
      <c r="EM41">
        <f t="shared" si="27"/>
        <v>0</v>
      </c>
      <c r="EN41">
        <f t="shared" si="27"/>
        <v>0</v>
      </c>
      <c r="EO41">
        <f t="shared" si="27"/>
        <v>0</v>
      </c>
      <c r="EP41">
        <f t="shared" si="27"/>
        <v>0</v>
      </c>
      <c r="EQ41">
        <f t="shared" si="27"/>
        <v>0</v>
      </c>
      <c r="ER41">
        <f t="shared" si="27"/>
        <v>0</v>
      </c>
      <c r="ES41">
        <f t="shared" si="27"/>
        <v>0</v>
      </c>
      <c r="ET41">
        <f t="shared" si="27"/>
        <v>0</v>
      </c>
      <c r="EU41">
        <f t="shared" si="27"/>
        <v>0</v>
      </c>
      <c r="EV41">
        <f t="shared" si="27"/>
        <v>0</v>
      </c>
      <c r="EW41">
        <f t="shared" si="27"/>
        <v>0</v>
      </c>
      <c r="EX41">
        <f t="shared" si="27"/>
        <v>0</v>
      </c>
      <c r="EY41">
        <f t="shared" si="27"/>
        <v>0</v>
      </c>
      <c r="EZ41">
        <f t="shared" si="27"/>
        <v>0</v>
      </c>
      <c r="FA41">
        <f t="shared" si="27"/>
        <v>0</v>
      </c>
      <c r="FB41">
        <f t="shared" si="27"/>
        <v>0</v>
      </c>
      <c r="FC41">
        <f t="shared" si="27"/>
        <v>0</v>
      </c>
      <c r="FD41">
        <f t="shared" si="27"/>
        <v>0</v>
      </c>
      <c r="FE41">
        <f t="shared" si="27"/>
        <v>0</v>
      </c>
      <c r="FF41">
        <f t="shared" si="27"/>
        <v>0</v>
      </c>
      <c r="FG41">
        <f t="shared" si="27"/>
        <v>0</v>
      </c>
      <c r="FH41">
        <f t="shared" si="27"/>
        <v>0</v>
      </c>
      <c r="FI41">
        <f t="shared" si="27"/>
        <v>0</v>
      </c>
      <c r="FJ41">
        <f t="shared" si="27"/>
        <v>0</v>
      </c>
      <c r="FK41">
        <f t="shared" si="27"/>
        <v>0</v>
      </c>
      <c r="FL41">
        <f t="shared" si="27"/>
        <v>0</v>
      </c>
      <c r="FM41">
        <f t="shared" si="27"/>
        <v>0</v>
      </c>
      <c r="FN41">
        <f t="shared" si="27"/>
        <v>0</v>
      </c>
      <c r="FO41">
        <f t="shared" si="27"/>
        <v>0</v>
      </c>
      <c r="FP41">
        <f t="shared" si="27"/>
        <v>0</v>
      </c>
      <c r="FQ41">
        <f t="shared" si="27"/>
        <v>0</v>
      </c>
      <c r="FR41">
        <f t="shared" si="27"/>
        <v>0</v>
      </c>
      <c r="FS41">
        <f t="shared" si="27"/>
        <v>0</v>
      </c>
      <c r="FT41">
        <f t="shared" si="27"/>
        <v>0</v>
      </c>
      <c r="FU41">
        <f t="shared" si="27"/>
        <v>0</v>
      </c>
    </row>
    <row r="42" spans="1:177" x14ac:dyDescent="0.25">
      <c r="A42" t="str">
        <f t="shared" ref="A42:D42" si="30">A15</f>
        <v>G3SG1</v>
      </c>
      <c r="B42" t="str">
        <f t="shared" si="30"/>
        <v>Stinger FN</v>
      </c>
      <c r="C42" t="str">
        <f t="shared" si="30"/>
        <v>Other Rifle</v>
      </c>
      <c r="D42" t="str">
        <f t="shared" si="30"/>
        <v>Glove</v>
      </c>
      <c r="E42">
        <f t="shared" si="11"/>
        <v>0</v>
      </c>
      <c r="F42">
        <f t="shared" si="29"/>
        <v>0</v>
      </c>
      <c r="G42">
        <f t="shared" si="29"/>
        <v>0</v>
      </c>
      <c r="H42">
        <f t="shared" si="29"/>
        <v>0</v>
      </c>
      <c r="I42">
        <f t="shared" si="29"/>
        <v>0</v>
      </c>
      <c r="J42">
        <f t="shared" si="29"/>
        <v>0</v>
      </c>
      <c r="K42">
        <f t="shared" si="29"/>
        <v>0.74</v>
      </c>
      <c r="L42">
        <f t="shared" si="29"/>
        <v>0.80999999999999994</v>
      </c>
      <c r="M42">
        <f t="shared" si="29"/>
        <v>0.77</v>
      </c>
      <c r="N42">
        <f t="shared" si="29"/>
        <v>0.82</v>
      </c>
      <c r="O42">
        <f t="shared" si="29"/>
        <v>0.77</v>
      </c>
      <c r="P42">
        <f t="shared" si="29"/>
        <v>0.74</v>
      </c>
      <c r="Q42">
        <f t="shared" si="29"/>
        <v>0.77</v>
      </c>
      <c r="R42">
        <f t="shared" si="29"/>
        <v>0.74</v>
      </c>
      <c r="S42">
        <f t="shared" si="29"/>
        <v>0.79999999999999982</v>
      </c>
      <c r="T42">
        <f t="shared" si="29"/>
        <v>0.84</v>
      </c>
      <c r="U42">
        <f t="shared" si="29"/>
        <v>0.76</v>
      </c>
      <c r="V42">
        <f t="shared" si="29"/>
        <v>0.78</v>
      </c>
      <c r="W42">
        <f t="shared" si="29"/>
        <v>0.78</v>
      </c>
      <c r="X42">
        <f t="shared" si="29"/>
        <v>0.75</v>
      </c>
      <c r="Y42">
        <f t="shared" si="29"/>
        <v>0.7</v>
      </c>
      <c r="Z42">
        <f t="shared" si="29"/>
        <v>0</v>
      </c>
      <c r="AA42">
        <f t="shared" si="29"/>
        <v>0</v>
      </c>
      <c r="AB42">
        <f t="shared" si="29"/>
        <v>0</v>
      </c>
      <c r="AC42">
        <f t="shared" si="29"/>
        <v>0</v>
      </c>
      <c r="AD42">
        <f t="shared" si="29"/>
        <v>0</v>
      </c>
      <c r="AE42">
        <f t="shared" si="29"/>
        <v>0</v>
      </c>
      <c r="AF42">
        <f t="shared" si="29"/>
        <v>0</v>
      </c>
      <c r="AG42">
        <f t="shared" si="29"/>
        <v>0</v>
      </c>
      <c r="AH42">
        <f t="shared" si="29"/>
        <v>0</v>
      </c>
      <c r="AI42">
        <f t="shared" si="29"/>
        <v>0</v>
      </c>
      <c r="AJ42">
        <f t="shared" si="29"/>
        <v>0</v>
      </c>
      <c r="AK42">
        <f t="shared" si="29"/>
        <v>0</v>
      </c>
      <c r="AL42">
        <f t="shared" si="29"/>
        <v>0</v>
      </c>
      <c r="AM42">
        <f t="shared" si="29"/>
        <v>0</v>
      </c>
      <c r="AN42">
        <f t="shared" si="29"/>
        <v>0</v>
      </c>
      <c r="AO42">
        <f t="shared" si="29"/>
        <v>0</v>
      </c>
      <c r="AP42">
        <f t="shared" si="29"/>
        <v>0</v>
      </c>
      <c r="AQ42">
        <f t="shared" si="29"/>
        <v>0</v>
      </c>
      <c r="AR42">
        <f t="shared" si="29"/>
        <v>0</v>
      </c>
      <c r="AS42">
        <f t="shared" si="29"/>
        <v>0</v>
      </c>
      <c r="AT42">
        <f t="shared" si="29"/>
        <v>0</v>
      </c>
      <c r="AU42">
        <f t="shared" si="29"/>
        <v>0</v>
      </c>
      <c r="AV42">
        <f t="shared" si="29"/>
        <v>0</v>
      </c>
      <c r="AW42">
        <f t="shared" si="29"/>
        <v>0</v>
      </c>
      <c r="AX42">
        <f t="shared" si="29"/>
        <v>0</v>
      </c>
      <c r="AY42">
        <f t="shared" si="29"/>
        <v>0</v>
      </c>
      <c r="AZ42">
        <f t="shared" si="29"/>
        <v>0</v>
      </c>
      <c r="BA42">
        <f t="shared" si="29"/>
        <v>0</v>
      </c>
      <c r="BB42">
        <f t="shared" si="29"/>
        <v>0</v>
      </c>
      <c r="BC42">
        <f t="shared" si="29"/>
        <v>0</v>
      </c>
      <c r="BD42">
        <f t="shared" si="29"/>
        <v>0</v>
      </c>
      <c r="BE42">
        <f t="shared" si="29"/>
        <v>0</v>
      </c>
      <c r="BF42">
        <f t="shared" si="29"/>
        <v>0</v>
      </c>
      <c r="BG42">
        <f t="shared" si="29"/>
        <v>0</v>
      </c>
      <c r="BH42">
        <f t="shared" si="29"/>
        <v>0</v>
      </c>
      <c r="BI42">
        <f t="shared" si="29"/>
        <v>0</v>
      </c>
      <c r="BJ42">
        <f t="shared" si="29"/>
        <v>0</v>
      </c>
      <c r="BK42">
        <f t="shared" si="29"/>
        <v>0</v>
      </c>
      <c r="BL42">
        <f t="shared" si="29"/>
        <v>0</v>
      </c>
      <c r="BM42">
        <f t="shared" si="29"/>
        <v>0</v>
      </c>
      <c r="BN42">
        <f t="shared" si="29"/>
        <v>0</v>
      </c>
      <c r="BO42">
        <f t="shared" si="29"/>
        <v>0</v>
      </c>
      <c r="BP42">
        <f t="shared" si="29"/>
        <v>0</v>
      </c>
      <c r="BQ42">
        <f t="shared" si="29"/>
        <v>0</v>
      </c>
      <c r="BR42">
        <f t="shared" si="26"/>
        <v>0</v>
      </c>
      <c r="BS42">
        <f t="shared" si="26"/>
        <v>0</v>
      </c>
      <c r="BT42">
        <f t="shared" si="26"/>
        <v>0</v>
      </c>
      <c r="BU42">
        <f t="shared" si="26"/>
        <v>0</v>
      </c>
      <c r="BV42">
        <f t="shared" si="26"/>
        <v>0</v>
      </c>
      <c r="BW42">
        <f t="shared" si="26"/>
        <v>0</v>
      </c>
      <c r="BX42">
        <f t="shared" si="26"/>
        <v>0</v>
      </c>
      <c r="BY42">
        <f t="shared" si="26"/>
        <v>0</v>
      </c>
      <c r="BZ42">
        <f t="shared" si="26"/>
        <v>0</v>
      </c>
      <c r="CA42">
        <f t="shared" si="26"/>
        <v>0</v>
      </c>
      <c r="CB42">
        <f t="shared" si="26"/>
        <v>0</v>
      </c>
      <c r="CC42">
        <f t="shared" si="26"/>
        <v>0</v>
      </c>
      <c r="CD42">
        <f t="shared" si="26"/>
        <v>0</v>
      </c>
      <c r="CE42">
        <f t="shared" si="26"/>
        <v>0</v>
      </c>
      <c r="CF42">
        <f t="shared" si="26"/>
        <v>0</v>
      </c>
      <c r="CG42">
        <f t="shared" si="26"/>
        <v>0</v>
      </c>
      <c r="CH42">
        <f t="shared" si="26"/>
        <v>0</v>
      </c>
      <c r="CI42">
        <f t="shared" si="26"/>
        <v>0</v>
      </c>
      <c r="CJ42">
        <f t="shared" si="26"/>
        <v>0</v>
      </c>
      <c r="CK42">
        <f t="shared" si="26"/>
        <v>0</v>
      </c>
      <c r="CL42">
        <f t="shared" si="26"/>
        <v>0</v>
      </c>
      <c r="CM42">
        <f t="shared" si="26"/>
        <v>0</v>
      </c>
      <c r="CN42">
        <f t="shared" si="26"/>
        <v>0</v>
      </c>
      <c r="CO42">
        <f t="shared" si="26"/>
        <v>0</v>
      </c>
      <c r="CP42">
        <f t="shared" si="26"/>
        <v>0</v>
      </c>
      <c r="CQ42">
        <f t="shared" si="26"/>
        <v>0</v>
      </c>
      <c r="CR42">
        <f t="shared" si="26"/>
        <v>0</v>
      </c>
      <c r="CS42">
        <f t="shared" si="26"/>
        <v>0</v>
      </c>
      <c r="CT42">
        <f t="shared" si="26"/>
        <v>0</v>
      </c>
      <c r="CU42">
        <f t="shared" si="26"/>
        <v>0</v>
      </c>
      <c r="CV42">
        <f t="shared" si="26"/>
        <v>0</v>
      </c>
      <c r="CW42">
        <f t="shared" si="26"/>
        <v>0</v>
      </c>
      <c r="CX42">
        <f t="shared" si="26"/>
        <v>0</v>
      </c>
      <c r="CY42">
        <f t="shared" si="26"/>
        <v>0</v>
      </c>
      <c r="CZ42">
        <f t="shared" si="26"/>
        <v>0</v>
      </c>
      <c r="DA42">
        <f t="shared" si="26"/>
        <v>0</v>
      </c>
      <c r="DB42">
        <f t="shared" si="26"/>
        <v>0</v>
      </c>
      <c r="DC42">
        <f t="shared" si="26"/>
        <v>0</v>
      </c>
      <c r="DD42">
        <f t="shared" si="26"/>
        <v>0</v>
      </c>
      <c r="DE42">
        <f t="shared" si="26"/>
        <v>0</v>
      </c>
      <c r="DF42">
        <f t="shared" si="26"/>
        <v>0</v>
      </c>
      <c r="DG42">
        <f t="shared" si="26"/>
        <v>0</v>
      </c>
      <c r="DH42">
        <f t="shared" si="26"/>
        <v>0</v>
      </c>
      <c r="DI42">
        <f t="shared" si="26"/>
        <v>0</v>
      </c>
      <c r="DJ42">
        <f t="shared" si="26"/>
        <v>0</v>
      </c>
      <c r="DK42">
        <f t="shared" si="26"/>
        <v>0</v>
      </c>
      <c r="DL42">
        <f t="shared" si="26"/>
        <v>0</v>
      </c>
      <c r="DM42">
        <f t="shared" si="26"/>
        <v>0</v>
      </c>
      <c r="DN42">
        <f t="shared" si="26"/>
        <v>0</v>
      </c>
      <c r="DO42">
        <f t="shared" si="26"/>
        <v>0</v>
      </c>
      <c r="DP42">
        <f t="shared" si="26"/>
        <v>0</v>
      </c>
      <c r="DQ42">
        <f t="shared" si="26"/>
        <v>0</v>
      </c>
      <c r="DR42">
        <f t="shared" si="26"/>
        <v>0</v>
      </c>
      <c r="DS42">
        <f t="shared" si="26"/>
        <v>0</v>
      </c>
      <c r="DT42">
        <f t="shared" si="26"/>
        <v>0</v>
      </c>
      <c r="DU42">
        <f t="shared" si="26"/>
        <v>0</v>
      </c>
      <c r="DV42">
        <f t="shared" si="26"/>
        <v>0</v>
      </c>
      <c r="DW42">
        <f t="shared" si="26"/>
        <v>0</v>
      </c>
      <c r="DX42">
        <f t="shared" si="26"/>
        <v>0</v>
      </c>
      <c r="DY42">
        <f t="shared" si="26"/>
        <v>0</v>
      </c>
      <c r="DZ42">
        <f t="shared" si="26"/>
        <v>0</v>
      </c>
      <c r="EA42">
        <f t="shared" si="26"/>
        <v>0</v>
      </c>
      <c r="EB42">
        <f t="shared" si="26"/>
        <v>0</v>
      </c>
      <c r="EC42">
        <f t="shared" si="17"/>
        <v>0</v>
      </c>
      <c r="ED42">
        <f t="shared" si="27"/>
        <v>0</v>
      </c>
      <c r="EE42">
        <f t="shared" si="27"/>
        <v>0</v>
      </c>
      <c r="EF42">
        <f t="shared" si="27"/>
        <v>0</v>
      </c>
      <c r="EG42">
        <f t="shared" si="27"/>
        <v>0</v>
      </c>
      <c r="EH42">
        <f t="shared" si="27"/>
        <v>0</v>
      </c>
      <c r="EI42">
        <f t="shared" si="27"/>
        <v>0</v>
      </c>
      <c r="EJ42">
        <f t="shared" si="27"/>
        <v>0</v>
      </c>
      <c r="EK42">
        <f t="shared" si="27"/>
        <v>0</v>
      </c>
      <c r="EL42">
        <f t="shared" si="27"/>
        <v>0</v>
      </c>
      <c r="EM42">
        <f t="shared" si="27"/>
        <v>0</v>
      </c>
      <c r="EN42">
        <f t="shared" si="27"/>
        <v>0</v>
      </c>
      <c r="EO42">
        <f t="shared" si="27"/>
        <v>0</v>
      </c>
      <c r="EP42">
        <f t="shared" si="27"/>
        <v>0</v>
      </c>
      <c r="EQ42">
        <f t="shared" si="27"/>
        <v>0</v>
      </c>
      <c r="ER42">
        <f t="shared" si="27"/>
        <v>0</v>
      </c>
      <c r="ES42">
        <f t="shared" si="27"/>
        <v>0</v>
      </c>
      <c r="ET42">
        <f t="shared" si="27"/>
        <v>0</v>
      </c>
      <c r="EU42">
        <f t="shared" si="27"/>
        <v>0</v>
      </c>
      <c r="EV42">
        <f t="shared" si="27"/>
        <v>0</v>
      </c>
      <c r="EW42">
        <f t="shared" si="27"/>
        <v>0</v>
      </c>
      <c r="EX42">
        <f t="shared" si="27"/>
        <v>0</v>
      </c>
      <c r="EY42">
        <f t="shared" si="27"/>
        <v>0</v>
      </c>
      <c r="EZ42">
        <f t="shared" si="27"/>
        <v>0</v>
      </c>
      <c r="FA42">
        <f t="shared" si="27"/>
        <v>0</v>
      </c>
      <c r="FB42">
        <f t="shared" si="27"/>
        <v>0</v>
      </c>
      <c r="FC42">
        <f t="shared" si="27"/>
        <v>0</v>
      </c>
      <c r="FD42">
        <f t="shared" si="27"/>
        <v>0</v>
      </c>
      <c r="FE42">
        <f t="shared" si="27"/>
        <v>0</v>
      </c>
      <c r="FF42">
        <f t="shared" si="27"/>
        <v>0</v>
      </c>
      <c r="FG42">
        <f t="shared" si="27"/>
        <v>0</v>
      </c>
      <c r="FH42">
        <f t="shared" si="27"/>
        <v>0</v>
      </c>
      <c r="FI42">
        <f t="shared" si="27"/>
        <v>0</v>
      </c>
      <c r="FJ42">
        <f t="shared" si="27"/>
        <v>0</v>
      </c>
      <c r="FK42">
        <f t="shared" si="27"/>
        <v>0</v>
      </c>
      <c r="FL42">
        <f t="shared" si="27"/>
        <v>0</v>
      </c>
      <c r="FM42">
        <f t="shared" si="27"/>
        <v>0</v>
      </c>
      <c r="FN42">
        <f t="shared" si="27"/>
        <v>0</v>
      </c>
      <c r="FO42">
        <f t="shared" si="27"/>
        <v>0</v>
      </c>
      <c r="FP42">
        <f t="shared" si="27"/>
        <v>0</v>
      </c>
      <c r="FQ42">
        <f t="shared" si="27"/>
        <v>0</v>
      </c>
      <c r="FR42">
        <f t="shared" si="27"/>
        <v>0</v>
      </c>
      <c r="FS42">
        <f t="shared" si="27"/>
        <v>0</v>
      </c>
      <c r="FT42">
        <f t="shared" si="27"/>
        <v>0</v>
      </c>
      <c r="FU42">
        <f t="shared" si="27"/>
        <v>0</v>
      </c>
    </row>
    <row r="43" spans="1:177" x14ac:dyDescent="0.25">
      <c r="A43" t="str">
        <f t="shared" ref="A43:D43" si="31">A16</f>
        <v>FAMAS</v>
      </c>
      <c r="B43" t="str">
        <f t="shared" si="31"/>
        <v>StatTrak Valence FT</v>
      </c>
      <c r="C43" t="str">
        <f t="shared" si="31"/>
        <v>Other Rifle</v>
      </c>
      <c r="D43" t="str">
        <f t="shared" si="31"/>
        <v>Wildfire</v>
      </c>
      <c r="E43">
        <f t="shared" si="11"/>
        <v>0</v>
      </c>
      <c r="F43">
        <f t="shared" si="29"/>
        <v>0</v>
      </c>
      <c r="G43">
        <f t="shared" si="29"/>
        <v>0</v>
      </c>
      <c r="H43">
        <f t="shared" si="29"/>
        <v>0</v>
      </c>
      <c r="I43">
        <f t="shared" si="29"/>
        <v>0</v>
      </c>
      <c r="J43">
        <f t="shared" si="29"/>
        <v>0</v>
      </c>
      <c r="K43">
        <f t="shared" si="29"/>
        <v>2.59</v>
      </c>
      <c r="L43">
        <f t="shared" si="29"/>
        <v>2.4699999999999998</v>
      </c>
      <c r="M43">
        <f t="shared" si="29"/>
        <v>2.46</v>
      </c>
      <c r="N43">
        <f t="shared" si="29"/>
        <v>2.5199999999999996</v>
      </c>
      <c r="O43">
        <f t="shared" si="29"/>
        <v>2.5</v>
      </c>
      <c r="P43">
        <f t="shared" si="29"/>
        <v>2.5499999999999998</v>
      </c>
      <c r="Q43">
        <f t="shared" si="29"/>
        <v>2.54</v>
      </c>
      <c r="R43">
        <f t="shared" si="29"/>
        <v>2.42</v>
      </c>
      <c r="S43">
        <f t="shared" si="29"/>
        <v>2.63</v>
      </c>
      <c r="T43">
        <f t="shared" si="29"/>
        <v>2.62</v>
      </c>
      <c r="U43">
        <f t="shared" si="29"/>
        <v>2.58</v>
      </c>
      <c r="V43">
        <f t="shared" si="29"/>
        <v>2.5099999999999998</v>
      </c>
      <c r="W43">
        <f t="shared" si="29"/>
        <v>2.4299999999999997</v>
      </c>
      <c r="X43">
        <f t="shared" si="29"/>
        <v>2.5</v>
      </c>
      <c r="Y43">
        <f t="shared" si="29"/>
        <v>2.5199999999999996</v>
      </c>
      <c r="Z43">
        <f t="shared" si="29"/>
        <v>0</v>
      </c>
      <c r="AA43">
        <f t="shared" si="29"/>
        <v>0</v>
      </c>
      <c r="AB43">
        <f t="shared" si="29"/>
        <v>0</v>
      </c>
      <c r="AC43">
        <f t="shared" si="29"/>
        <v>0</v>
      </c>
      <c r="AD43">
        <f t="shared" si="29"/>
        <v>0</v>
      </c>
      <c r="AE43">
        <f t="shared" si="29"/>
        <v>0</v>
      </c>
      <c r="AF43">
        <f t="shared" si="29"/>
        <v>0</v>
      </c>
      <c r="AG43">
        <f t="shared" si="29"/>
        <v>0</v>
      </c>
      <c r="AH43">
        <f t="shared" si="29"/>
        <v>0</v>
      </c>
      <c r="AI43">
        <f t="shared" si="29"/>
        <v>0</v>
      </c>
      <c r="AJ43">
        <f t="shared" si="29"/>
        <v>0</v>
      </c>
      <c r="AK43">
        <f t="shared" si="29"/>
        <v>0</v>
      </c>
      <c r="AL43">
        <f t="shared" si="29"/>
        <v>0</v>
      </c>
      <c r="AM43">
        <f t="shared" si="29"/>
        <v>0</v>
      </c>
      <c r="AN43">
        <f t="shared" si="29"/>
        <v>0</v>
      </c>
      <c r="AO43">
        <f t="shared" si="29"/>
        <v>0</v>
      </c>
      <c r="AP43">
        <f t="shared" si="29"/>
        <v>0</v>
      </c>
      <c r="AQ43">
        <f t="shared" si="29"/>
        <v>0</v>
      </c>
      <c r="AR43">
        <f t="shared" si="29"/>
        <v>0</v>
      </c>
      <c r="AS43">
        <f t="shared" si="29"/>
        <v>0</v>
      </c>
      <c r="AT43">
        <f t="shared" si="29"/>
        <v>0</v>
      </c>
      <c r="AU43">
        <f t="shared" si="29"/>
        <v>0</v>
      </c>
      <c r="AV43">
        <f t="shared" si="29"/>
        <v>0</v>
      </c>
      <c r="AW43">
        <f t="shared" si="29"/>
        <v>0</v>
      </c>
      <c r="AX43">
        <f t="shared" si="29"/>
        <v>0</v>
      </c>
      <c r="AY43">
        <f t="shared" si="29"/>
        <v>0</v>
      </c>
      <c r="AZ43">
        <f t="shared" si="29"/>
        <v>0</v>
      </c>
      <c r="BA43">
        <f t="shared" si="29"/>
        <v>0</v>
      </c>
      <c r="BB43">
        <f t="shared" si="29"/>
        <v>0</v>
      </c>
      <c r="BC43">
        <f t="shared" si="29"/>
        <v>0</v>
      </c>
      <c r="BD43">
        <f t="shared" si="29"/>
        <v>0</v>
      </c>
      <c r="BE43">
        <f t="shared" si="29"/>
        <v>0</v>
      </c>
      <c r="BF43">
        <f t="shared" si="29"/>
        <v>0</v>
      </c>
      <c r="BG43">
        <f t="shared" si="29"/>
        <v>0</v>
      </c>
      <c r="BH43">
        <f t="shared" si="29"/>
        <v>0</v>
      </c>
      <c r="BI43">
        <f t="shared" si="29"/>
        <v>0</v>
      </c>
      <c r="BJ43">
        <f t="shared" si="29"/>
        <v>0</v>
      </c>
      <c r="BK43">
        <f t="shared" si="29"/>
        <v>0</v>
      </c>
      <c r="BL43">
        <f t="shared" si="29"/>
        <v>0</v>
      </c>
      <c r="BM43">
        <f t="shared" si="29"/>
        <v>0</v>
      </c>
      <c r="BN43">
        <f t="shared" si="29"/>
        <v>0</v>
      </c>
      <c r="BO43">
        <f t="shared" si="29"/>
        <v>0</v>
      </c>
      <c r="BP43">
        <f t="shared" si="29"/>
        <v>0</v>
      </c>
      <c r="BQ43">
        <f t="shared" si="29"/>
        <v>0</v>
      </c>
      <c r="BR43">
        <f t="shared" si="26"/>
        <v>0</v>
      </c>
      <c r="BS43">
        <f t="shared" si="26"/>
        <v>0</v>
      </c>
      <c r="BT43">
        <f t="shared" si="26"/>
        <v>0</v>
      </c>
      <c r="BU43">
        <f t="shared" si="26"/>
        <v>0</v>
      </c>
      <c r="BV43">
        <f t="shared" si="26"/>
        <v>0</v>
      </c>
      <c r="BW43">
        <f t="shared" si="26"/>
        <v>0</v>
      </c>
      <c r="BX43">
        <f t="shared" si="26"/>
        <v>0</v>
      </c>
      <c r="BY43">
        <f t="shared" si="26"/>
        <v>0</v>
      </c>
      <c r="BZ43">
        <f t="shared" si="26"/>
        <v>0</v>
      </c>
      <c r="CA43">
        <f t="shared" si="26"/>
        <v>0</v>
      </c>
      <c r="CB43">
        <f t="shared" si="26"/>
        <v>0</v>
      </c>
      <c r="CC43">
        <f t="shared" si="26"/>
        <v>0</v>
      </c>
      <c r="CD43">
        <f t="shared" si="26"/>
        <v>0</v>
      </c>
      <c r="CE43">
        <f t="shared" si="26"/>
        <v>0</v>
      </c>
      <c r="CF43">
        <f t="shared" si="26"/>
        <v>0</v>
      </c>
      <c r="CG43">
        <f t="shared" si="26"/>
        <v>0</v>
      </c>
      <c r="CH43">
        <f t="shared" si="26"/>
        <v>0</v>
      </c>
      <c r="CI43">
        <f t="shared" si="26"/>
        <v>0</v>
      </c>
      <c r="CJ43">
        <f t="shared" si="26"/>
        <v>0</v>
      </c>
      <c r="CK43">
        <f t="shared" si="26"/>
        <v>0</v>
      </c>
      <c r="CL43">
        <f t="shared" si="26"/>
        <v>0</v>
      </c>
      <c r="CM43">
        <f t="shared" si="26"/>
        <v>0</v>
      </c>
      <c r="CN43">
        <f t="shared" si="26"/>
        <v>0</v>
      </c>
      <c r="CO43">
        <f t="shared" si="26"/>
        <v>0</v>
      </c>
      <c r="CP43">
        <f t="shared" si="26"/>
        <v>0</v>
      </c>
      <c r="CQ43">
        <f t="shared" si="26"/>
        <v>0</v>
      </c>
      <c r="CR43">
        <f t="shared" si="26"/>
        <v>0</v>
      </c>
      <c r="CS43">
        <f t="shared" si="26"/>
        <v>0</v>
      </c>
      <c r="CT43">
        <f t="shared" si="26"/>
        <v>0</v>
      </c>
      <c r="CU43">
        <f t="shared" si="26"/>
        <v>0</v>
      </c>
      <c r="CV43">
        <f t="shared" si="26"/>
        <v>0</v>
      </c>
      <c r="CW43">
        <f t="shared" si="26"/>
        <v>0</v>
      </c>
      <c r="CX43">
        <f t="shared" si="26"/>
        <v>0</v>
      </c>
      <c r="CY43">
        <f t="shared" si="26"/>
        <v>0</v>
      </c>
      <c r="CZ43">
        <f t="shared" si="26"/>
        <v>0</v>
      </c>
      <c r="DA43">
        <f t="shared" si="26"/>
        <v>0</v>
      </c>
      <c r="DB43">
        <f t="shared" si="26"/>
        <v>0</v>
      </c>
      <c r="DC43">
        <f t="shared" si="26"/>
        <v>0</v>
      </c>
      <c r="DD43">
        <f t="shared" si="26"/>
        <v>0</v>
      </c>
      <c r="DE43">
        <f t="shared" si="26"/>
        <v>0</v>
      </c>
      <c r="DF43">
        <f t="shared" si="26"/>
        <v>0</v>
      </c>
      <c r="DG43">
        <f t="shared" si="26"/>
        <v>0</v>
      </c>
      <c r="DH43">
        <f t="shared" si="26"/>
        <v>0</v>
      </c>
      <c r="DI43">
        <f t="shared" si="26"/>
        <v>0</v>
      </c>
      <c r="DJ43">
        <f t="shared" si="26"/>
        <v>0</v>
      </c>
      <c r="DK43">
        <f t="shared" si="26"/>
        <v>0</v>
      </c>
      <c r="DL43">
        <f t="shared" si="26"/>
        <v>0</v>
      </c>
      <c r="DM43">
        <f t="shared" si="26"/>
        <v>0</v>
      </c>
      <c r="DN43">
        <f t="shared" si="26"/>
        <v>0</v>
      </c>
      <c r="DO43">
        <f t="shared" si="26"/>
        <v>0</v>
      </c>
      <c r="DP43">
        <f t="shared" si="26"/>
        <v>0</v>
      </c>
      <c r="DQ43">
        <f t="shared" si="26"/>
        <v>0</v>
      </c>
      <c r="DR43">
        <f t="shared" si="26"/>
        <v>0</v>
      </c>
      <c r="DS43">
        <f t="shared" si="26"/>
        <v>0</v>
      </c>
      <c r="DT43">
        <f t="shared" si="26"/>
        <v>0</v>
      </c>
      <c r="DU43">
        <f t="shared" si="26"/>
        <v>0</v>
      </c>
      <c r="DV43">
        <f t="shared" si="26"/>
        <v>0</v>
      </c>
      <c r="DW43">
        <f t="shared" si="26"/>
        <v>0</v>
      </c>
      <c r="DX43">
        <f t="shared" si="26"/>
        <v>0</v>
      </c>
      <c r="DY43">
        <f t="shared" si="26"/>
        <v>0</v>
      </c>
      <c r="DZ43">
        <f t="shared" si="26"/>
        <v>0</v>
      </c>
      <c r="EA43">
        <f t="shared" si="26"/>
        <v>0</v>
      </c>
      <c r="EB43">
        <f t="shared" si="26"/>
        <v>0</v>
      </c>
      <c r="EC43">
        <f t="shared" si="17"/>
        <v>0</v>
      </c>
      <c r="ED43">
        <f t="shared" si="27"/>
        <v>0</v>
      </c>
      <c r="EE43">
        <f t="shared" si="27"/>
        <v>0</v>
      </c>
      <c r="EF43">
        <f t="shared" si="27"/>
        <v>0</v>
      </c>
      <c r="EG43">
        <f t="shared" si="27"/>
        <v>0</v>
      </c>
      <c r="EH43">
        <f t="shared" si="27"/>
        <v>0</v>
      </c>
      <c r="EI43">
        <f t="shared" si="27"/>
        <v>0</v>
      </c>
      <c r="EJ43">
        <f t="shared" si="27"/>
        <v>0</v>
      </c>
      <c r="EK43">
        <f t="shared" si="27"/>
        <v>0</v>
      </c>
      <c r="EL43">
        <f t="shared" si="27"/>
        <v>0</v>
      </c>
      <c r="EM43">
        <f t="shared" si="27"/>
        <v>0</v>
      </c>
      <c r="EN43">
        <f t="shared" si="27"/>
        <v>0</v>
      </c>
      <c r="EO43">
        <f t="shared" si="27"/>
        <v>0</v>
      </c>
      <c r="EP43">
        <f t="shared" si="27"/>
        <v>0</v>
      </c>
      <c r="EQ43">
        <f t="shared" si="27"/>
        <v>0</v>
      </c>
      <c r="ER43">
        <f t="shared" si="27"/>
        <v>0</v>
      </c>
      <c r="ES43">
        <f t="shared" si="27"/>
        <v>0</v>
      </c>
      <c r="ET43">
        <f t="shared" si="27"/>
        <v>0</v>
      </c>
      <c r="EU43">
        <f t="shared" si="27"/>
        <v>0</v>
      </c>
      <c r="EV43">
        <f t="shared" si="27"/>
        <v>0</v>
      </c>
      <c r="EW43">
        <f t="shared" si="27"/>
        <v>0</v>
      </c>
      <c r="EX43">
        <f t="shared" si="27"/>
        <v>0</v>
      </c>
      <c r="EY43">
        <f t="shared" si="27"/>
        <v>0</v>
      </c>
      <c r="EZ43">
        <f t="shared" si="27"/>
        <v>0</v>
      </c>
      <c r="FA43">
        <f t="shared" si="27"/>
        <v>0</v>
      </c>
      <c r="FB43">
        <f t="shared" si="27"/>
        <v>0</v>
      </c>
      <c r="FC43">
        <f t="shared" si="27"/>
        <v>0</v>
      </c>
      <c r="FD43">
        <f t="shared" si="27"/>
        <v>0</v>
      </c>
      <c r="FE43">
        <f t="shared" si="27"/>
        <v>0</v>
      </c>
      <c r="FF43">
        <f t="shared" si="27"/>
        <v>0</v>
      </c>
      <c r="FG43">
        <f t="shared" si="27"/>
        <v>0</v>
      </c>
      <c r="FH43">
        <f t="shared" si="27"/>
        <v>0</v>
      </c>
      <c r="FI43">
        <f t="shared" si="27"/>
        <v>0</v>
      </c>
      <c r="FJ43">
        <f t="shared" si="27"/>
        <v>0</v>
      </c>
      <c r="FK43">
        <f t="shared" si="27"/>
        <v>0</v>
      </c>
      <c r="FL43">
        <f t="shared" si="27"/>
        <v>0</v>
      </c>
      <c r="FM43">
        <f t="shared" si="27"/>
        <v>0</v>
      </c>
      <c r="FN43">
        <f t="shared" si="27"/>
        <v>0</v>
      </c>
      <c r="FO43">
        <f t="shared" si="27"/>
        <v>0</v>
      </c>
      <c r="FP43">
        <f t="shared" si="27"/>
        <v>0</v>
      </c>
      <c r="FQ43">
        <f t="shared" si="27"/>
        <v>0</v>
      </c>
      <c r="FR43">
        <f t="shared" si="27"/>
        <v>0</v>
      </c>
      <c r="FS43">
        <f t="shared" si="27"/>
        <v>0</v>
      </c>
      <c r="FT43">
        <f t="shared" si="27"/>
        <v>0</v>
      </c>
      <c r="FU43">
        <f t="shared" si="27"/>
        <v>0</v>
      </c>
    </row>
    <row r="44" spans="1:177" x14ac:dyDescent="0.25">
      <c r="A44" t="str">
        <f t="shared" ref="A44:D44" si="32">A17</f>
        <v>SSG 08</v>
      </c>
      <c r="B44" t="str">
        <f t="shared" si="32"/>
        <v>Blood in the Water MW</v>
      </c>
      <c r="C44" t="str">
        <f t="shared" si="32"/>
        <v>Other Rifle</v>
      </c>
      <c r="D44" t="str">
        <f t="shared" si="32"/>
        <v>Arms Deal 2</v>
      </c>
      <c r="E44">
        <f t="shared" si="11"/>
        <v>0</v>
      </c>
      <c r="F44">
        <f t="shared" si="29"/>
        <v>0</v>
      </c>
      <c r="G44">
        <f t="shared" si="29"/>
        <v>0</v>
      </c>
      <c r="H44">
        <f t="shared" si="29"/>
        <v>0</v>
      </c>
      <c r="I44">
        <f t="shared" si="29"/>
        <v>0</v>
      </c>
      <c r="J44">
        <f t="shared" si="29"/>
        <v>0</v>
      </c>
      <c r="K44">
        <f t="shared" si="29"/>
        <v>27.260000000000005</v>
      </c>
      <c r="L44">
        <f t="shared" si="29"/>
        <v>25.619999999999997</v>
      </c>
      <c r="M44">
        <f t="shared" si="29"/>
        <v>25.4</v>
      </c>
      <c r="N44">
        <f t="shared" si="29"/>
        <v>27.490000000000002</v>
      </c>
      <c r="O44">
        <f t="shared" si="29"/>
        <v>28.369999999999997</v>
      </c>
      <c r="P44">
        <f t="shared" si="29"/>
        <v>27.88</v>
      </c>
      <c r="Q44">
        <f t="shared" si="29"/>
        <v>26.64</v>
      </c>
      <c r="R44">
        <f t="shared" si="29"/>
        <v>28.029999999999998</v>
      </c>
      <c r="S44">
        <f t="shared" si="29"/>
        <v>28.7</v>
      </c>
      <c r="T44">
        <f t="shared" si="29"/>
        <v>29.810000000000002</v>
      </c>
      <c r="U44">
        <f t="shared" si="29"/>
        <v>28.860000000000003</v>
      </c>
      <c r="V44">
        <f t="shared" si="29"/>
        <v>28.310000000000002</v>
      </c>
      <c r="W44">
        <f t="shared" si="29"/>
        <v>27.65</v>
      </c>
      <c r="X44">
        <f t="shared" si="29"/>
        <v>29.660000000000004</v>
      </c>
      <c r="Y44">
        <f t="shared" si="29"/>
        <v>27.740000000000002</v>
      </c>
      <c r="Z44">
        <f t="shared" si="29"/>
        <v>0</v>
      </c>
      <c r="AA44">
        <f t="shared" si="29"/>
        <v>0</v>
      </c>
      <c r="AB44">
        <f t="shared" si="29"/>
        <v>0</v>
      </c>
      <c r="AC44">
        <f t="shared" si="29"/>
        <v>0</v>
      </c>
      <c r="AD44">
        <f t="shared" si="29"/>
        <v>0</v>
      </c>
      <c r="AE44">
        <f t="shared" si="29"/>
        <v>0</v>
      </c>
      <c r="AF44">
        <f t="shared" si="29"/>
        <v>0</v>
      </c>
      <c r="AG44">
        <f t="shared" si="29"/>
        <v>0</v>
      </c>
      <c r="AH44">
        <f t="shared" si="29"/>
        <v>0</v>
      </c>
      <c r="AI44">
        <f t="shared" si="29"/>
        <v>0</v>
      </c>
      <c r="AJ44">
        <f t="shared" si="29"/>
        <v>0</v>
      </c>
      <c r="AK44">
        <f t="shared" si="29"/>
        <v>0</v>
      </c>
      <c r="AL44">
        <f t="shared" si="29"/>
        <v>0</v>
      </c>
      <c r="AM44">
        <f t="shared" si="29"/>
        <v>0</v>
      </c>
      <c r="AN44">
        <f t="shared" si="29"/>
        <v>0</v>
      </c>
      <c r="AO44">
        <f t="shared" si="29"/>
        <v>0</v>
      </c>
      <c r="AP44">
        <f t="shared" si="29"/>
        <v>0</v>
      </c>
      <c r="AQ44">
        <f t="shared" si="29"/>
        <v>0</v>
      </c>
      <c r="AR44">
        <f t="shared" si="29"/>
        <v>0</v>
      </c>
      <c r="AS44">
        <f t="shared" si="29"/>
        <v>0</v>
      </c>
      <c r="AT44">
        <f t="shared" si="29"/>
        <v>0</v>
      </c>
      <c r="AU44">
        <f t="shared" si="29"/>
        <v>0</v>
      </c>
      <c r="AV44">
        <f t="shared" si="29"/>
        <v>0</v>
      </c>
      <c r="AW44">
        <f t="shared" si="29"/>
        <v>0</v>
      </c>
      <c r="AX44">
        <f t="shared" si="29"/>
        <v>0</v>
      </c>
      <c r="AY44">
        <f t="shared" si="29"/>
        <v>0</v>
      </c>
      <c r="AZ44">
        <f t="shared" si="29"/>
        <v>0</v>
      </c>
      <c r="BA44">
        <f t="shared" si="29"/>
        <v>0</v>
      </c>
      <c r="BB44">
        <f t="shared" si="29"/>
        <v>0</v>
      </c>
      <c r="BC44">
        <f t="shared" si="29"/>
        <v>0</v>
      </c>
      <c r="BD44">
        <f t="shared" si="29"/>
        <v>0</v>
      </c>
      <c r="BE44">
        <f t="shared" si="29"/>
        <v>0</v>
      </c>
      <c r="BF44">
        <f t="shared" si="29"/>
        <v>0</v>
      </c>
      <c r="BG44">
        <f t="shared" si="29"/>
        <v>0</v>
      </c>
      <c r="BH44">
        <f t="shared" si="29"/>
        <v>0</v>
      </c>
      <c r="BI44">
        <f t="shared" si="29"/>
        <v>0</v>
      </c>
      <c r="BJ44">
        <f t="shared" si="29"/>
        <v>0</v>
      </c>
      <c r="BK44">
        <f t="shared" si="29"/>
        <v>0</v>
      </c>
      <c r="BL44">
        <f t="shared" si="29"/>
        <v>0</v>
      </c>
      <c r="BM44">
        <f t="shared" si="29"/>
        <v>0</v>
      </c>
      <c r="BN44">
        <f t="shared" si="29"/>
        <v>0</v>
      </c>
      <c r="BO44">
        <f t="shared" si="29"/>
        <v>0</v>
      </c>
      <c r="BP44">
        <f t="shared" si="29"/>
        <v>0</v>
      </c>
      <c r="BQ44">
        <f t="shared" ref="BQ44:EB47" si="33">BQ17-ROUNDUP(BQ17*0.3,2)</f>
        <v>0</v>
      </c>
      <c r="BR44">
        <f t="shared" si="33"/>
        <v>0</v>
      </c>
      <c r="BS44">
        <f t="shared" si="33"/>
        <v>0</v>
      </c>
      <c r="BT44">
        <f t="shared" si="33"/>
        <v>0</v>
      </c>
      <c r="BU44">
        <f t="shared" si="33"/>
        <v>0</v>
      </c>
      <c r="BV44">
        <f t="shared" si="33"/>
        <v>0</v>
      </c>
      <c r="BW44">
        <f t="shared" si="33"/>
        <v>0</v>
      </c>
      <c r="BX44">
        <f t="shared" si="33"/>
        <v>0</v>
      </c>
      <c r="BY44">
        <f t="shared" si="33"/>
        <v>0</v>
      </c>
      <c r="BZ44">
        <f t="shared" si="33"/>
        <v>0</v>
      </c>
      <c r="CA44">
        <f t="shared" si="33"/>
        <v>0</v>
      </c>
      <c r="CB44">
        <f t="shared" si="33"/>
        <v>0</v>
      </c>
      <c r="CC44">
        <f t="shared" si="33"/>
        <v>0</v>
      </c>
      <c r="CD44">
        <f t="shared" si="33"/>
        <v>0</v>
      </c>
      <c r="CE44">
        <f t="shared" si="33"/>
        <v>0</v>
      </c>
      <c r="CF44">
        <f t="shared" si="33"/>
        <v>0</v>
      </c>
      <c r="CG44">
        <f t="shared" si="33"/>
        <v>0</v>
      </c>
      <c r="CH44">
        <f t="shared" si="33"/>
        <v>0</v>
      </c>
      <c r="CI44">
        <f t="shared" si="33"/>
        <v>0</v>
      </c>
      <c r="CJ44">
        <f t="shared" si="33"/>
        <v>0</v>
      </c>
      <c r="CK44">
        <f t="shared" si="33"/>
        <v>0</v>
      </c>
      <c r="CL44">
        <f t="shared" si="33"/>
        <v>0</v>
      </c>
      <c r="CM44">
        <f t="shared" si="33"/>
        <v>0</v>
      </c>
      <c r="CN44">
        <f t="shared" si="33"/>
        <v>0</v>
      </c>
      <c r="CO44">
        <f t="shared" si="33"/>
        <v>0</v>
      </c>
      <c r="CP44">
        <f t="shared" si="33"/>
        <v>0</v>
      </c>
      <c r="CQ44">
        <f t="shared" si="33"/>
        <v>0</v>
      </c>
      <c r="CR44">
        <f t="shared" si="33"/>
        <v>0</v>
      </c>
      <c r="CS44">
        <f t="shared" si="33"/>
        <v>0</v>
      </c>
      <c r="CT44">
        <f t="shared" si="33"/>
        <v>0</v>
      </c>
      <c r="CU44">
        <f t="shared" si="33"/>
        <v>0</v>
      </c>
      <c r="CV44">
        <f t="shared" si="33"/>
        <v>0</v>
      </c>
      <c r="CW44">
        <f t="shared" si="33"/>
        <v>0</v>
      </c>
      <c r="CX44">
        <f t="shared" si="33"/>
        <v>0</v>
      </c>
      <c r="CY44">
        <f t="shared" si="33"/>
        <v>0</v>
      </c>
      <c r="CZ44">
        <f t="shared" si="33"/>
        <v>0</v>
      </c>
      <c r="DA44">
        <f t="shared" si="33"/>
        <v>0</v>
      </c>
      <c r="DB44">
        <f t="shared" si="33"/>
        <v>0</v>
      </c>
      <c r="DC44">
        <f t="shared" si="33"/>
        <v>0</v>
      </c>
      <c r="DD44">
        <f t="shared" si="33"/>
        <v>0</v>
      </c>
      <c r="DE44">
        <f t="shared" si="33"/>
        <v>0</v>
      </c>
      <c r="DF44">
        <f t="shared" si="33"/>
        <v>0</v>
      </c>
      <c r="DG44">
        <f t="shared" si="33"/>
        <v>0</v>
      </c>
      <c r="DH44">
        <f t="shared" si="33"/>
        <v>0</v>
      </c>
      <c r="DI44">
        <f t="shared" si="33"/>
        <v>0</v>
      </c>
      <c r="DJ44">
        <f t="shared" si="33"/>
        <v>0</v>
      </c>
      <c r="DK44">
        <f t="shared" si="33"/>
        <v>0</v>
      </c>
      <c r="DL44">
        <f t="shared" si="33"/>
        <v>0</v>
      </c>
      <c r="DM44">
        <f t="shared" si="33"/>
        <v>0</v>
      </c>
      <c r="DN44">
        <f t="shared" si="33"/>
        <v>0</v>
      </c>
      <c r="DO44">
        <f t="shared" si="33"/>
        <v>0</v>
      </c>
      <c r="DP44">
        <f t="shared" si="33"/>
        <v>0</v>
      </c>
      <c r="DQ44">
        <f t="shared" si="33"/>
        <v>0</v>
      </c>
      <c r="DR44">
        <f t="shared" si="33"/>
        <v>0</v>
      </c>
      <c r="DS44">
        <f t="shared" si="33"/>
        <v>0</v>
      </c>
      <c r="DT44">
        <f t="shared" si="33"/>
        <v>0</v>
      </c>
      <c r="DU44">
        <f t="shared" si="33"/>
        <v>0</v>
      </c>
      <c r="DV44">
        <f t="shared" si="33"/>
        <v>0</v>
      </c>
      <c r="DW44">
        <f t="shared" si="33"/>
        <v>0</v>
      </c>
      <c r="DX44">
        <f t="shared" si="33"/>
        <v>0</v>
      </c>
      <c r="DY44">
        <f t="shared" si="33"/>
        <v>0</v>
      </c>
      <c r="DZ44">
        <f t="shared" si="33"/>
        <v>0</v>
      </c>
      <c r="EA44">
        <f t="shared" si="33"/>
        <v>0</v>
      </c>
      <c r="EB44">
        <f t="shared" si="33"/>
        <v>0</v>
      </c>
      <c r="EC44">
        <f t="shared" si="17"/>
        <v>0</v>
      </c>
      <c r="ED44">
        <f t="shared" si="27"/>
        <v>0</v>
      </c>
      <c r="EE44">
        <f t="shared" si="27"/>
        <v>0</v>
      </c>
      <c r="EF44">
        <f t="shared" si="27"/>
        <v>0</v>
      </c>
      <c r="EG44">
        <f t="shared" si="27"/>
        <v>0</v>
      </c>
      <c r="EH44">
        <f t="shared" si="27"/>
        <v>0</v>
      </c>
      <c r="EI44">
        <f t="shared" si="27"/>
        <v>0</v>
      </c>
      <c r="EJ44">
        <f t="shared" si="27"/>
        <v>0</v>
      </c>
      <c r="EK44">
        <f t="shared" si="27"/>
        <v>0</v>
      </c>
      <c r="EL44">
        <f t="shared" si="27"/>
        <v>0</v>
      </c>
      <c r="EM44">
        <f t="shared" si="27"/>
        <v>0</v>
      </c>
      <c r="EN44">
        <f t="shared" si="27"/>
        <v>0</v>
      </c>
      <c r="EO44">
        <f t="shared" si="27"/>
        <v>0</v>
      </c>
      <c r="EP44">
        <f t="shared" si="27"/>
        <v>0</v>
      </c>
      <c r="EQ44">
        <f t="shared" si="27"/>
        <v>0</v>
      </c>
      <c r="ER44">
        <f t="shared" si="27"/>
        <v>0</v>
      </c>
      <c r="ES44">
        <f t="shared" si="27"/>
        <v>0</v>
      </c>
      <c r="ET44">
        <f t="shared" si="27"/>
        <v>0</v>
      </c>
      <c r="EU44">
        <f t="shared" si="27"/>
        <v>0</v>
      </c>
      <c r="EV44">
        <f t="shared" si="27"/>
        <v>0</v>
      </c>
      <c r="EW44">
        <f t="shared" si="27"/>
        <v>0</v>
      </c>
      <c r="EX44">
        <f t="shared" si="27"/>
        <v>0</v>
      </c>
      <c r="EY44">
        <f t="shared" si="27"/>
        <v>0</v>
      </c>
      <c r="EZ44">
        <f t="shared" si="27"/>
        <v>0</v>
      </c>
      <c r="FA44">
        <f t="shared" si="27"/>
        <v>0</v>
      </c>
      <c r="FB44">
        <f t="shared" si="27"/>
        <v>0</v>
      </c>
      <c r="FC44">
        <f t="shared" si="27"/>
        <v>0</v>
      </c>
      <c r="FD44">
        <f t="shared" si="27"/>
        <v>0</v>
      </c>
      <c r="FE44">
        <f t="shared" si="27"/>
        <v>0</v>
      </c>
      <c r="FF44">
        <f t="shared" si="27"/>
        <v>0</v>
      </c>
      <c r="FG44">
        <f t="shared" si="27"/>
        <v>0</v>
      </c>
      <c r="FH44">
        <f t="shared" si="27"/>
        <v>0</v>
      </c>
      <c r="FI44">
        <f t="shared" si="27"/>
        <v>0</v>
      </c>
      <c r="FJ44">
        <f t="shared" si="27"/>
        <v>0</v>
      </c>
      <c r="FK44">
        <f t="shared" si="27"/>
        <v>0</v>
      </c>
      <c r="FL44">
        <f t="shared" si="27"/>
        <v>0</v>
      </c>
      <c r="FM44">
        <f t="shared" si="27"/>
        <v>0</v>
      </c>
      <c r="FN44">
        <f t="shared" si="27"/>
        <v>0</v>
      </c>
      <c r="FO44">
        <f t="shared" si="27"/>
        <v>0</v>
      </c>
      <c r="FP44">
        <f t="shared" si="27"/>
        <v>0</v>
      </c>
      <c r="FQ44">
        <f t="shared" si="27"/>
        <v>0</v>
      </c>
      <c r="FR44">
        <f t="shared" si="27"/>
        <v>0</v>
      </c>
      <c r="FS44">
        <f t="shared" si="27"/>
        <v>0</v>
      </c>
      <c r="FT44">
        <f t="shared" si="27"/>
        <v>0</v>
      </c>
      <c r="FU44">
        <f t="shared" si="27"/>
        <v>0</v>
      </c>
    </row>
    <row r="45" spans="1:177" x14ac:dyDescent="0.25">
      <c r="A45" t="str">
        <f t="shared" ref="A45:D45" si="34">A18</f>
        <v>SG 553</v>
      </c>
      <c r="B45" t="str">
        <f t="shared" si="34"/>
        <v>StatTrak Tiger Moth FT</v>
      </c>
      <c r="C45" t="str">
        <f t="shared" si="34"/>
        <v>Other Rifle</v>
      </c>
      <c r="D45" t="str">
        <f t="shared" si="34"/>
        <v>Revolver</v>
      </c>
      <c r="E45">
        <f t="shared" si="11"/>
        <v>0</v>
      </c>
      <c r="F45">
        <f t="shared" ref="F45:BQ47" si="35">F18-ROUNDUP(F18*0.3,2)</f>
        <v>0</v>
      </c>
      <c r="G45">
        <f t="shared" si="35"/>
        <v>0</v>
      </c>
      <c r="H45">
        <f t="shared" si="35"/>
        <v>0</v>
      </c>
      <c r="I45">
        <f t="shared" si="35"/>
        <v>0</v>
      </c>
      <c r="J45">
        <f t="shared" si="35"/>
        <v>0</v>
      </c>
      <c r="K45">
        <f t="shared" si="35"/>
        <v>2.34</v>
      </c>
      <c r="L45">
        <f t="shared" si="35"/>
        <v>2.54</v>
      </c>
      <c r="M45">
        <f t="shared" si="35"/>
        <v>2.5</v>
      </c>
      <c r="N45">
        <f t="shared" si="35"/>
        <v>2.4699999999999998</v>
      </c>
      <c r="O45">
        <f t="shared" si="35"/>
        <v>2.5099999999999998</v>
      </c>
      <c r="P45">
        <f t="shared" si="35"/>
        <v>2.46</v>
      </c>
      <c r="Q45">
        <f t="shared" si="35"/>
        <v>2.42</v>
      </c>
      <c r="R45">
        <f t="shared" si="35"/>
        <v>2.3499999999999996</v>
      </c>
      <c r="S45">
        <f t="shared" si="35"/>
        <v>2.5499999999999998</v>
      </c>
      <c r="T45">
        <f t="shared" si="35"/>
        <v>2.4499999999999997</v>
      </c>
      <c r="U45">
        <f t="shared" si="35"/>
        <v>2.52</v>
      </c>
      <c r="V45">
        <f t="shared" si="35"/>
        <v>2.54</v>
      </c>
      <c r="W45">
        <f t="shared" si="35"/>
        <v>2.59</v>
      </c>
      <c r="X45">
        <f t="shared" si="35"/>
        <v>2.7300000000000004</v>
      </c>
      <c r="Y45">
        <f t="shared" si="35"/>
        <v>2.42</v>
      </c>
      <c r="Z45">
        <f t="shared" si="35"/>
        <v>0</v>
      </c>
      <c r="AA45">
        <f t="shared" si="35"/>
        <v>0</v>
      </c>
      <c r="AB45">
        <f t="shared" si="35"/>
        <v>0</v>
      </c>
      <c r="AC45">
        <f t="shared" si="35"/>
        <v>0</v>
      </c>
      <c r="AD45">
        <f t="shared" si="35"/>
        <v>0</v>
      </c>
      <c r="AE45">
        <f t="shared" si="35"/>
        <v>0</v>
      </c>
      <c r="AF45">
        <f t="shared" si="35"/>
        <v>0</v>
      </c>
      <c r="AG45">
        <f t="shared" si="35"/>
        <v>0</v>
      </c>
      <c r="AH45">
        <f t="shared" si="35"/>
        <v>0</v>
      </c>
      <c r="AI45">
        <f t="shared" si="35"/>
        <v>0</v>
      </c>
      <c r="AJ45">
        <f t="shared" si="35"/>
        <v>0</v>
      </c>
      <c r="AK45">
        <f t="shared" si="35"/>
        <v>0</v>
      </c>
      <c r="AL45">
        <f t="shared" si="35"/>
        <v>0</v>
      </c>
      <c r="AM45">
        <f t="shared" si="35"/>
        <v>0</v>
      </c>
      <c r="AN45">
        <f t="shared" si="35"/>
        <v>0</v>
      </c>
      <c r="AO45">
        <f t="shared" si="35"/>
        <v>0</v>
      </c>
      <c r="AP45">
        <f t="shared" si="35"/>
        <v>0</v>
      </c>
      <c r="AQ45">
        <f t="shared" si="35"/>
        <v>0</v>
      </c>
      <c r="AR45">
        <f t="shared" si="35"/>
        <v>0</v>
      </c>
      <c r="AS45">
        <f t="shared" si="35"/>
        <v>0</v>
      </c>
      <c r="AT45">
        <f t="shared" si="35"/>
        <v>0</v>
      </c>
      <c r="AU45">
        <f t="shared" si="35"/>
        <v>0</v>
      </c>
      <c r="AV45">
        <f t="shared" si="35"/>
        <v>0</v>
      </c>
      <c r="AW45">
        <f t="shared" si="35"/>
        <v>0</v>
      </c>
      <c r="AX45">
        <f t="shared" si="35"/>
        <v>0</v>
      </c>
      <c r="AY45">
        <f t="shared" si="35"/>
        <v>0</v>
      </c>
      <c r="AZ45">
        <f t="shared" si="35"/>
        <v>0</v>
      </c>
      <c r="BA45">
        <f t="shared" si="35"/>
        <v>0</v>
      </c>
      <c r="BB45">
        <f t="shared" si="35"/>
        <v>0</v>
      </c>
      <c r="BC45">
        <f t="shared" si="35"/>
        <v>0</v>
      </c>
      <c r="BD45">
        <f t="shared" si="35"/>
        <v>0</v>
      </c>
      <c r="BE45">
        <f t="shared" si="35"/>
        <v>0</v>
      </c>
      <c r="BF45">
        <f t="shared" si="35"/>
        <v>0</v>
      </c>
      <c r="BG45">
        <f t="shared" si="35"/>
        <v>0</v>
      </c>
      <c r="BH45">
        <f t="shared" si="35"/>
        <v>0</v>
      </c>
      <c r="BI45">
        <f t="shared" si="35"/>
        <v>0</v>
      </c>
      <c r="BJ45">
        <f t="shared" si="35"/>
        <v>0</v>
      </c>
      <c r="BK45">
        <f t="shared" si="35"/>
        <v>0</v>
      </c>
      <c r="BL45">
        <f t="shared" si="35"/>
        <v>0</v>
      </c>
      <c r="BM45">
        <f t="shared" si="35"/>
        <v>0</v>
      </c>
      <c r="BN45">
        <f t="shared" si="35"/>
        <v>0</v>
      </c>
      <c r="BO45">
        <f t="shared" si="35"/>
        <v>0</v>
      </c>
      <c r="BP45">
        <f t="shared" si="35"/>
        <v>0</v>
      </c>
      <c r="BQ45">
        <f t="shared" si="35"/>
        <v>0</v>
      </c>
      <c r="BR45">
        <f t="shared" si="33"/>
        <v>0</v>
      </c>
      <c r="BS45">
        <f t="shared" si="33"/>
        <v>0</v>
      </c>
      <c r="BT45">
        <f t="shared" si="33"/>
        <v>0</v>
      </c>
      <c r="BU45">
        <f t="shared" si="33"/>
        <v>0</v>
      </c>
      <c r="BV45">
        <f t="shared" si="33"/>
        <v>0</v>
      </c>
      <c r="BW45">
        <f t="shared" si="33"/>
        <v>0</v>
      </c>
      <c r="BX45">
        <f t="shared" si="33"/>
        <v>0</v>
      </c>
      <c r="BY45">
        <f t="shared" si="33"/>
        <v>0</v>
      </c>
      <c r="BZ45">
        <f t="shared" si="33"/>
        <v>0</v>
      </c>
      <c r="CA45">
        <f t="shared" si="33"/>
        <v>0</v>
      </c>
      <c r="CB45">
        <f t="shared" si="33"/>
        <v>0</v>
      </c>
      <c r="CC45">
        <f t="shared" si="33"/>
        <v>0</v>
      </c>
      <c r="CD45">
        <f t="shared" si="33"/>
        <v>0</v>
      </c>
      <c r="CE45">
        <f t="shared" si="33"/>
        <v>0</v>
      </c>
      <c r="CF45">
        <f t="shared" si="33"/>
        <v>0</v>
      </c>
      <c r="CG45">
        <f t="shared" si="33"/>
        <v>0</v>
      </c>
      <c r="CH45">
        <f t="shared" si="33"/>
        <v>0</v>
      </c>
      <c r="CI45">
        <f t="shared" si="33"/>
        <v>0</v>
      </c>
      <c r="CJ45">
        <f t="shared" si="33"/>
        <v>0</v>
      </c>
      <c r="CK45">
        <f t="shared" si="33"/>
        <v>0</v>
      </c>
      <c r="CL45">
        <f t="shared" si="33"/>
        <v>0</v>
      </c>
      <c r="CM45">
        <f t="shared" si="33"/>
        <v>0</v>
      </c>
      <c r="CN45">
        <f t="shared" si="33"/>
        <v>0</v>
      </c>
      <c r="CO45">
        <f t="shared" si="33"/>
        <v>0</v>
      </c>
      <c r="CP45">
        <f t="shared" si="33"/>
        <v>0</v>
      </c>
      <c r="CQ45">
        <f t="shared" si="33"/>
        <v>0</v>
      </c>
      <c r="CR45">
        <f t="shared" si="33"/>
        <v>0</v>
      </c>
      <c r="CS45">
        <f t="shared" si="33"/>
        <v>0</v>
      </c>
      <c r="CT45">
        <f t="shared" si="33"/>
        <v>0</v>
      </c>
      <c r="CU45">
        <f t="shared" si="33"/>
        <v>0</v>
      </c>
      <c r="CV45">
        <f t="shared" si="33"/>
        <v>0</v>
      </c>
      <c r="CW45">
        <f t="shared" si="33"/>
        <v>0</v>
      </c>
      <c r="CX45">
        <f t="shared" si="33"/>
        <v>0</v>
      </c>
      <c r="CY45">
        <f t="shared" si="33"/>
        <v>0</v>
      </c>
      <c r="CZ45">
        <f t="shared" si="33"/>
        <v>0</v>
      </c>
      <c r="DA45">
        <f t="shared" si="33"/>
        <v>0</v>
      </c>
      <c r="DB45">
        <f t="shared" si="33"/>
        <v>0</v>
      </c>
      <c r="DC45">
        <f t="shared" si="33"/>
        <v>0</v>
      </c>
      <c r="DD45">
        <f t="shared" si="33"/>
        <v>0</v>
      </c>
      <c r="DE45">
        <f t="shared" si="33"/>
        <v>0</v>
      </c>
      <c r="DF45">
        <f t="shared" si="33"/>
        <v>0</v>
      </c>
      <c r="DG45">
        <f t="shared" si="33"/>
        <v>0</v>
      </c>
      <c r="DH45">
        <f t="shared" si="33"/>
        <v>0</v>
      </c>
      <c r="DI45">
        <f t="shared" si="33"/>
        <v>0</v>
      </c>
      <c r="DJ45">
        <f t="shared" si="33"/>
        <v>0</v>
      </c>
      <c r="DK45">
        <f t="shared" si="33"/>
        <v>0</v>
      </c>
      <c r="DL45">
        <f t="shared" si="33"/>
        <v>0</v>
      </c>
      <c r="DM45">
        <f t="shared" si="33"/>
        <v>0</v>
      </c>
      <c r="DN45">
        <f t="shared" si="33"/>
        <v>0</v>
      </c>
      <c r="DO45">
        <f t="shared" si="33"/>
        <v>0</v>
      </c>
      <c r="DP45">
        <f t="shared" si="33"/>
        <v>0</v>
      </c>
      <c r="DQ45">
        <f t="shared" si="33"/>
        <v>0</v>
      </c>
      <c r="DR45">
        <f t="shared" si="33"/>
        <v>0</v>
      </c>
      <c r="DS45">
        <f t="shared" si="33"/>
        <v>0</v>
      </c>
      <c r="DT45">
        <f t="shared" si="33"/>
        <v>0</v>
      </c>
      <c r="DU45">
        <f t="shared" si="33"/>
        <v>0</v>
      </c>
      <c r="DV45">
        <f t="shared" si="33"/>
        <v>0</v>
      </c>
      <c r="DW45">
        <f t="shared" si="33"/>
        <v>0</v>
      </c>
      <c r="DX45">
        <f t="shared" si="33"/>
        <v>0</v>
      </c>
      <c r="DY45">
        <f t="shared" si="33"/>
        <v>0</v>
      </c>
      <c r="DZ45">
        <f t="shared" si="33"/>
        <v>0</v>
      </c>
      <c r="EA45">
        <f t="shared" si="33"/>
        <v>0</v>
      </c>
      <c r="EB45">
        <f t="shared" si="33"/>
        <v>0</v>
      </c>
      <c r="EC45">
        <f t="shared" si="17"/>
        <v>0</v>
      </c>
      <c r="ED45">
        <f t="shared" si="27"/>
        <v>0</v>
      </c>
      <c r="EE45">
        <f t="shared" si="27"/>
        <v>0</v>
      </c>
      <c r="EF45">
        <f t="shared" si="27"/>
        <v>0</v>
      </c>
      <c r="EG45">
        <f t="shared" si="27"/>
        <v>0</v>
      </c>
      <c r="EH45">
        <f t="shared" si="27"/>
        <v>0</v>
      </c>
      <c r="EI45">
        <f t="shared" si="27"/>
        <v>0</v>
      </c>
      <c r="EJ45">
        <f t="shared" si="27"/>
        <v>0</v>
      </c>
      <c r="EK45">
        <f t="shared" si="27"/>
        <v>0</v>
      </c>
      <c r="EL45">
        <f t="shared" si="27"/>
        <v>0</v>
      </c>
      <c r="EM45">
        <f t="shared" si="27"/>
        <v>0</v>
      </c>
      <c r="EN45">
        <f t="shared" si="27"/>
        <v>0</v>
      </c>
      <c r="EO45">
        <f t="shared" si="27"/>
        <v>0</v>
      </c>
      <c r="EP45">
        <f t="shared" si="27"/>
        <v>0</v>
      </c>
      <c r="EQ45">
        <f t="shared" si="27"/>
        <v>0</v>
      </c>
      <c r="ER45">
        <f t="shared" si="27"/>
        <v>0</v>
      </c>
      <c r="ES45">
        <f t="shared" si="27"/>
        <v>0</v>
      </c>
      <c r="ET45">
        <f t="shared" si="27"/>
        <v>0</v>
      </c>
      <c r="EU45">
        <f t="shared" si="27"/>
        <v>0</v>
      </c>
      <c r="EV45">
        <f t="shared" si="27"/>
        <v>0</v>
      </c>
      <c r="EW45">
        <f t="shared" si="27"/>
        <v>0</v>
      </c>
      <c r="EX45">
        <f t="shared" si="27"/>
        <v>0</v>
      </c>
      <c r="EY45">
        <f t="shared" si="27"/>
        <v>0</v>
      </c>
      <c r="EZ45">
        <f t="shared" si="27"/>
        <v>0</v>
      </c>
      <c r="FA45">
        <f t="shared" si="27"/>
        <v>0</v>
      </c>
      <c r="FB45">
        <f t="shared" si="27"/>
        <v>0</v>
      </c>
      <c r="FC45">
        <f t="shared" si="27"/>
        <v>0</v>
      </c>
      <c r="FD45">
        <f t="shared" si="27"/>
        <v>0</v>
      </c>
      <c r="FE45">
        <f t="shared" si="27"/>
        <v>0</v>
      </c>
      <c r="FF45">
        <f t="shared" si="27"/>
        <v>0</v>
      </c>
      <c r="FG45">
        <f t="shared" si="27"/>
        <v>0</v>
      </c>
      <c r="FH45">
        <f t="shared" si="27"/>
        <v>0</v>
      </c>
      <c r="FI45">
        <f t="shared" si="27"/>
        <v>0</v>
      </c>
      <c r="FJ45">
        <f t="shared" si="27"/>
        <v>0</v>
      </c>
      <c r="FK45">
        <f t="shared" si="27"/>
        <v>0</v>
      </c>
      <c r="FL45">
        <f t="shared" si="27"/>
        <v>0</v>
      </c>
      <c r="FM45">
        <f t="shared" ref="FM45:FU45" si="36">FM18-ROUNDUP(FM18*0.3,2)</f>
        <v>0</v>
      </c>
      <c r="FN45">
        <f t="shared" si="36"/>
        <v>0</v>
      </c>
      <c r="FO45">
        <f t="shared" si="36"/>
        <v>0</v>
      </c>
      <c r="FP45">
        <f t="shared" si="36"/>
        <v>0</v>
      </c>
      <c r="FQ45">
        <f t="shared" si="36"/>
        <v>0</v>
      </c>
      <c r="FR45">
        <f t="shared" si="36"/>
        <v>0</v>
      </c>
      <c r="FS45">
        <f t="shared" si="36"/>
        <v>0</v>
      </c>
      <c r="FT45">
        <f t="shared" si="36"/>
        <v>0</v>
      </c>
      <c r="FU45">
        <f t="shared" si="36"/>
        <v>0</v>
      </c>
    </row>
    <row r="46" spans="1:177" x14ac:dyDescent="0.25">
      <c r="A46" t="str">
        <f t="shared" ref="A46:D46" si="37">A19</f>
        <v>AUG</v>
      </c>
      <c r="B46" t="str">
        <f t="shared" si="37"/>
        <v>Chameleon MW</v>
      </c>
      <c r="C46" t="str">
        <f t="shared" si="37"/>
        <v>Other Rifle</v>
      </c>
      <c r="D46" t="str">
        <f t="shared" si="37"/>
        <v>Phoenix</v>
      </c>
      <c r="E46">
        <f t="shared" si="11"/>
        <v>0</v>
      </c>
      <c r="F46">
        <f t="shared" si="35"/>
        <v>0</v>
      </c>
      <c r="G46">
        <f t="shared" si="35"/>
        <v>0</v>
      </c>
      <c r="H46">
        <f t="shared" si="35"/>
        <v>0</v>
      </c>
      <c r="I46">
        <f t="shared" si="35"/>
        <v>0</v>
      </c>
      <c r="J46">
        <f t="shared" si="35"/>
        <v>0</v>
      </c>
      <c r="K46">
        <f t="shared" si="35"/>
        <v>3.1899999999999995</v>
      </c>
      <c r="L46">
        <f t="shared" si="35"/>
        <v>3.24</v>
      </c>
      <c r="M46">
        <f t="shared" si="35"/>
        <v>3.0699999999999994</v>
      </c>
      <c r="N46">
        <f t="shared" si="35"/>
        <v>3.35</v>
      </c>
      <c r="O46">
        <f t="shared" si="35"/>
        <v>3.36</v>
      </c>
      <c r="P46">
        <f t="shared" si="35"/>
        <v>3.3899999999999997</v>
      </c>
      <c r="Q46">
        <f t="shared" si="35"/>
        <v>3.35</v>
      </c>
      <c r="R46">
        <f t="shared" si="35"/>
        <v>3.38</v>
      </c>
      <c r="S46">
        <f t="shared" si="35"/>
        <v>3.17</v>
      </c>
      <c r="T46">
        <f t="shared" si="35"/>
        <v>3.2200000000000006</v>
      </c>
      <c r="U46">
        <f t="shared" si="35"/>
        <v>3.3200000000000003</v>
      </c>
      <c r="V46">
        <f t="shared" si="35"/>
        <v>3.08</v>
      </c>
      <c r="W46">
        <f t="shared" si="35"/>
        <v>3.03</v>
      </c>
      <c r="X46">
        <f t="shared" si="35"/>
        <v>3.3</v>
      </c>
      <c r="Y46">
        <f t="shared" si="35"/>
        <v>3.1899999999999995</v>
      </c>
      <c r="Z46">
        <f t="shared" si="35"/>
        <v>0</v>
      </c>
      <c r="AA46">
        <f t="shared" si="35"/>
        <v>0</v>
      </c>
      <c r="AB46">
        <f t="shared" si="35"/>
        <v>0</v>
      </c>
      <c r="AC46">
        <f t="shared" si="35"/>
        <v>0</v>
      </c>
      <c r="AD46">
        <f t="shared" si="35"/>
        <v>0</v>
      </c>
      <c r="AE46">
        <f t="shared" si="35"/>
        <v>0</v>
      </c>
      <c r="AF46">
        <f t="shared" si="35"/>
        <v>0</v>
      </c>
      <c r="AG46">
        <f t="shared" si="35"/>
        <v>0</v>
      </c>
      <c r="AH46">
        <f t="shared" si="35"/>
        <v>0</v>
      </c>
      <c r="AI46">
        <f t="shared" si="35"/>
        <v>0</v>
      </c>
      <c r="AJ46">
        <f t="shared" si="35"/>
        <v>0</v>
      </c>
      <c r="AK46">
        <f t="shared" si="35"/>
        <v>0</v>
      </c>
      <c r="AL46">
        <f t="shared" si="35"/>
        <v>0</v>
      </c>
      <c r="AM46">
        <f t="shared" si="35"/>
        <v>0</v>
      </c>
      <c r="AN46">
        <f t="shared" si="35"/>
        <v>0</v>
      </c>
      <c r="AO46">
        <f t="shared" si="35"/>
        <v>0</v>
      </c>
      <c r="AP46">
        <f t="shared" si="35"/>
        <v>0</v>
      </c>
      <c r="AQ46">
        <f t="shared" si="35"/>
        <v>0</v>
      </c>
      <c r="AR46">
        <f t="shared" si="35"/>
        <v>0</v>
      </c>
      <c r="AS46">
        <f t="shared" si="35"/>
        <v>0</v>
      </c>
      <c r="AT46">
        <f t="shared" si="35"/>
        <v>0</v>
      </c>
      <c r="AU46">
        <f t="shared" si="35"/>
        <v>0</v>
      </c>
      <c r="AV46">
        <f t="shared" si="35"/>
        <v>0</v>
      </c>
      <c r="AW46">
        <f t="shared" si="35"/>
        <v>0</v>
      </c>
      <c r="AX46">
        <f t="shared" si="35"/>
        <v>0</v>
      </c>
      <c r="AY46">
        <f t="shared" si="35"/>
        <v>0</v>
      </c>
      <c r="AZ46">
        <f t="shared" si="35"/>
        <v>0</v>
      </c>
      <c r="BA46">
        <f t="shared" si="35"/>
        <v>0</v>
      </c>
      <c r="BB46">
        <f t="shared" si="35"/>
        <v>0</v>
      </c>
      <c r="BC46">
        <f t="shared" si="35"/>
        <v>0</v>
      </c>
      <c r="BD46">
        <f t="shared" si="35"/>
        <v>0</v>
      </c>
      <c r="BE46">
        <f t="shared" si="35"/>
        <v>0</v>
      </c>
      <c r="BF46">
        <f t="shared" si="35"/>
        <v>0</v>
      </c>
      <c r="BG46">
        <f t="shared" si="35"/>
        <v>0</v>
      </c>
      <c r="BH46">
        <f t="shared" si="35"/>
        <v>0</v>
      </c>
      <c r="BI46">
        <f t="shared" si="35"/>
        <v>0</v>
      </c>
      <c r="BJ46">
        <f t="shared" si="35"/>
        <v>0</v>
      </c>
      <c r="BK46">
        <f t="shared" si="35"/>
        <v>0</v>
      </c>
      <c r="BL46">
        <f t="shared" si="35"/>
        <v>0</v>
      </c>
      <c r="BM46">
        <f t="shared" si="35"/>
        <v>0</v>
      </c>
      <c r="BN46">
        <f t="shared" si="35"/>
        <v>0</v>
      </c>
      <c r="BO46">
        <f t="shared" si="35"/>
        <v>0</v>
      </c>
      <c r="BP46">
        <f t="shared" si="35"/>
        <v>0</v>
      </c>
      <c r="BQ46">
        <f t="shared" si="35"/>
        <v>0</v>
      </c>
      <c r="BR46">
        <f t="shared" si="33"/>
        <v>0</v>
      </c>
      <c r="BS46">
        <f t="shared" si="33"/>
        <v>0</v>
      </c>
      <c r="BT46">
        <f t="shared" si="33"/>
        <v>0</v>
      </c>
      <c r="BU46">
        <f t="shared" si="33"/>
        <v>0</v>
      </c>
      <c r="BV46">
        <f t="shared" si="33"/>
        <v>0</v>
      </c>
      <c r="BW46">
        <f t="shared" si="33"/>
        <v>0</v>
      </c>
      <c r="BX46">
        <f t="shared" si="33"/>
        <v>0</v>
      </c>
      <c r="BY46">
        <f t="shared" si="33"/>
        <v>0</v>
      </c>
      <c r="BZ46">
        <f t="shared" si="33"/>
        <v>0</v>
      </c>
      <c r="CA46">
        <f t="shared" si="33"/>
        <v>0</v>
      </c>
      <c r="CB46">
        <f t="shared" si="33"/>
        <v>0</v>
      </c>
      <c r="CC46">
        <f t="shared" si="33"/>
        <v>0</v>
      </c>
      <c r="CD46">
        <f t="shared" si="33"/>
        <v>0</v>
      </c>
      <c r="CE46">
        <f t="shared" si="33"/>
        <v>0</v>
      </c>
      <c r="CF46">
        <f t="shared" si="33"/>
        <v>0</v>
      </c>
      <c r="CG46">
        <f t="shared" si="33"/>
        <v>0</v>
      </c>
      <c r="CH46">
        <f t="shared" si="33"/>
        <v>0</v>
      </c>
      <c r="CI46">
        <f t="shared" si="33"/>
        <v>0</v>
      </c>
      <c r="CJ46">
        <f t="shared" si="33"/>
        <v>0</v>
      </c>
      <c r="CK46">
        <f t="shared" si="33"/>
        <v>0</v>
      </c>
      <c r="CL46">
        <f t="shared" si="33"/>
        <v>0</v>
      </c>
      <c r="CM46">
        <f t="shared" si="33"/>
        <v>0</v>
      </c>
      <c r="CN46">
        <f t="shared" si="33"/>
        <v>0</v>
      </c>
      <c r="CO46">
        <f t="shared" si="33"/>
        <v>0</v>
      </c>
      <c r="CP46">
        <f t="shared" si="33"/>
        <v>0</v>
      </c>
      <c r="CQ46">
        <f t="shared" si="33"/>
        <v>0</v>
      </c>
      <c r="CR46">
        <f t="shared" si="33"/>
        <v>0</v>
      </c>
      <c r="CS46">
        <f t="shared" si="33"/>
        <v>0</v>
      </c>
      <c r="CT46">
        <f t="shared" si="33"/>
        <v>0</v>
      </c>
      <c r="CU46">
        <f t="shared" si="33"/>
        <v>0</v>
      </c>
      <c r="CV46">
        <f t="shared" si="33"/>
        <v>0</v>
      </c>
      <c r="CW46">
        <f t="shared" si="33"/>
        <v>0</v>
      </c>
      <c r="CX46">
        <f t="shared" si="33"/>
        <v>0</v>
      </c>
      <c r="CY46">
        <f t="shared" si="33"/>
        <v>0</v>
      </c>
      <c r="CZ46">
        <f t="shared" si="33"/>
        <v>0</v>
      </c>
      <c r="DA46">
        <f t="shared" si="33"/>
        <v>0</v>
      </c>
      <c r="DB46">
        <f t="shared" si="33"/>
        <v>0</v>
      </c>
      <c r="DC46">
        <f t="shared" si="33"/>
        <v>0</v>
      </c>
      <c r="DD46">
        <f t="shared" si="33"/>
        <v>0</v>
      </c>
      <c r="DE46">
        <f t="shared" si="33"/>
        <v>0</v>
      </c>
      <c r="DF46">
        <f t="shared" si="33"/>
        <v>0</v>
      </c>
      <c r="DG46">
        <f t="shared" si="33"/>
        <v>0</v>
      </c>
      <c r="DH46">
        <f t="shared" si="33"/>
        <v>0</v>
      </c>
      <c r="DI46">
        <f t="shared" si="33"/>
        <v>0</v>
      </c>
      <c r="DJ46">
        <f t="shared" si="33"/>
        <v>0</v>
      </c>
      <c r="DK46">
        <f t="shared" si="33"/>
        <v>0</v>
      </c>
      <c r="DL46">
        <f t="shared" si="33"/>
        <v>0</v>
      </c>
      <c r="DM46">
        <f t="shared" si="33"/>
        <v>0</v>
      </c>
      <c r="DN46">
        <f t="shared" si="33"/>
        <v>0</v>
      </c>
      <c r="DO46">
        <f t="shared" si="33"/>
        <v>0</v>
      </c>
      <c r="DP46">
        <f t="shared" si="33"/>
        <v>0</v>
      </c>
      <c r="DQ46">
        <f t="shared" si="33"/>
        <v>0</v>
      </c>
      <c r="DR46">
        <f t="shared" si="33"/>
        <v>0</v>
      </c>
      <c r="DS46">
        <f t="shared" si="33"/>
        <v>0</v>
      </c>
      <c r="DT46">
        <f t="shared" si="33"/>
        <v>0</v>
      </c>
      <c r="DU46">
        <f t="shared" si="33"/>
        <v>0</v>
      </c>
      <c r="DV46">
        <f t="shared" si="33"/>
        <v>0</v>
      </c>
      <c r="DW46">
        <f t="shared" si="33"/>
        <v>0</v>
      </c>
      <c r="DX46">
        <f t="shared" si="33"/>
        <v>0</v>
      </c>
      <c r="DY46">
        <f t="shared" si="33"/>
        <v>0</v>
      </c>
      <c r="DZ46">
        <f t="shared" si="33"/>
        <v>0</v>
      </c>
      <c r="EA46">
        <f t="shared" si="33"/>
        <v>0</v>
      </c>
      <c r="EB46">
        <f t="shared" si="33"/>
        <v>0</v>
      </c>
      <c r="EC46">
        <f t="shared" si="17"/>
        <v>0</v>
      </c>
      <c r="ED46">
        <f t="shared" ref="ED46:FU47" si="38">ED19-ROUNDUP(ED19*0.3,2)</f>
        <v>0</v>
      </c>
      <c r="EE46">
        <f t="shared" si="38"/>
        <v>0</v>
      </c>
      <c r="EF46">
        <f t="shared" si="38"/>
        <v>0</v>
      </c>
      <c r="EG46">
        <f t="shared" si="38"/>
        <v>0</v>
      </c>
      <c r="EH46">
        <f t="shared" si="38"/>
        <v>0</v>
      </c>
      <c r="EI46">
        <f t="shared" si="38"/>
        <v>0</v>
      </c>
      <c r="EJ46">
        <f t="shared" si="38"/>
        <v>0</v>
      </c>
      <c r="EK46">
        <f t="shared" si="38"/>
        <v>0</v>
      </c>
      <c r="EL46">
        <f t="shared" si="38"/>
        <v>0</v>
      </c>
      <c r="EM46">
        <f t="shared" si="38"/>
        <v>0</v>
      </c>
      <c r="EN46">
        <f t="shared" si="38"/>
        <v>0</v>
      </c>
      <c r="EO46">
        <f t="shared" si="38"/>
        <v>0</v>
      </c>
      <c r="EP46">
        <f t="shared" si="38"/>
        <v>0</v>
      </c>
      <c r="EQ46">
        <f t="shared" si="38"/>
        <v>0</v>
      </c>
      <c r="ER46">
        <f t="shared" si="38"/>
        <v>0</v>
      </c>
      <c r="ES46">
        <f t="shared" si="38"/>
        <v>0</v>
      </c>
      <c r="ET46">
        <f t="shared" si="38"/>
        <v>0</v>
      </c>
      <c r="EU46">
        <f t="shared" si="38"/>
        <v>0</v>
      </c>
      <c r="EV46">
        <f t="shared" si="38"/>
        <v>0</v>
      </c>
      <c r="EW46">
        <f t="shared" si="38"/>
        <v>0</v>
      </c>
      <c r="EX46">
        <f t="shared" si="38"/>
        <v>0</v>
      </c>
      <c r="EY46">
        <f t="shared" si="38"/>
        <v>0</v>
      </c>
      <c r="EZ46">
        <f t="shared" si="38"/>
        <v>0</v>
      </c>
      <c r="FA46">
        <f t="shared" si="38"/>
        <v>0</v>
      </c>
      <c r="FB46">
        <f t="shared" si="38"/>
        <v>0</v>
      </c>
      <c r="FC46">
        <f t="shared" si="38"/>
        <v>0</v>
      </c>
      <c r="FD46">
        <f t="shared" si="38"/>
        <v>0</v>
      </c>
      <c r="FE46">
        <f t="shared" si="38"/>
        <v>0</v>
      </c>
      <c r="FF46">
        <f t="shared" si="38"/>
        <v>0</v>
      </c>
      <c r="FG46">
        <f t="shared" si="38"/>
        <v>0</v>
      </c>
      <c r="FH46">
        <f t="shared" si="38"/>
        <v>0</v>
      </c>
      <c r="FI46">
        <f t="shared" si="38"/>
        <v>0</v>
      </c>
      <c r="FJ46">
        <f t="shared" si="38"/>
        <v>0</v>
      </c>
      <c r="FK46">
        <f t="shared" si="38"/>
        <v>0</v>
      </c>
      <c r="FL46">
        <f t="shared" si="38"/>
        <v>0</v>
      </c>
      <c r="FM46">
        <f t="shared" si="38"/>
        <v>0</v>
      </c>
      <c r="FN46">
        <f t="shared" si="38"/>
        <v>0</v>
      </c>
      <c r="FO46">
        <f t="shared" si="38"/>
        <v>0</v>
      </c>
      <c r="FP46">
        <f t="shared" si="38"/>
        <v>0</v>
      </c>
      <c r="FQ46">
        <f t="shared" si="38"/>
        <v>0</v>
      </c>
      <c r="FR46">
        <f t="shared" si="38"/>
        <v>0</v>
      </c>
      <c r="FS46">
        <f t="shared" si="38"/>
        <v>0</v>
      </c>
      <c r="FT46">
        <f t="shared" si="38"/>
        <v>0</v>
      </c>
      <c r="FU46">
        <f t="shared" si="38"/>
        <v>0</v>
      </c>
    </row>
    <row r="47" spans="1:177" x14ac:dyDescent="0.25">
      <c r="A47" t="str">
        <f t="shared" ref="A47:D47" si="39">A20</f>
        <v>SCAR-20</v>
      </c>
      <c r="B47" t="str">
        <f t="shared" si="39"/>
        <v>Cardiac FT</v>
      </c>
      <c r="C47" t="str">
        <f t="shared" si="39"/>
        <v>Other Rifle</v>
      </c>
      <c r="D47" t="str">
        <f t="shared" si="39"/>
        <v>Vanguard</v>
      </c>
      <c r="E47">
        <f t="shared" si="11"/>
        <v>0</v>
      </c>
      <c r="F47">
        <f t="shared" si="35"/>
        <v>0</v>
      </c>
      <c r="G47">
        <f t="shared" si="35"/>
        <v>0</v>
      </c>
      <c r="H47">
        <f t="shared" si="35"/>
        <v>0</v>
      </c>
      <c r="I47">
        <f t="shared" si="35"/>
        <v>0</v>
      </c>
      <c r="J47">
        <f t="shared" si="35"/>
        <v>0</v>
      </c>
      <c r="K47">
        <f t="shared" si="35"/>
        <v>2.13</v>
      </c>
      <c r="L47">
        <f t="shared" si="35"/>
        <v>2.11</v>
      </c>
      <c r="M47">
        <f t="shared" si="35"/>
        <v>2.23</v>
      </c>
      <c r="N47">
        <f t="shared" si="35"/>
        <v>2.0300000000000002</v>
      </c>
      <c r="O47">
        <f t="shared" si="35"/>
        <v>2.12</v>
      </c>
      <c r="P47">
        <f t="shared" si="35"/>
        <v>2.17</v>
      </c>
      <c r="Q47">
        <f t="shared" si="35"/>
        <v>2.17</v>
      </c>
      <c r="R47">
        <f t="shared" si="35"/>
        <v>2.1399999999999997</v>
      </c>
      <c r="S47">
        <f t="shared" si="35"/>
        <v>1.94</v>
      </c>
      <c r="T47">
        <f t="shared" si="35"/>
        <v>1.9699999999999998</v>
      </c>
      <c r="U47">
        <f t="shared" si="35"/>
        <v>2.17</v>
      </c>
      <c r="V47">
        <f t="shared" si="35"/>
        <v>2.17</v>
      </c>
      <c r="W47">
        <f t="shared" si="35"/>
        <v>2.0299999999999998</v>
      </c>
      <c r="X47">
        <f t="shared" si="35"/>
        <v>2.21</v>
      </c>
      <c r="Y47">
        <f t="shared" si="35"/>
        <v>2.1</v>
      </c>
      <c r="Z47">
        <f t="shared" si="35"/>
        <v>0</v>
      </c>
      <c r="AA47">
        <f t="shared" si="35"/>
        <v>0</v>
      </c>
      <c r="AB47">
        <f t="shared" si="35"/>
        <v>0</v>
      </c>
      <c r="AC47">
        <f t="shared" si="35"/>
        <v>0</v>
      </c>
      <c r="AD47">
        <f t="shared" si="35"/>
        <v>0</v>
      </c>
      <c r="AE47">
        <f t="shared" si="35"/>
        <v>0</v>
      </c>
      <c r="AF47">
        <f t="shared" si="35"/>
        <v>0</v>
      </c>
      <c r="AG47">
        <f t="shared" si="35"/>
        <v>0</v>
      </c>
      <c r="AH47">
        <f t="shared" si="35"/>
        <v>0</v>
      </c>
      <c r="AI47">
        <f t="shared" si="35"/>
        <v>0</v>
      </c>
      <c r="AJ47">
        <f t="shared" si="35"/>
        <v>0</v>
      </c>
      <c r="AK47">
        <f t="shared" si="35"/>
        <v>0</v>
      </c>
      <c r="AL47">
        <f t="shared" si="35"/>
        <v>0</v>
      </c>
      <c r="AM47">
        <f t="shared" si="35"/>
        <v>0</v>
      </c>
      <c r="AN47">
        <f t="shared" si="35"/>
        <v>0</v>
      </c>
      <c r="AO47">
        <f t="shared" si="35"/>
        <v>0</v>
      </c>
      <c r="AP47">
        <f t="shared" si="35"/>
        <v>0</v>
      </c>
      <c r="AQ47">
        <f t="shared" si="35"/>
        <v>0</v>
      </c>
      <c r="AR47">
        <f t="shared" si="35"/>
        <v>0</v>
      </c>
      <c r="AS47">
        <f t="shared" si="35"/>
        <v>0</v>
      </c>
      <c r="AT47">
        <f t="shared" si="35"/>
        <v>0</v>
      </c>
      <c r="AU47">
        <f t="shared" si="35"/>
        <v>0</v>
      </c>
      <c r="AV47">
        <f t="shared" si="35"/>
        <v>0</v>
      </c>
      <c r="AW47">
        <f t="shared" si="35"/>
        <v>0</v>
      </c>
      <c r="AX47">
        <f t="shared" si="35"/>
        <v>0</v>
      </c>
      <c r="AY47">
        <f t="shared" si="35"/>
        <v>0</v>
      </c>
      <c r="AZ47">
        <f t="shared" si="35"/>
        <v>0</v>
      </c>
      <c r="BA47">
        <f t="shared" si="35"/>
        <v>0</v>
      </c>
      <c r="BB47">
        <f t="shared" si="35"/>
        <v>0</v>
      </c>
      <c r="BC47">
        <f t="shared" si="35"/>
        <v>0</v>
      </c>
      <c r="BD47">
        <f t="shared" si="35"/>
        <v>0</v>
      </c>
      <c r="BE47">
        <f t="shared" si="35"/>
        <v>0</v>
      </c>
      <c r="BF47">
        <f t="shared" si="35"/>
        <v>0</v>
      </c>
      <c r="BG47">
        <f t="shared" si="35"/>
        <v>0</v>
      </c>
      <c r="BH47">
        <f t="shared" si="35"/>
        <v>0</v>
      </c>
      <c r="BI47">
        <f t="shared" si="35"/>
        <v>0</v>
      </c>
      <c r="BJ47">
        <f t="shared" si="35"/>
        <v>0</v>
      </c>
      <c r="BK47">
        <f t="shared" si="35"/>
        <v>0</v>
      </c>
      <c r="BL47">
        <f t="shared" si="35"/>
        <v>0</v>
      </c>
      <c r="BM47">
        <f t="shared" si="35"/>
        <v>0</v>
      </c>
      <c r="BN47">
        <f t="shared" si="35"/>
        <v>0</v>
      </c>
      <c r="BO47">
        <f t="shared" si="35"/>
        <v>0</v>
      </c>
      <c r="BP47">
        <f t="shared" si="35"/>
        <v>0</v>
      </c>
      <c r="BQ47">
        <f t="shared" si="35"/>
        <v>0</v>
      </c>
      <c r="BR47">
        <f t="shared" si="33"/>
        <v>0</v>
      </c>
      <c r="BS47">
        <f t="shared" si="33"/>
        <v>0</v>
      </c>
      <c r="BT47">
        <f t="shared" si="33"/>
        <v>0</v>
      </c>
      <c r="BU47">
        <f t="shared" si="33"/>
        <v>0</v>
      </c>
      <c r="BV47">
        <f t="shared" si="33"/>
        <v>0</v>
      </c>
      <c r="BW47">
        <f t="shared" si="33"/>
        <v>0</v>
      </c>
      <c r="BX47">
        <f t="shared" si="33"/>
        <v>0</v>
      </c>
      <c r="BY47">
        <f t="shared" si="33"/>
        <v>0</v>
      </c>
      <c r="BZ47">
        <f t="shared" si="33"/>
        <v>0</v>
      </c>
      <c r="CA47">
        <f t="shared" si="33"/>
        <v>0</v>
      </c>
      <c r="CB47">
        <f t="shared" si="33"/>
        <v>0</v>
      </c>
      <c r="CC47">
        <f t="shared" si="33"/>
        <v>0</v>
      </c>
      <c r="CD47">
        <f t="shared" si="33"/>
        <v>0</v>
      </c>
      <c r="CE47">
        <f t="shared" si="33"/>
        <v>0</v>
      </c>
      <c r="CF47">
        <f t="shared" si="33"/>
        <v>0</v>
      </c>
      <c r="CG47">
        <f t="shared" si="33"/>
        <v>0</v>
      </c>
      <c r="CH47">
        <f t="shared" si="33"/>
        <v>0</v>
      </c>
      <c r="CI47">
        <f t="shared" si="33"/>
        <v>0</v>
      </c>
      <c r="CJ47">
        <f t="shared" si="33"/>
        <v>0</v>
      </c>
      <c r="CK47">
        <f t="shared" si="33"/>
        <v>0</v>
      </c>
      <c r="CL47">
        <f t="shared" si="33"/>
        <v>0</v>
      </c>
      <c r="CM47">
        <f t="shared" si="33"/>
        <v>0</v>
      </c>
      <c r="CN47">
        <f t="shared" si="33"/>
        <v>0</v>
      </c>
      <c r="CO47">
        <f t="shared" si="33"/>
        <v>0</v>
      </c>
      <c r="CP47">
        <f t="shared" si="33"/>
        <v>0</v>
      </c>
      <c r="CQ47">
        <f t="shared" si="33"/>
        <v>0</v>
      </c>
      <c r="CR47">
        <f t="shared" si="33"/>
        <v>0</v>
      </c>
      <c r="CS47">
        <f t="shared" si="33"/>
        <v>0</v>
      </c>
      <c r="CT47">
        <f t="shared" si="33"/>
        <v>0</v>
      </c>
      <c r="CU47">
        <f t="shared" si="33"/>
        <v>0</v>
      </c>
      <c r="CV47">
        <f t="shared" si="33"/>
        <v>0</v>
      </c>
      <c r="CW47">
        <f t="shared" si="33"/>
        <v>0</v>
      </c>
      <c r="CX47">
        <f t="shared" si="33"/>
        <v>0</v>
      </c>
      <c r="CY47">
        <f t="shared" si="33"/>
        <v>0</v>
      </c>
      <c r="CZ47">
        <f t="shared" si="33"/>
        <v>0</v>
      </c>
      <c r="DA47">
        <f t="shared" si="33"/>
        <v>0</v>
      </c>
      <c r="DB47">
        <f t="shared" si="33"/>
        <v>0</v>
      </c>
      <c r="DC47">
        <f t="shared" si="33"/>
        <v>0</v>
      </c>
      <c r="DD47">
        <f t="shared" si="33"/>
        <v>0</v>
      </c>
      <c r="DE47">
        <f t="shared" si="33"/>
        <v>0</v>
      </c>
      <c r="DF47">
        <f t="shared" si="33"/>
        <v>0</v>
      </c>
      <c r="DG47">
        <f t="shared" si="33"/>
        <v>0</v>
      </c>
      <c r="DH47">
        <f t="shared" si="33"/>
        <v>0</v>
      </c>
      <c r="DI47">
        <f t="shared" si="33"/>
        <v>0</v>
      </c>
      <c r="DJ47">
        <f t="shared" si="33"/>
        <v>0</v>
      </c>
      <c r="DK47">
        <f t="shared" si="33"/>
        <v>0</v>
      </c>
      <c r="DL47">
        <f t="shared" si="33"/>
        <v>0</v>
      </c>
      <c r="DM47">
        <f t="shared" si="33"/>
        <v>0</v>
      </c>
      <c r="DN47">
        <f t="shared" si="33"/>
        <v>0</v>
      </c>
      <c r="DO47">
        <f t="shared" si="33"/>
        <v>0</v>
      </c>
      <c r="DP47">
        <f t="shared" si="33"/>
        <v>0</v>
      </c>
      <c r="DQ47">
        <f t="shared" si="33"/>
        <v>0</v>
      </c>
      <c r="DR47">
        <f t="shared" si="33"/>
        <v>0</v>
      </c>
      <c r="DS47">
        <f t="shared" si="33"/>
        <v>0</v>
      </c>
      <c r="DT47">
        <f t="shared" si="33"/>
        <v>0</v>
      </c>
      <c r="DU47">
        <f t="shared" si="33"/>
        <v>0</v>
      </c>
      <c r="DV47">
        <f t="shared" si="33"/>
        <v>0</v>
      </c>
      <c r="DW47">
        <f t="shared" si="33"/>
        <v>0</v>
      </c>
      <c r="DX47">
        <f t="shared" si="33"/>
        <v>0</v>
      </c>
      <c r="DY47">
        <f t="shared" si="33"/>
        <v>0</v>
      </c>
      <c r="DZ47">
        <f t="shared" si="33"/>
        <v>0</v>
      </c>
      <c r="EA47">
        <f t="shared" si="33"/>
        <v>0</v>
      </c>
      <c r="EB47">
        <f t="shared" si="33"/>
        <v>0</v>
      </c>
      <c r="EC47">
        <f t="shared" si="17"/>
        <v>0</v>
      </c>
      <c r="ED47">
        <f t="shared" si="38"/>
        <v>0</v>
      </c>
      <c r="EE47">
        <f t="shared" si="38"/>
        <v>0</v>
      </c>
      <c r="EF47">
        <f t="shared" si="38"/>
        <v>0</v>
      </c>
      <c r="EG47">
        <f t="shared" si="38"/>
        <v>0</v>
      </c>
      <c r="EH47">
        <f t="shared" si="38"/>
        <v>0</v>
      </c>
      <c r="EI47">
        <f t="shared" si="38"/>
        <v>0</v>
      </c>
      <c r="EJ47">
        <f t="shared" si="38"/>
        <v>0</v>
      </c>
      <c r="EK47">
        <f t="shared" si="38"/>
        <v>0</v>
      </c>
      <c r="EL47">
        <f t="shared" si="38"/>
        <v>0</v>
      </c>
      <c r="EM47">
        <f t="shared" si="38"/>
        <v>0</v>
      </c>
      <c r="EN47">
        <f t="shared" si="38"/>
        <v>0</v>
      </c>
      <c r="EO47">
        <f t="shared" si="38"/>
        <v>0</v>
      </c>
      <c r="EP47">
        <f t="shared" si="38"/>
        <v>0</v>
      </c>
      <c r="EQ47">
        <f t="shared" si="38"/>
        <v>0</v>
      </c>
      <c r="ER47">
        <f t="shared" si="38"/>
        <v>0</v>
      </c>
      <c r="ES47">
        <f t="shared" si="38"/>
        <v>0</v>
      </c>
      <c r="ET47">
        <f t="shared" si="38"/>
        <v>0</v>
      </c>
      <c r="EU47">
        <f t="shared" si="38"/>
        <v>0</v>
      </c>
      <c r="EV47">
        <f t="shared" si="38"/>
        <v>0</v>
      </c>
      <c r="EW47">
        <f t="shared" si="38"/>
        <v>0</v>
      </c>
      <c r="EX47">
        <f t="shared" si="38"/>
        <v>0</v>
      </c>
      <c r="EY47">
        <f t="shared" si="38"/>
        <v>0</v>
      </c>
      <c r="EZ47">
        <f t="shared" si="38"/>
        <v>0</v>
      </c>
      <c r="FA47">
        <f t="shared" si="38"/>
        <v>0</v>
      </c>
      <c r="FB47">
        <f t="shared" si="38"/>
        <v>0</v>
      </c>
      <c r="FC47">
        <f t="shared" si="38"/>
        <v>0</v>
      </c>
      <c r="FD47">
        <f t="shared" si="38"/>
        <v>0</v>
      </c>
      <c r="FE47">
        <f t="shared" si="38"/>
        <v>0</v>
      </c>
      <c r="FF47">
        <f t="shared" si="38"/>
        <v>0</v>
      </c>
      <c r="FG47">
        <f t="shared" si="38"/>
        <v>0</v>
      </c>
      <c r="FH47">
        <f t="shared" si="38"/>
        <v>0</v>
      </c>
      <c r="FI47">
        <f t="shared" si="38"/>
        <v>0</v>
      </c>
      <c r="FJ47">
        <f t="shared" si="38"/>
        <v>0</v>
      </c>
      <c r="FK47">
        <f t="shared" si="38"/>
        <v>0</v>
      </c>
      <c r="FL47">
        <f t="shared" si="38"/>
        <v>0</v>
      </c>
      <c r="FM47">
        <f t="shared" si="38"/>
        <v>0</v>
      </c>
      <c r="FN47">
        <f t="shared" si="38"/>
        <v>0</v>
      </c>
      <c r="FO47">
        <f t="shared" si="38"/>
        <v>0</v>
      </c>
      <c r="FP47">
        <f t="shared" si="38"/>
        <v>0</v>
      </c>
      <c r="FQ47">
        <f t="shared" si="38"/>
        <v>0</v>
      </c>
      <c r="FR47">
        <f t="shared" si="38"/>
        <v>0</v>
      </c>
      <c r="FS47">
        <f t="shared" si="38"/>
        <v>0</v>
      </c>
      <c r="FT47">
        <f t="shared" si="38"/>
        <v>0</v>
      </c>
      <c r="FU47">
        <f t="shared" si="38"/>
        <v>0</v>
      </c>
    </row>
    <row r="50" spans="4:177" x14ac:dyDescent="0.25">
      <c r="D50" s="1" t="s">
        <v>186</v>
      </c>
      <c r="E50">
        <f>SUM(E31:E47)</f>
        <v>0</v>
      </c>
      <c r="F50">
        <f t="shared" ref="F50:BQ50" si="40">SUM(F31:F47)</f>
        <v>0</v>
      </c>
      <c r="G50">
        <f t="shared" si="40"/>
        <v>0</v>
      </c>
      <c r="H50">
        <f t="shared" si="40"/>
        <v>0</v>
      </c>
      <c r="I50">
        <f t="shared" si="40"/>
        <v>0</v>
      </c>
      <c r="J50">
        <f t="shared" si="40"/>
        <v>0</v>
      </c>
      <c r="K50">
        <f t="shared" si="40"/>
        <v>71.66</v>
      </c>
      <c r="L50">
        <f t="shared" si="40"/>
        <v>68.91</v>
      </c>
      <c r="M50">
        <f t="shared" si="40"/>
        <v>70.73</v>
      </c>
      <c r="N50">
        <f t="shared" si="40"/>
        <v>72.69</v>
      </c>
      <c r="O50">
        <f t="shared" si="40"/>
        <v>74.140000000000015</v>
      </c>
      <c r="P50">
        <f t="shared" si="40"/>
        <v>73.589999999999989</v>
      </c>
      <c r="Q50">
        <f t="shared" si="40"/>
        <v>72.06</v>
      </c>
      <c r="R50">
        <f t="shared" si="40"/>
        <v>73.86</v>
      </c>
      <c r="S50">
        <f t="shared" si="40"/>
        <v>73.7</v>
      </c>
      <c r="T50">
        <f t="shared" si="40"/>
        <v>75.02000000000001</v>
      </c>
      <c r="U50">
        <f t="shared" si="40"/>
        <v>73.8</v>
      </c>
      <c r="V50">
        <f t="shared" si="40"/>
        <v>73.350000000000009</v>
      </c>
      <c r="W50">
        <f t="shared" si="40"/>
        <v>72.550000000000011</v>
      </c>
      <c r="X50">
        <f t="shared" si="40"/>
        <v>78.02</v>
      </c>
      <c r="Y50">
        <f t="shared" si="40"/>
        <v>75.02</v>
      </c>
      <c r="Z50">
        <f t="shared" si="40"/>
        <v>0</v>
      </c>
      <c r="AA50">
        <f t="shared" si="40"/>
        <v>0</v>
      </c>
      <c r="AB50">
        <f t="shared" si="40"/>
        <v>0</v>
      </c>
      <c r="AC50">
        <f t="shared" si="40"/>
        <v>0</v>
      </c>
      <c r="AD50">
        <f t="shared" si="40"/>
        <v>0</v>
      </c>
      <c r="AE50">
        <f t="shared" si="40"/>
        <v>0</v>
      </c>
      <c r="AF50">
        <f t="shared" si="40"/>
        <v>0</v>
      </c>
      <c r="AG50">
        <f t="shared" si="40"/>
        <v>0</v>
      </c>
      <c r="AH50">
        <f t="shared" si="40"/>
        <v>0</v>
      </c>
      <c r="AI50">
        <f t="shared" si="40"/>
        <v>0</v>
      </c>
      <c r="AJ50">
        <f t="shared" si="40"/>
        <v>0</v>
      </c>
      <c r="AK50">
        <f t="shared" si="40"/>
        <v>0</v>
      </c>
      <c r="AL50">
        <f t="shared" si="40"/>
        <v>0</v>
      </c>
      <c r="AM50">
        <f t="shared" si="40"/>
        <v>0</v>
      </c>
      <c r="AN50">
        <f t="shared" si="40"/>
        <v>0</v>
      </c>
      <c r="AO50">
        <f t="shared" si="40"/>
        <v>0</v>
      </c>
      <c r="AP50">
        <f t="shared" si="40"/>
        <v>0</v>
      </c>
      <c r="AQ50">
        <f t="shared" si="40"/>
        <v>0</v>
      </c>
      <c r="AR50">
        <f t="shared" si="40"/>
        <v>0</v>
      </c>
      <c r="AS50">
        <f t="shared" si="40"/>
        <v>0</v>
      </c>
      <c r="AT50">
        <f t="shared" si="40"/>
        <v>0</v>
      </c>
      <c r="AU50">
        <f t="shared" si="40"/>
        <v>0</v>
      </c>
      <c r="AV50">
        <f t="shared" si="40"/>
        <v>0</v>
      </c>
      <c r="AW50">
        <f t="shared" si="40"/>
        <v>0</v>
      </c>
      <c r="AX50">
        <f t="shared" si="40"/>
        <v>0</v>
      </c>
      <c r="AY50">
        <f t="shared" si="40"/>
        <v>0</v>
      </c>
      <c r="AZ50">
        <f t="shared" si="40"/>
        <v>0</v>
      </c>
      <c r="BA50">
        <f t="shared" si="40"/>
        <v>0</v>
      </c>
      <c r="BB50">
        <f t="shared" si="40"/>
        <v>0</v>
      </c>
      <c r="BC50">
        <f t="shared" si="40"/>
        <v>0</v>
      </c>
      <c r="BD50">
        <f t="shared" si="40"/>
        <v>0</v>
      </c>
      <c r="BE50">
        <f t="shared" si="40"/>
        <v>0</v>
      </c>
      <c r="BF50">
        <f t="shared" si="40"/>
        <v>0</v>
      </c>
      <c r="BG50">
        <f t="shared" si="40"/>
        <v>0</v>
      </c>
      <c r="BH50">
        <f t="shared" si="40"/>
        <v>0</v>
      </c>
      <c r="BI50">
        <f t="shared" si="40"/>
        <v>0</v>
      </c>
      <c r="BJ50">
        <f t="shared" si="40"/>
        <v>0</v>
      </c>
      <c r="BK50">
        <f t="shared" si="40"/>
        <v>0</v>
      </c>
      <c r="BL50">
        <f t="shared" si="40"/>
        <v>0</v>
      </c>
      <c r="BM50">
        <f t="shared" si="40"/>
        <v>0</v>
      </c>
      <c r="BN50">
        <f t="shared" si="40"/>
        <v>0</v>
      </c>
      <c r="BO50">
        <f t="shared" si="40"/>
        <v>0</v>
      </c>
      <c r="BP50">
        <f t="shared" si="40"/>
        <v>0</v>
      </c>
      <c r="BQ50">
        <f t="shared" si="40"/>
        <v>0</v>
      </c>
      <c r="BR50">
        <f t="shared" ref="BR50:EC50" si="41">SUM(BR31:BR47)</f>
        <v>0</v>
      </c>
      <c r="BS50">
        <f t="shared" si="41"/>
        <v>0</v>
      </c>
      <c r="BT50">
        <f t="shared" si="41"/>
        <v>0</v>
      </c>
      <c r="BU50">
        <f t="shared" si="41"/>
        <v>0</v>
      </c>
      <c r="BV50">
        <f t="shared" si="41"/>
        <v>0</v>
      </c>
      <c r="BW50">
        <f t="shared" si="41"/>
        <v>0</v>
      </c>
      <c r="BX50">
        <f t="shared" si="41"/>
        <v>0</v>
      </c>
      <c r="BY50">
        <f t="shared" si="41"/>
        <v>0</v>
      </c>
      <c r="BZ50">
        <f t="shared" si="41"/>
        <v>0</v>
      </c>
      <c r="CA50">
        <f t="shared" si="41"/>
        <v>0</v>
      </c>
      <c r="CB50">
        <f t="shared" si="41"/>
        <v>0</v>
      </c>
      <c r="CC50">
        <f t="shared" si="41"/>
        <v>0</v>
      </c>
      <c r="CD50">
        <f t="shared" si="41"/>
        <v>0</v>
      </c>
      <c r="CE50">
        <f t="shared" si="41"/>
        <v>0</v>
      </c>
      <c r="CF50">
        <f t="shared" si="41"/>
        <v>0</v>
      </c>
      <c r="CG50">
        <f t="shared" si="41"/>
        <v>0</v>
      </c>
      <c r="CH50">
        <f t="shared" si="41"/>
        <v>0</v>
      </c>
      <c r="CI50">
        <f t="shared" si="41"/>
        <v>0</v>
      </c>
      <c r="CJ50">
        <f t="shared" si="41"/>
        <v>0</v>
      </c>
      <c r="CK50">
        <f t="shared" si="41"/>
        <v>0</v>
      </c>
      <c r="CL50">
        <f t="shared" si="41"/>
        <v>0</v>
      </c>
      <c r="CM50">
        <f t="shared" si="41"/>
        <v>0</v>
      </c>
      <c r="CN50">
        <f t="shared" si="41"/>
        <v>0</v>
      </c>
      <c r="CO50">
        <f t="shared" si="41"/>
        <v>0</v>
      </c>
      <c r="CP50">
        <f t="shared" si="41"/>
        <v>0</v>
      </c>
      <c r="CQ50">
        <f t="shared" si="41"/>
        <v>0</v>
      </c>
      <c r="CR50">
        <f t="shared" si="41"/>
        <v>0</v>
      </c>
      <c r="CS50">
        <f t="shared" si="41"/>
        <v>0</v>
      </c>
      <c r="CT50">
        <f t="shared" si="41"/>
        <v>0</v>
      </c>
      <c r="CU50">
        <f t="shared" si="41"/>
        <v>0</v>
      </c>
      <c r="CV50">
        <f t="shared" si="41"/>
        <v>0</v>
      </c>
      <c r="CW50">
        <f t="shared" si="41"/>
        <v>0</v>
      </c>
      <c r="CX50">
        <f t="shared" si="41"/>
        <v>0</v>
      </c>
      <c r="CY50">
        <f t="shared" si="41"/>
        <v>0</v>
      </c>
      <c r="CZ50">
        <f t="shared" si="41"/>
        <v>0</v>
      </c>
      <c r="DA50">
        <f t="shared" si="41"/>
        <v>0</v>
      </c>
      <c r="DB50">
        <f t="shared" si="41"/>
        <v>0</v>
      </c>
      <c r="DC50">
        <f t="shared" si="41"/>
        <v>0</v>
      </c>
      <c r="DD50">
        <f t="shared" si="41"/>
        <v>0</v>
      </c>
      <c r="DE50">
        <f t="shared" si="41"/>
        <v>0</v>
      </c>
      <c r="DF50">
        <f t="shared" si="41"/>
        <v>0</v>
      </c>
      <c r="DG50">
        <f t="shared" si="41"/>
        <v>0</v>
      </c>
      <c r="DH50">
        <f t="shared" si="41"/>
        <v>0</v>
      </c>
      <c r="DI50">
        <f t="shared" si="41"/>
        <v>0</v>
      </c>
      <c r="DJ50">
        <f t="shared" si="41"/>
        <v>0</v>
      </c>
      <c r="DK50">
        <f t="shared" si="41"/>
        <v>0</v>
      </c>
      <c r="DL50">
        <f t="shared" si="41"/>
        <v>0</v>
      </c>
      <c r="DM50">
        <f t="shared" si="41"/>
        <v>0</v>
      </c>
      <c r="DN50">
        <f t="shared" si="41"/>
        <v>0</v>
      </c>
      <c r="DO50">
        <f t="shared" si="41"/>
        <v>0</v>
      </c>
      <c r="DP50">
        <f t="shared" si="41"/>
        <v>0</v>
      </c>
      <c r="DQ50">
        <f t="shared" si="41"/>
        <v>0</v>
      </c>
      <c r="DR50">
        <f t="shared" si="41"/>
        <v>0</v>
      </c>
      <c r="DS50">
        <f t="shared" si="41"/>
        <v>0</v>
      </c>
      <c r="DT50">
        <f t="shared" si="41"/>
        <v>0</v>
      </c>
      <c r="DU50">
        <f t="shared" si="41"/>
        <v>0</v>
      </c>
      <c r="DV50">
        <f t="shared" si="41"/>
        <v>0</v>
      </c>
      <c r="DW50">
        <f t="shared" si="41"/>
        <v>0</v>
      </c>
      <c r="DX50">
        <f t="shared" si="41"/>
        <v>0</v>
      </c>
      <c r="DY50">
        <f t="shared" si="41"/>
        <v>0</v>
      </c>
      <c r="DZ50">
        <f t="shared" si="41"/>
        <v>0</v>
      </c>
      <c r="EA50">
        <f t="shared" si="41"/>
        <v>0</v>
      </c>
      <c r="EB50">
        <f t="shared" si="41"/>
        <v>0</v>
      </c>
      <c r="EC50">
        <f t="shared" si="41"/>
        <v>0</v>
      </c>
      <c r="ED50">
        <f t="shared" ref="ED50:FU50" si="42">SUM(ED31:ED47)</f>
        <v>0</v>
      </c>
      <c r="EE50">
        <f t="shared" si="42"/>
        <v>0</v>
      </c>
      <c r="EF50">
        <f t="shared" si="42"/>
        <v>0</v>
      </c>
      <c r="EG50">
        <f t="shared" si="42"/>
        <v>0</v>
      </c>
      <c r="EH50">
        <f t="shared" si="42"/>
        <v>0</v>
      </c>
      <c r="EI50">
        <f t="shared" si="42"/>
        <v>0</v>
      </c>
      <c r="EJ50">
        <f t="shared" si="42"/>
        <v>0</v>
      </c>
      <c r="EK50">
        <f t="shared" si="42"/>
        <v>0</v>
      </c>
      <c r="EL50">
        <f t="shared" si="42"/>
        <v>0</v>
      </c>
      <c r="EM50">
        <f t="shared" si="42"/>
        <v>0</v>
      </c>
      <c r="EN50">
        <f t="shared" si="42"/>
        <v>0</v>
      </c>
      <c r="EO50">
        <f t="shared" si="42"/>
        <v>0</v>
      </c>
      <c r="EP50">
        <f t="shared" si="42"/>
        <v>0</v>
      </c>
      <c r="EQ50">
        <f t="shared" si="42"/>
        <v>0</v>
      </c>
      <c r="ER50">
        <f t="shared" si="42"/>
        <v>0</v>
      </c>
      <c r="ES50">
        <f t="shared" si="42"/>
        <v>0</v>
      </c>
      <c r="ET50">
        <f t="shared" si="42"/>
        <v>0</v>
      </c>
      <c r="EU50">
        <f t="shared" si="42"/>
        <v>0</v>
      </c>
      <c r="EV50">
        <f t="shared" si="42"/>
        <v>0</v>
      </c>
      <c r="EW50">
        <f t="shared" si="42"/>
        <v>0</v>
      </c>
      <c r="EX50">
        <f t="shared" si="42"/>
        <v>0</v>
      </c>
      <c r="EY50">
        <f t="shared" si="42"/>
        <v>0</v>
      </c>
      <c r="EZ50">
        <f t="shared" si="42"/>
        <v>0</v>
      </c>
      <c r="FA50">
        <f t="shared" si="42"/>
        <v>0</v>
      </c>
      <c r="FB50">
        <f t="shared" si="42"/>
        <v>0</v>
      </c>
      <c r="FC50">
        <f t="shared" si="42"/>
        <v>0</v>
      </c>
      <c r="FD50">
        <f t="shared" si="42"/>
        <v>0</v>
      </c>
      <c r="FE50">
        <f t="shared" si="42"/>
        <v>0</v>
      </c>
      <c r="FF50">
        <f t="shared" si="42"/>
        <v>0</v>
      </c>
      <c r="FG50">
        <f t="shared" si="42"/>
        <v>0</v>
      </c>
      <c r="FH50">
        <f t="shared" si="42"/>
        <v>0</v>
      </c>
      <c r="FI50">
        <f t="shared" si="42"/>
        <v>0</v>
      </c>
      <c r="FJ50">
        <f t="shared" si="42"/>
        <v>0</v>
      </c>
      <c r="FK50">
        <f t="shared" si="42"/>
        <v>0</v>
      </c>
      <c r="FL50">
        <f t="shared" si="42"/>
        <v>0</v>
      </c>
      <c r="FM50">
        <f t="shared" si="42"/>
        <v>0</v>
      </c>
      <c r="FN50">
        <f t="shared" si="42"/>
        <v>0</v>
      </c>
      <c r="FO50">
        <f t="shared" si="42"/>
        <v>0</v>
      </c>
      <c r="FP50">
        <f t="shared" si="42"/>
        <v>0</v>
      </c>
      <c r="FQ50">
        <f t="shared" si="42"/>
        <v>0</v>
      </c>
      <c r="FR50">
        <f t="shared" si="42"/>
        <v>0</v>
      </c>
      <c r="FS50">
        <f t="shared" si="42"/>
        <v>0</v>
      </c>
      <c r="FT50">
        <f t="shared" si="42"/>
        <v>0</v>
      </c>
      <c r="FU50">
        <f t="shared" si="42"/>
        <v>0</v>
      </c>
    </row>
    <row r="51" spans="4:177" x14ac:dyDescent="0.25">
      <c r="D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Graphs</vt:lpstr>
      <vt:lpstr>Total</vt:lpstr>
      <vt:lpstr>Cases</vt:lpstr>
      <vt:lpstr>Weapon-Investments</vt:lpstr>
      <vt:lpstr>Inventory</vt:lpstr>
      <vt:lpstr>Knives</vt:lpstr>
      <vt:lpstr>AWP</vt:lpstr>
      <vt:lpstr>AK-47</vt:lpstr>
      <vt:lpstr>M4A4</vt:lpstr>
      <vt:lpstr>M4A1-S</vt:lpstr>
      <vt:lpstr>SMG</vt:lpstr>
      <vt:lpstr>Pistol</vt:lpstr>
      <vt:lpstr>Heavy</vt:lpstr>
      <vt:lpstr>Other Rifles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Hliddal</dc:creator>
  <cp:lastModifiedBy>Oliver Hliddal</cp:lastModifiedBy>
  <dcterms:created xsi:type="dcterms:W3CDTF">2021-06-07T07:26:56Z</dcterms:created>
  <dcterms:modified xsi:type="dcterms:W3CDTF">2021-06-07T10:49:30Z</dcterms:modified>
</cp:coreProperties>
</file>